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comments3.xml" ContentType="application/vnd.openxmlformats-officedocument.spreadsheetml.comments+xml"/>
  <Override PartName="/xl/charts/chart8.xml" ContentType="application/vnd.openxmlformats-officedocument.drawingml.chart+xml"/>
  <Override PartName="/xl/drawings/drawing11.xml" ContentType="application/vnd.openxmlformats-officedocument.drawingml.chartshapes+xml"/>
  <Override PartName="/xl/charts/chart9.xml" ContentType="application/vnd.openxmlformats-officedocument.drawingml.chart+xml"/>
  <Override PartName="/xl/drawings/drawing12.xml" ContentType="application/vnd.openxmlformats-officedocument.drawingml.chartshapes+xml"/>
  <Override PartName="/xl/charts/chart10.xml" ContentType="application/vnd.openxmlformats-officedocument.drawingml.chart+xml"/>
  <Override PartName="/xl/drawings/drawing13.xml" ContentType="application/vnd.openxmlformats-officedocument.drawingml.chartshapes+xml"/>
  <Override PartName="/xl/charts/chart11.xml" ContentType="application/vnd.openxmlformats-officedocument.drawingml.chart+xml"/>
  <Override PartName="/xl/drawings/drawing14.xml" ContentType="application/vnd.openxmlformats-officedocument.drawingml.chartshapes+xml"/>
  <Override PartName="/xl/charts/chart12.xml" ContentType="application/vnd.openxmlformats-officedocument.drawingml.chart+xml"/>
  <Override PartName="/xl/drawings/drawing15.xml" ContentType="application/vnd.openxmlformats-officedocument.drawingml.chartshapes+xml"/>
  <Override PartName="/xl/charts/chart13.xml" ContentType="application/vnd.openxmlformats-officedocument.drawingml.chart+xml"/>
  <Override PartName="/xl/drawings/drawing16.xml" ContentType="application/vnd.openxmlformats-officedocument.drawingml.chartshapes+xml"/>
  <Override PartName="/xl/charts/chart14.xml" ContentType="application/vnd.openxmlformats-officedocument.drawingml.chart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15.xml" ContentType="application/vnd.openxmlformats-officedocument.drawingml.chart+xml"/>
  <Override PartName="/xl/drawings/drawing19.xml" ContentType="application/vnd.openxmlformats-officedocument.drawingml.chartshapes+xml"/>
  <Override PartName="/xl/charts/chart16.xml" ContentType="application/vnd.openxmlformats-officedocument.drawingml.chart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comments4.xml" ContentType="application/vnd.openxmlformats-officedocument.spreadsheetml.comments+xml"/>
  <Override PartName="/xl/charts/chart17.xml" ContentType="application/vnd.openxmlformats-officedocument.drawingml.chart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drawings/drawing24.xml" ContentType="application/vnd.openxmlformats-officedocument.drawingml.chartshapes+xml"/>
  <Override PartName="/xl/charts/chart20.xml" ContentType="application/vnd.openxmlformats-officedocument.drawingml.chart+xml"/>
  <Override PartName="/xl/drawings/drawing25.xml" ContentType="application/vnd.openxmlformats-officedocument.drawingml.chartshape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harts/chart21.xml" ContentType="application/vnd.openxmlformats-officedocument.drawingml.chart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charts/chart22.xml" ContentType="application/vnd.openxmlformats-officedocument.drawingml.chart+xml"/>
  <Override PartName="/xl/drawings/drawing30.xml" ContentType="application/vnd.openxmlformats-officedocument.drawingml.chartshapes+xml"/>
  <Override PartName="/xl/drawings/drawing31.xml" ContentType="application/vnd.openxmlformats-officedocument.drawing+xml"/>
  <Override PartName="/xl/charts/chart23.xml" ContentType="application/vnd.openxmlformats-officedocument.drawingml.chart+xml"/>
  <Override PartName="/xl/drawings/drawing32.xml" ContentType="application/vnd.openxmlformats-officedocument.drawing+xml"/>
  <Override PartName="/xl/charts/chart2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magallon\Documents\Lagos De Moreno\DISEÑOS DE CONCRETRO\"/>
    </mc:Choice>
  </mc:AlternateContent>
  <xr:revisionPtr revIDLastSave="0" documentId="13_ncr:1_{9A67337F-083A-42F7-BEA0-88F46C8E75EC}" xr6:coauthVersionLast="47" xr6:coauthVersionMax="47" xr10:uidLastSave="{00000000-0000-0000-0000-000000000000}"/>
  <bookViews>
    <workbookView xWindow="-110" yWindow="-110" windowWidth="19420" windowHeight="10420" tabRatio="685" activeTab="4" xr2:uid="{00000000-000D-0000-FFFF-FFFF00000000}"/>
  </bookViews>
  <sheets>
    <sheet name="Formato Pisocret" sheetId="10" r:id="rId1"/>
    <sheet name="1° Diseño Mezcla" sheetId="1" r:id="rId2"/>
    <sheet name="2° Granulometrías" sheetId="4" state="hidden" r:id="rId3"/>
    <sheet name="3° Curva Integral" sheetId="5" state="hidden" r:id="rId4"/>
    <sheet name="4° Resumen" sheetId="2" r:id="rId5"/>
    <sheet name="Sheet1" sheetId="11" state="hidden" r:id="rId6"/>
    <sheet name="Diseño" sheetId="3" state="hidden" r:id="rId7"/>
    <sheet name="Curva 045" sheetId="6" state="hidden" r:id="rId8"/>
    <sheet name="Curva 045 Grava 20mm" sheetId="9" state="hidden" r:id="rId9"/>
    <sheet name="WF vrs CF" sheetId="7" state="hidden" r:id="rId10"/>
    <sheet name="Curva Distribución" sheetId="8" state="hidden" r:id="rId11"/>
  </sheets>
  <externalReferences>
    <externalReference r:id="rId12"/>
    <externalReference r:id="rId13"/>
    <externalReference r:id="rId14"/>
  </externalReferences>
  <definedNames>
    <definedName name="_xlnm._FilterDatabase" localSheetId="1" hidden="1">'1° Diseño Mezcla'!$T$14:$T$20</definedName>
    <definedName name="_xlnm._FilterDatabase" localSheetId="0" hidden="1">'Formato Pisocret'!$A$60:$I$82</definedName>
    <definedName name="Admixtures">[1]Admixtures!$A$2:$A$101</definedName>
    <definedName name="Aggregates">#REF!</definedName>
    <definedName name="_xlnm.Print_Area" localSheetId="1">'1° Diseño Mezcla'!$A$1:$R$201</definedName>
    <definedName name="_xlnm.Print_Area" localSheetId="3">'3° Curva Integral'!$B$1:$P$105</definedName>
    <definedName name="_xlnm.Print_Area" localSheetId="4">'4° Resumen'!$B$2:$AC$42</definedName>
    <definedName name="_xlnm.Print_Area" localSheetId="6">Diseño!$A$1:$M$37</definedName>
    <definedName name="_xlnm.Print_Area" localSheetId="0">'Formato Pisocret'!$A$1:$I$104</definedName>
    <definedName name="Binder">[1]Binder!$A$2:$A$51</definedName>
    <definedName name="Fibres">[1]Fibres!$A$2:$A$51</definedName>
    <definedName name="KG">#REF!</definedName>
    <definedName name="KP">#REF!</definedName>
    <definedName name="KS">#REF!</definedName>
    <definedName name="MSA">#REF!</definedName>
    <definedName name="PUMPABILITY">#REF!</definedName>
    <definedName name="Type">[1]Binder!$N$4:$N$12</definedName>
    <definedName name="Voids">'[2]Pervious MIX DESIGN'!$AA$5:$AA$8</definedName>
    <definedName name="Z_3D71A136_064E_409E_A416_2661D7D51806_.wvu.PrintArea" localSheetId="3" hidden="1">'3° Curva Integral'!$B$1:$P$101</definedName>
    <definedName name="Z_3D71A136_064E_409E_A416_2661D7D51806_.wvu.PrintArea" localSheetId="4" hidden="1">'4° Resumen'!$B$1:$S$40</definedName>
    <definedName name="Z_3D71A136_064E_409E_A416_2661D7D51806_.wvu.PrintArea" localSheetId="6" hidden="1">Diseño!$A$1:$M$37</definedName>
    <definedName name="Z_3D71A136_064E_409E_A416_2661D7D51806_.wvu.Rows" localSheetId="2" hidden="1">'2° Granulometrías'!$7:$7</definedName>
    <definedName name="Z_3D71A136_064E_409E_A416_2661D7D51806_.wvu.Rows" localSheetId="3" hidden="1">'3° Curva Integral'!$4:$4,'3° Curva Integral'!$14:$30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7" i="1" l="1"/>
  <c r="N15" i="1"/>
  <c r="O15" i="1" l="1"/>
  <c r="H66" i="10"/>
  <c r="H65" i="10"/>
  <c r="F19" i="1" l="1"/>
  <c r="F17" i="1"/>
  <c r="G88" i="10" l="1"/>
  <c r="I16" i="1" l="1"/>
  <c r="L9" i="1"/>
  <c r="L16" i="1"/>
  <c r="I9" i="1"/>
  <c r="L8" i="1"/>
  <c r="I8" i="1"/>
  <c r="A17" i="1"/>
  <c r="A19" i="1"/>
  <c r="D23" i="10" l="1"/>
  <c r="G17" i="10"/>
  <c r="Q15" i="1" l="1"/>
  <c r="H19" i="1" l="1"/>
  <c r="C46" i="10"/>
  <c r="A83" i="10"/>
  <c r="D27" i="10"/>
  <c r="E106" i="10"/>
  <c r="A106" i="10"/>
  <c r="I39" i="10"/>
  <c r="F39" i="10"/>
  <c r="C39" i="10"/>
  <c r="F61" i="10"/>
  <c r="J45" i="10"/>
  <c r="A45" i="10" s="1"/>
  <c r="C17" i="1"/>
  <c r="A99" i="10"/>
  <c r="A98" i="10"/>
  <c r="A97" i="10"/>
  <c r="A96" i="10"/>
  <c r="A95" i="10"/>
  <c r="G104" i="10" l="1"/>
  <c r="G89" i="10" l="1"/>
  <c r="I83" i="10"/>
  <c r="G82" i="10" s="1"/>
  <c r="E9" i="1"/>
  <c r="C7" i="1"/>
  <c r="D33" i="10"/>
  <c r="H104" i="10"/>
  <c r="G81" i="10" l="1"/>
  <c r="G80" i="10"/>
  <c r="G78" i="10"/>
  <c r="G79" i="10"/>
  <c r="G103" i="10"/>
  <c r="C86" i="10"/>
  <c r="B86" i="10" s="1"/>
  <c r="B15" i="1" l="1"/>
  <c r="A15" i="1"/>
  <c r="B99" i="10" l="1"/>
  <c r="B98" i="10"/>
  <c r="B97" i="10"/>
  <c r="B96" i="10"/>
  <c r="B95" i="10"/>
  <c r="K98" i="1"/>
  <c r="C8" i="1"/>
  <c r="B9" i="1" l="1"/>
  <c r="W8" i="1"/>
  <c r="H101" i="10"/>
  <c r="G99" i="10"/>
  <c r="F97" i="10"/>
  <c r="H91" i="10"/>
  <c r="B19" i="1"/>
  <c r="H96" i="1"/>
  <c r="I68" i="10"/>
  <c r="E96" i="1"/>
  <c r="E98" i="1"/>
  <c r="I70" i="10"/>
  <c r="H70" i="10"/>
  <c r="B98" i="1"/>
  <c r="B96" i="1"/>
  <c r="B68" i="10"/>
  <c r="H17" i="1" s="1"/>
  <c r="I46" i="10"/>
  <c r="F65" i="10"/>
  <c r="C65" i="10"/>
  <c r="E19" i="1"/>
  <c r="E17" i="1"/>
  <c r="C19" i="1"/>
  <c r="D18" i="2"/>
  <c r="J15" i="1"/>
  <c r="D37" i="10"/>
  <c r="D36" i="10"/>
  <c r="D35" i="10"/>
  <c r="D34" i="10"/>
  <c r="I75" i="10"/>
  <c r="G98" i="10"/>
  <c r="I72" i="10"/>
  <c r="H97" i="10" l="1"/>
  <c r="B94" i="10"/>
  <c r="C18" i="2"/>
  <c r="T14" i="1" l="1" a="1"/>
  <c r="T14" i="1" s="1"/>
  <c r="AA32" i="2"/>
  <c r="AA31" i="2"/>
  <c r="AA30" i="2"/>
  <c r="AA29" i="2"/>
  <c r="AA28" i="2"/>
  <c r="H86" i="10"/>
  <c r="Q15" i="4" l="1"/>
  <c r="Q16" i="4"/>
  <c r="Q17" i="4"/>
  <c r="Q18" i="4"/>
  <c r="Q19" i="4"/>
  <c r="Q20" i="4"/>
  <c r="Q21" i="4"/>
  <c r="P15" i="4"/>
  <c r="P16" i="4"/>
  <c r="P17" i="4"/>
  <c r="P18" i="4"/>
  <c r="P19" i="4"/>
  <c r="P20" i="4"/>
  <c r="P21" i="4"/>
  <c r="Q14" i="4"/>
  <c r="P14" i="4"/>
  <c r="Q6" i="4"/>
  <c r="P6" i="4"/>
  <c r="L6" i="4"/>
  <c r="H6" i="4"/>
  <c r="D6" i="4"/>
  <c r="L10" i="4"/>
  <c r="L11" i="4"/>
  <c r="L12" i="4"/>
  <c r="L13" i="4"/>
  <c r="L14" i="4"/>
  <c r="L15" i="4"/>
  <c r="L9" i="4"/>
  <c r="H10" i="4"/>
  <c r="H11" i="4"/>
  <c r="H12" i="4"/>
  <c r="H13" i="4"/>
  <c r="H14" i="4"/>
  <c r="H15" i="4"/>
  <c r="H9" i="4"/>
  <c r="D10" i="4"/>
  <c r="D11" i="4"/>
  <c r="D12" i="4"/>
  <c r="D13" i="4"/>
  <c r="D14" i="4"/>
  <c r="D15" i="4"/>
  <c r="D9" i="4"/>
  <c r="D54" i="10"/>
  <c r="L4" i="4"/>
  <c r="H4" i="4"/>
  <c r="D4" i="4"/>
  <c r="H98" i="10"/>
  <c r="H88" i="10"/>
  <c r="G87" i="10"/>
  <c r="H87" i="10" s="1"/>
  <c r="F63" i="10"/>
  <c r="C63" i="10"/>
  <c r="F62" i="10"/>
  <c r="C62" i="10"/>
  <c r="C61" i="10"/>
  <c r="I43" i="10"/>
  <c r="F43" i="10"/>
  <c r="C43" i="10"/>
  <c r="I41" i="10"/>
  <c r="F41" i="10"/>
  <c r="C41" i="10"/>
  <c r="I40" i="10"/>
  <c r="F40" i="10"/>
  <c r="C40" i="10"/>
  <c r="W30" i="2"/>
  <c r="W28" i="2"/>
  <c r="E30" i="10"/>
  <c r="E29" i="10"/>
  <c r="G18" i="10"/>
  <c r="H18" i="10" s="1"/>
  <c r="H17" i="10"/>
  <c r="W29" i="2" l="1"/>
  <c r="W32" i="2"/>
  <c r="H99" i="10"/>
  <c r="W31" i="2"/>
  <c r="I87" i="10"/>
  <c r="A89" i="10"/>
  <c r="Z32" i="2" l="1"/>
  <c r="E68" i="10" s="1"/>
  <c r="C15" i="9" l="1"/>
  <c r="C14" i="9"/>
  <c r="C13" i="9"/>
  <c r="C12" i="9"/>
  <c r="C11" i="9"/>
  <c r="C10" i="9"/>
  <c r="C9" i="9"/>
  <c r="C8" i="9"/>
  <c r="C7" i="9"/>
  <c r="C6" i="9"/>
  <c r="C5" i="9"/>
  <c r="B127" i="1" l="1"/>
  <c r="C197" i="1"/>
  <c r="C10" i="2" l="1"/>
  <c r="AP44" i="4"/>
  <c r="AP43" i="4"/>
  <c r="AP42" i="4"/>
  <c r="AP41" i="4"/>
  <c r="AP40" i="4"/>
  <c r="AP39" i="4"/>
  <c r="AP38" i="4"/>
  <c r="AO44" i="4"/>
  <c r="AO43" i="4"/>
  <c r="AO42" i="4"/>
  <c r="AO41" i="4"/>
  <c r="AO40" i="4"/>
  <c r="AO39" i="4"/>
  <c r="AO38" i="4"/>
  <c r="AH44" i="4"/>
  <c r="AH43" i="4"/>
  <c r="AH42" i="4"/>
  <c r="AH41" i="4"/>
  <c r="AH40" i="4"/>
  <c r="AH39" i="4"/>
  <c r="AH38" i="4"/>
  <c r="AM44" i="4"/>
  <c r="K15" i="4" s="1"/>
  <c r="G54" i="10" s="1"/>
  <c r="AM43" i="4"/>
  <c r="K14" i="4" s="1"/>
  <c r="G53" i="10" s="1"/>
  <c r="AM42" i="4"/>
  <c r="K13" i="4" s="1"/>
  <c r="G52" i="10" s="1"/>
  <c r="AM41" i="4"/>
  <c r="K12" i="4" s="1"/>
  <c r="G51" i="10" s="1"/>
  <c r="AM40" i="4"/>
  <c r="K11" i="4" s="1"/>
  <c r="G50" i="10" s="1"/>
  <c r="AM39" i="4"/>
  <c r="K10" i="4" s="1"/>
  <c r="G49" i="10" s="1"/>
  <c r="AM38" i="4"/>
  <c r="K9" i="4" s="1"/>
  <c r="G48" i="10" s="1"/>
  <c r="AM36" i="4"/>
  <c r="K8" i="4"/>
  <c r="D7" i="3"/>
  <c r="B7" i="3"/>
  <c r="A42" i="1"/>
  <c r="A78" i="1" s="1"/>
  <c r="A45" i="1"/>
  <c r="A81" i="1" s="1"/>
  <c r="A124" i="1" s="1"/>
  <c r="A68" i="1"/>
  <c r="A44" i="1"/>
  <c r="A80" i="1" s="1"/>
  <c r="A91" i="1" s="1"/>
  <c r="Z29" i="2" l="1"/>
  <c r="B59" i="4"/>
  <c r="E3" i="8"/>
  <c r="AD21" i="4"/>
  <c r="AD17" i="4"/>
  <c r="AD20" i="4"/>
  <c r="AD19" i="4"/>
  <c r="AD18" i="4"/>
  <c r="AD16" i="4"/>
  <c r="AD13" i="4"/>
  <c r="AD14" i="4" s="1"/>
  <c r="AD9" i="4"/>
  <c r="AD11" i="4"/>
  <c r="AD12" i="4" s="1"/>
  <c r="AD15" i="4"/>
  <c r="AD10" i="4"/>
  <c r="L7" i="4"/>
  <c r="M18" i="4"/>
  <c r="M11" i="4"/>
  <c r="M19" i="4"/>
  <c r="M12" i="4"/>
  <c r="M16" i="4"/>
  <c r="M20" i="4"/>
  <c r="M15" i="4"/>
  <c r="M9" i="4"/>
  <c r="M13" i="4"/>
  <c r="M17" i="4"/>
  <c r="M21" i="4"/>
  <c r="M10" i="4"/>
  <c r="M14" i="4"/>
  <c r="A92" i="1"/>
  <c r="A200" i="1"/>
  <c r="D200" i="1" s="1"/>
  <c r="D124" i="1"/>
  <c r="F46" i="10" l="1"/>
  <c r="AD8" i="4"/>
  <c r="AN39" i="4"/>
  <c r="AN43" i="4"/>
  <c r="AN44" i="4"/>
  <c r="AN41" i="4"/>
  <c r="AN38" i="4"/>
  <c r="AN42" i="4"/>
  <c r="AN40" i="4"/>
  <c r="K11" i="5"/>
  <c r="K24" i="1" l="1"/>
  <c r="J24" i="1" s="1"/>
  <c r="I25" i="1"/>
  <c r="J86" i="1" s="1"/>
  <c r="K25" i="1"/>
  <c r="J25" i="1" s="1"/>
  <c r="AC38" i="4"/>
  <c r="C9" i="4" s="1"/>
  <c r="A48" i="10" s="1"/>
  <c r="AC39" i="4"/>
  <c r="C10" i="4" s="1"/>
  <c r="A49" i="10" s="1"/>
  <c r="AC40" i="4"/>
  <c r="C11" i="4" s="1"/>
  <c r="A50" i="10" s="1"/>
  <c r="AC41" i="4"/>
  <c r="C12" i="4" s="1"/>
  <c r="A51" i="10" s="1"/>
  <c r="AC42" i="4"/>
  <c r="C13" i="4" s="1"/>
  <c r="A52" i="10" s="1"/>
  <c r="AC43" i="4"/>
  <c r="C14" i="4" s="1"/>
  <c r="A53" i="10" s="1"/>
  <c r="AC44" i="4"/>
  <c r="C15" i="4" s="1"/>
  <c r="A54" i="10" s="1"/>
  <c r="AE39" i="4"/>
  <c r="AF39" i="4"/>
  <c r="AE40" i="4"/>
  <c r="AF40" i="4"/>
  <c r="AE41" i="4"/>
  <c r="AF41" i="4"/>
  <c r="AE42" i="4"/>
  <c r="AF42" i="4"/>
  <c r="AE43" i="4"/>
  <c r="AF43" i="4"/>
  <c r="AE44" i="4"/>
  <c r="AF44" i="4"/>
  <c r="C8" i="4"/>
  <c r="AF38" i="4"/>
  <c r="AE38" i="4"/>
  <c r="B24" i="1"/>
  <c r="H16" i="1"/>
  <c r="B25" i="1" s="1"/>
  <c r="B27" i="1"/>
  <c r="H61" i="1" s="1"/>
  <c r="K26" i="1"/>
  <c r="I76" i="1" s="1"/>
  <c r="K27" i="1"/>
  <c r="I77" i="1" s="1"/>
  <c r="K28" i="1"/>
  <c r="J28" i="1" s="1"/>
  <c r="K29" i="1"/>
  <c r="J29" i="1" s="1"/>
  <c r="P27" i="1"/>
  <c r="P28" i="1"/>
  <c r="P29" i="1"/>
  <c r="A123" i="1"/>
  <c r="D123" i="1" s="1"/>
  <c r="O24" i="1"/>
  <c r="O26" i="1"/>
  <c r="P26" i="1" s="1"/>
  <c r="O27" i="1"/>
  <c r="N88" i="1" s="1"/>
  <c r="O28" i="1"/>
  <c r="N89" i="1" s="1"/>
  <c r="O29" i="1"/>
  <c r="N90" i="1" s="1"/>
  <c r="C58" i="2"/>
  <c r="D6" i="2"/>
  <c r="B16" i="3" s="1"/>
  <c r="F16" i="3" s="1"/>
  <c r="Q98" i="1"/>
  <c r="I73" i="10" s="1"/>
  <c r="L11" i="2"/>
  <c r="N24" i="1"/>
  <c r="O85" i="1" s="1"/>
  <c r="E6" i="2"/>
  <c r="G6" i="2" s="1"/>
  <c r="D3" i="3"/>
  <c r="B6" i="3"/>
  <c r="B5" i="3"/>
  <c r="G11" i="2"/>
  <c r="F6" i="8"/>
  <c r="G6" i="8"/>
  <c r="F7" i="8"/>
  <c r="G7" i="8"/>
  <c r="F8" i="8"/>
  <c r="G8" i="8"/>
  <c r="F9" i="8"/>
  <c r="G9" i="8"/>
  <c r="F10" i="8"/>
  <c r="G10" i="8"/>
  <c r="F11" i="8"/>
  <c r="G11" i="8"/>
  <c r="F12" i="8"/>
  <c r="G12" i="8"/>
  <c r="F13" i="8"/>
  <c r="G13" i="8"/>
  <c r="F14" i="8"/>
  <c r="G14" i="8"/>
  <c r="F15" i="8"/>
  <c r="G15" i="8"/>
  <c r="F16" i="8"/>
  <c r="G16" i="8"/>
  <c r="F5" i="8"/>
  <c r="G5" i="8"/>
  <c r="AC36" i="4"/>
  <c r="D5" i="2"/>
  <c r="I24" i="1"/>
  <c r="J85" i="1" s="1"/>
  <c r="I26" i="1"/>
  <c r="T47" i="5"/>
  <c r="D5" i="3"/>
  <c r="D6" i="3"/>
  <c r="D8" i="3"/>
  <c r="D9" i="3"/>
  <c r="B9" i="3"/>
  <c r="E22" i="3" s="1"/>
  <c r="L22" i="3" s="1"/>
  <c r="B8" i="3"/>
  <c r="F3" i="8" s="1"/>
  <c r="Y8" i="1"/>
  <c r="L8" i="2" s="1"/>
  <c r="N25" i="1"/>
  <c r="N26" i="1"/>
  <c r="N27" i="1"/>
  <c r="M77" i="1" s="1"/>
  <c r="N28" i="1"/>
  <c r="M78" i="1" s="1"/>
  <c r="N29" i="1"/>
  <c r="O90" i="1" s="1"/>
  <c r="C59" i="2"/>
  <c r="C60" i="2"/>
  <c r="C61" i="2"/>
  <c r="C62" i="2"/>
  <c r="C63" i="2"/>
  <c r="C12" i="2"/>
  <c r="U3" i="2" s="1"/>
  <c r="C11" i="2"/>
  <c r="U2" i="2" s="1"/>
  <c r="C9" i="2"/>
  <c r="C8" i="2"/>
  <c r="F75" i="1"/>
  <c r="C16" i="2" s="1"/>
  <c r="A25" i="3" s="1"/>
  <c r="F76" i="1"/>
  <c r="C17" i="2" s="1"/>
  <c r="A26" i="3" s="1"/>
  <c r="F74" i="1"/>
  <c r="C15" i="2" s="1"/>
  <c r="A24" i="3" s="1"/>
  <c r="E24" i="3" s="1"/>
  <c r="H24" i="3" s="1"/>
  <c r="D14" i="2"/>
  <c r="B28" i="3" s="1"/>
  <c r="C28" i="3" s="1"/>
  <c r="G3" i="8"/>
  <c r="D34" i="7"/>
  <c r="E34" i="7"/>
  <c r="C5" i="6"/>
  <c r="C6" i="6"/>
  <c r="C7" i="6"/>
  <c r="C8" i="6"/>
  <c r="C9" i="6"/>
  <c r="C10" i="6"/>
  <c r="C11" i="6"/>
  <c r="C12" i="6"/>
  <c r="C13" i="6"/>
  <c r="C14" i="6"/>
  <c r="C15" i="6"/>
  <c r="C16" i="6"/>
  <c r="D3" i="2"/>
  <c r="B27" i="3"/>
  <c r="C23" i="3"/>
  <c r="A15" i="3"/>
  <c r="E15" i="3"/>
  <c r="L15" i="3" s="1"/>
  <c r="A16" i="3"/>
  <c r="E16" i="3"/>
  <c r="L16" i="3" s="1"/>
  <c r="L17" i="3"/>
  <c r="A20" i="3"/>
  <c r="E20" i="3"/>
  <c r="L20" i="3" s="1"/>
  <c r="A23" i="3"/>
  <c r="E23" i="3"/>
  <c r="L23" i="3" s="1"/>
  <c r="A27" i="3"/>
  <c r="E27" i="3" s="1"/>
  <c r="H27" i="3" s="1"/>
  <c r="C33" i="3"/>
  <c r="C34" i="3"/>
  <c r="J34" i="3"/>
  <c r="C35" i="3"/>
  <c r="C36" i="3"/>
  <c r="C37" i="3"/>
  <c r="J37" i="3"/>
  <c r="B75" i="4"/>
  <c r="Q75" i="4"/>
  <c r="G29" i="5"/>
  <c r="K15" i="1"/>
  <c r="P15" i="1"/>
  <c r="D16" i="1"/>
  <c r="K16" i="1"/>
  <c r="P16" i="1"/>
  <c r="K17" i="1"/>
  <c r="P17" i="1"/>
  <c r="K18" i="1"/>
  <c r="P18" i="1"/>
  <c r="D19" i="1"/>
  <c r="K19" i="1"/>
  <c r="P19" i="1"/>
  <c r="K20" i="1"/>
  <c r="P20" i="1"/>
  <c r="A24" i="1"/>
  <c r="A61" i="1" s="1"/>
  <c r="A25" i="1"/>
  <c r="A26" i="1"/>
  <c r="I27" i="1"/>
  <c r="J88" i="1" s="1"/>
  <c r="I28" i="1"/>
  <c r="J78" i="1" s="1"/>
  <c r="I29" i="1"/>
  <c r="H79" i="1" s="1"/>
  <c r="H122" i="1" s="1"/>
  <c r="A39" i="1"/>
  <c r="A41" i="1"/>
  <c r="A77" i="1" s="1"/>
  <c r="A43" i="1"/>
  <c r="A62" i="1"/>
  <c r="A64" i="1"/>
  <c r="A65" i="1"/>
  <c r="A66" i="1"/>
  <c r="A67" i="1"/>
  <c r="L74" i="1"/>
  <c r="L117" i="1" s="1"/>
  <c r="O117" i="1" s="1"/>
  <c r="R75" i="1"/>
  <c r="L76" i="1"/>
  <c r="L119" i="1" s="1"/>
  <c r="O119" i="1" s="1"/>
  <c r="F77" i="1"/>
  <c r="F196" i="1" s="1"/>
  <c r="L77" i="1"/>
  <c r="L120" i="1" s="1"/>
  <c r="O120" i="1" s="1"/>
  <c r="F78" i="1"/>
  <c r="F121" i="1" s="1"/>
  <c r="L78" i="1"/>
  <c r="L197" i="1" s="1"/>
  <c r="O197" i="1" s="1"/>
  <c r="F79" i="1"/>
  <c r="F122" i="1" s="1"/>
  <c r="L79" i="1"/>
  <c r="L122" i="1" s="1"/>
  <c r="O122" i="1" s="1"/>
  <c r="A83" i="1"/>
  <c r="A112" i="1"/>
  <c r="C112" i="1"/>
  <c r="P112" i="1"/>
  <c r="Q112" i="1"/>
  <c r="A113" i="1"/>
  <c r="C113" i="1"/>
  <c r="A127" i="1"/>
  <c r="I127" i="1"/>
  <c r="N127" i="1"/>
  <c r="D180" i="1" s="1"/>
  <c r="A128" i="1"/>
  <c r="B128" i="1"/>
  <c r="R142" i="1" s="1"/>
  <c r="Q142" i="1" s="1"/>
  <c r="I128" i="1"/>
  <c r="N128" i="1"/>
  <c r="I129" i="1"/>
  <c r="N129" i="1"/>
  <c r="B130" i="1"/>
  <c r="I130" i="1"/>
  <c r="N130" i="1"/>
  <c r="C183" i="1" s="1"/>
  <c r="M196" i="1" s="1"/>
  <c r="P196" i="1" s="1"/>
  <c r="O130" i="1"/>
  <c r="P130" i="1"/>
  <c r="I131" i="1"/>
  <c r="C177" i="1" s="1"/>
  <c r="H197" i="1" s="1"/>
  <c r="N131" i="1"/>
  <c r="E184" i="1" s="1"/>
  <c r="P131" i="1"/>
  <c r="I132" i="1"/>
  <c r="E178" i="1" s="1"/>
  <c r="K132" i="1"/>
  <c r="J132" i="1" s="1"/>
  <c r="N132" i="1"/>
  <c r="E185" i="1" s="1"/>
  <c r="O132" i="1"/>
  <c r="P132" i="1"/>
  <c r="L162" i="1"/>
  <c r="I165" i="1"/>
  <c r="B173" i="1"/>
  <c r="L173" i="1"/>
  <c r="B174" i="1"/>
  <c r="L174" i="1"/>
  <c r="B175" i="1"/>
  <c r="L175" i="1"/>
  <c r="B176" i="1"/>
  <c r="L176" i="1"/>
  <c r="B177" i="1"/>
  <c r="L177" i="1"/>
  <c r="B178" i="1"/>
  <c r="L178" i="1"/>
  <c r="B180" i="1"/>
  <c r="L180" i="1"/>
  <c r="B182" i="1"/>
  <c r="L182" i="1"/>
  <c r="B183" i="1"/>
  <c r="L183" i="1"/>
  <c r="B184" i="1"/>
  <c r="L184" i="1"/>
  <c r="B185" i="1"/>
  <c r="L185" i="1"/>
  <c r="A188" i="1"/>
  <c r="C188" i="1"/>
  <c r="P188" i="1"/>
  <c r="Q188" i="1"/>
  <c r="A189" i="1"/>
  <c r="C189" i="1"/>
  <c r="C193" i="1"/>
  <c r="I193" i="1"/>
  <c r="N193" i="1"/>
  <c r="C194" i="1"/>
  <c r="N194" i="1"/>
  <c r="C195" i="1"/>
  <c r="N195" i="1"/>
  <c r="C196" i="1"/>
  <c r="I196" i="1"/>
  <c r="N196" i="1"/>
  <c r="I197" i="1"/>
  <c r="N197" i="1"/>
  <c r="C198" i="1"/>
  <c r="I198" i="1"/>
  <c r="N198" i="1"/>
  <c r="C199" i="1"/>
  <c r="E176" i="1" l="1"/>
  <c r="O76" i="1"/>
  <c r="E60" i="2" s="1"/>
  <c r="X8" i="1"/>
  <c r="K13" i="5" s="1"/>
  <c r="B15" i="3"/>
  <c r="F15" i="3" s="1"/>
  <c r="B88" i="10"/>
  <c r="G95" i="10" s="1"/>
  <c r="H95" i="10" s="1"/>
  <c r="AB16" i="4"/>
  <c r="AB17" i="4"/>
  <c r="AB21" i="4"/>
  <c r="AB13" i="4"/>
  <c r="AB14" i="4" s="1"/>
  <c r="AB15" i="4"/>
  <c r="AB18" i="4"/>
  <c r="AB20" i="4"/>
  <c r="AB19" i="4"/>
  <c r="AB11" i="4"/>
  <c r="AB12" i="4" s="1"/>
  <c r="AB10" i="4"/>
  <c r="AB9" i="4"/>
  <c r="P142" i="1"/>
  <c r="H142" i="1"/>
  <c r="F142" i="1" s="1"/>
  <c r="E142" i="1"/>
  <c r="D142" i="1" s="1"/>
  <c r="M89" i="1"/>
  <c r="A19" i="3"/>
  <c r="A79" i="1"/>
  <c r="A198" i="1" s="1"/>
  <c r="D198" i="1" s="1"/>
  <c r="P77" i="1"/>
  <c r="O88" i="1"/>
  <c r="N182" i="1"/>
  <c r="J26" i="1"/>
  <c r="H76" i="1" s="1"/>
  <c r="H38" i="1"/>
  <c r="F38" i="1" s="1"/>
  <c r="R38" i="1"/>
  <c r="Q38" i="1" s="1"/>
  <c r="P38" i="1"/>
  <c r="H39" i="1"/>
  <c r="F39" i="1" s="1"/>
  <c r="R39" i="1"/>
  <c r="Q39" i="1" s="1"/>
  <c r="P39" i="1"/>
  <c r="P24" i="1"/>
  <c r="C176" i="1"/>
  <c r="H196" i="1" s="1"/>
  <c r="K196" i="1" s="1"/>
  <c r="O86" i="1"/>
  <c r="N75" i="1"/>
  <c r="O176" i="1"/>
  <c r="M86" i="1"/>
  <c r="N77" i="1"/>
  <c r="F180" i="1"/>
  <c r="D182" i="1"/>
  <c r="D181" i="1"/>
  <c r="M88" i="1"/>
  <c r="P75" i="1"/>
  <c r="P78" i="1"/>
  <c r="O78" i="1"/>
  <c r="E62" i="2" s="1"/>
  <c r="E87" i="1"/>
  <c r="M178" i="1"/>
  <c r="F198" i="1"/>
  <c r="J198" i="1" s="1"/>
  <c r="L121" i="1"/>
  <c r="O121" i="1" s="1"/>
  <c r="M90" i="1"/>
  <c r="P79" i="1"/>
  <c r="O79" i="1"/>
  <c r="E63" i="2" s="1"/>
  <c r="M177" i="1"/>
  <c r="O89" i="1"/>
  <c r="J87" i="1"/>
  <c r="N79" i="1"/>
  <c r="N78" i="1"/>
  <c r="C3" i="8"/>
  <c r="M79" i="1"/>
  <c r="D63" i="2" s="1"/>
  <c r="L198" i="1"/>
  <c r="O198" i="1" s="1"/>
  <c r="F118" i="1"/>
  <c r="J118" i="1" s="1"/>
  <c r="J79" i="1"/>
  <c r="F185" i="1"/>
  <c r="J90" i="1"/>
  <c r="C178" i="1"/>
  <c r="H198" i="1" s="1"/>
  <c r="O178" i="1"/>
  <c r="J196" i="1"/>
  <c r="F193" i="1"/>
  <c r="J193" i="1" s="1"/>
  <c r="F117" i="1"/>
  <c r="J117" i="1" s="1"/>
  <c r="M85" i="1"/>
  <c r="N74" i="1"/>
  <c r="L195" i="1"/>
  <c r="O195" i="1" s="1"/>
  <c r="F195" i="1"/>
  <c r="O185" i="1"/>
  <c r="E177" i="1"/>
  <c r="F120" i="1"/>
  <c r="K90" i="1"/>
  <c r="J89" i="1"/>
  <c r="P76" i="1"/>
  <c r="E18" i="3"/>
  <c r="L18" i="3" s="1"/>
  <c r="A199" i="1"/>
  <c r="D199" i="1" s="1"/>
  <c r="P185" i="1"/>
  <c r="C185" i="1"/>
  <c r="M198" i="1" s="1"/>
  <c r="P198" i="1" s="1"/>
  <c r="D184" i="1"/>
  <c r="F183" i="1"/>
  <c r="O87" i="1"/>
  <c r="I79" i="1"/>
  <c r="L38" i="1"/>
  <c r="K38" i="1" s="1"/>
  <c r="M184" i="1"/>
  <c r="O183" i="1"/>
  <c r="F182" i="1"/>
  <c r="P181" i="1"/>
  <c r="F181" i="1"/>
  <c r="O177" i="1"/>
  <c r="F119" i="1"/>
  <c r="M87" i="1"/>
  <c r="H78" i="1"/>
  <c r="H121" i="1" s="1"/>
  <c r="N76" i="1"/>
  <c r="J76" i="1"/>
  <c r="E17" i="2" s="1"/>
  <c r="M76" i="1"/>
  <c r="D60" i="2" s="1"/>
  <c r="N38" i="1"/>
  <c r="M38" i="1" s="1"/>
  <c r="K75" i="1"/>
  <c r="L90" i="1"/>
  <c r="K79" i="1"/>
  <c r="J38" i="1"/>
  <c r="I38" i="1" s="1"/>
  <c r="E38" i="1"/>
  <c r="D38" i="1" s="1"/>
  <c r="L39" i="1"/>
  <c r="K39" i="1" s="1"/>
  <c r="A196" i="1"/>
  <c r="D196" i="1" s="1"/>
  <c r="A120" i="1"/>
  <c r="D120" i="1" s="1"/>
  <c r="A21" i="3"/>
  <c r="K89" i="1"/>
  <c r="J39" i="1"/>
  <c r="I39" i="1" s="1"/>
  <c r="A18" i="3"/>
  <c r="L87" i="1"/>
  <c r="L88" i="1"/>
  <c r="I75" i="1"/>
  <c r="E39" i="1"/>
  <c r="D39" i="1" s="1"/>
  <c r="L86" i="1"/>
  <c r="H62" i="1"/>
  <c r="M74" i="1"/>
  <c r="L193" i="1"/>
  <c r="O193" i="1" s="1"/>
  <c r="N180" i="1"/>
  <c r="P74" i="1"/>
  <c r="D3" i="8"/>
  <c r="E19" i="3"/>
  <c r="L19" i="3" s="1"/>
  <c r="A89" i="1"/>
  <c r="A197" i="1"/>
  <c r="D197" i="1" s="1"/>
  <c r="Q43" i="4"/>
  <c r="A22" i="3"/>
  <c r="K77" i="1"/>
  <c r="K76" i="1"/>
  <c r="C38" i="1"/>
  <c r="B38" i="1" s="1"/>
  <c r="N39" i="1"/>
  <c r="M39" i="1" s="1"/>
  <c r="L89" i="1"/>
  <c r="I78" i="1"/>
  <c r="L85" i="1"/>
  <c r="K78" i="1"/>
  <c r="I74" i="1"/>
  <c r="J74" i="1"/>
  <c r="K85" i="1" s="1"/>
  <c r="K74" i="1"/>
  <c r="T46" i="5"/>
  <c r="K31" i="1"/>
  <c r="I62" i="1" s="1"/>
  <c r="T48" i="5"/>
  <c r="C15" i="3"/>
  <c r="T49" i="5"/>
  <c r="C16" i="3"/>
  <c r="T45" i="5"/>
  <c r="G12" i="2"/>
  <c r="J9" i="3" s="1"/>
  <c r="J75" i="1"/>
  <c r="K86" i="1" s="1"/>
  <c r="F194" i="1"/>
  <c r="J194" i="1" s="1"/>
  <c r="E25" i="3"/>
  <c r="H25" i="3" s="1"/>
  <c r="L25" i="3"/>
  <c r="J8" i="3"/>
  <c r="P7" i="4" s="1"/>
  <c r="N178" i="1"/>
  <c r="H75" i="1"/>
  <c r="D16" i="2" s="1"/>
  <c r="C27" i="3"/>
  <c r="F27" i="3" s="1"/>
  <c r="M27" i="3" s="1"/>
  <c r="D178" i="1"/>
  <c r="F178" i="1"/>
  <c r="P178" i="1"/>
  <c r="A121" i="1"/>
  <c r="D121" i="1" s="1"/>
  <c r="E21" i="3"/>
  <c r="L21" i="3" s="1"/>
  <c r="A88" i="1"/>
  <c r="Q27" i="4"/>
  <c r="L142" i="1"/>
  <c r="K142" i="1" s="1"/>
  <c r="C142" i="1"/>
  <c r="B142" i="1" s="1"/>
  <c r="A38" i="1"/>
  <c r="E14" i="2"/>
  <c r="L27" i="3"/>
  <c r="D62" i="2"/>
  <c r="M121" i="1"/>
  <c r="P121" i="1" s="1"/>
  <c r="E20" i="4"/>
  <c r="F20" i="4" s="1"/>
  <c r="E18" i="4"/>
  <c r="F18" i="4" s="1"/>
  <c r="E17" i="4"/>
  <c r="F17" i="4" s="1"/>
  <c r="E21" i="4"/>
  <c r="F21" i="4" s="1"/>
  <c r="E16" i="4"/>
  <c r="F16" i="4" s="1"/>
  <c r="E19" i="4"/>
  <c r="F19" i="4" s="1"/>
  <c r="K122" i="1"/>
  <c r="J122" i="1"/>
  <c r="J121" i="1"/>
  <c r="K121" i="1"/>
  <c r="L26" i="3"/>
  <c r="E26" i="3"/>
  <c r="H26" i="3" s="1"/>
  <c r="M120" i="1"/>
  <c r="P120" i="1" s="1"/>
  <c r="D61" i="2"/>
  <c r="M185" i="1"/>
  <c r="D185" i="1"/>
  <c r="O184" i="1"/>
  <c r="F184" i="1"/>
  <c r="M183" i="1"/>
  <c r="D183" i="1"/>
  <c r="N142" i="1"/>
  <c r="M142" i="1" s="1"/>
  <c r="J142" i="1"/>
  <c r="I142" i="1" s="1"/>
  <c r="J77" i="1"/>
  <c r="K88" i="1" s="1"/>
  <c r="L196" i="1"/>
  <c r="O196" i="1" s="1"/>
  <c r="N185" i="1"/>
  <c r="P184" i="1"/>
  <c r="C184" i="1"/>
  <c r="M197" i="1" s="1"/>
  <c r="P197" i="1" s="1"/>
  <c r="N183" i="1"/>
  <c r="E183" i="1"/>
  <c r="P182" i="1"/>
  <c r="N181" i="1"/>
  <c r="P180" i="1"/>
  <c r="C39" i="1"/>
  <c r="L24" i="3"/>
  <c r="O77" i="1"/>
  <c r="E61" i="2" s="1"/>
  <c r="F197" i="1"/>
  <c r="N184" i="1"/>
  <c r="P183" i="1"/>
  <c r="J27" i="1"/>
  <c r="H77" i="1" s="1"/>
  <c r="H120" i="1" s="1"/>
  <c r="H74" i="1"/>
  <c r="E9" i="4"/>
  <c r="F9" i="4" s="1"/>
  <c r="E10" i="4"/>
  <c r="F10" i="4" s="1"/>
  <c r="E11" i="4"/>
  <c r="F11" i="4" s="1"/>
  <c r="E12" i="4"/>
  <c r="F12" i="4" s="1"/>
  <c r="E13" i="4"/>
  <c r="F13" i="4" s="1"/>
  <c r="E14" i="4"/>
  <c r="F14" i="4" s="1"/>
  <c r="E15" i="4"/>
  <c r="F15" i="4" s="1"/>
  <c r="AE28" i="4"/>
  <c r="B27" i="4"/>
  <c r="AF28" i="4"/>
  <c r="B43" i="4"/>
  <c r="M176" i="1" l="1"/>
  <c r="N87" i="1"/>
  <c r="D15" i="2"/>
  <c r="B24" i="3" s="1"/>
  <c r="H117" i="1"/>
  <c r="K117" i="1" s="1"/>
  <c r="W45" i="5"/>
  <c r="O74" i="1"/>
  <c r="D58" i="2"/>
  <c r="B25" i="3"/>
  <c r="C25" i="3" s="1"/>
  <c r="F25" i="3" s="1"/>
  <c r="M25" i="3" s="1"/>
  <c r="K87" i="1"/>
  <c r="H119" i="1"/>
  <c r="K119" i="1" s="1"/>
  <c r="D17" i="2"/>
  <c r="U20" i="4"/>
  <c r="U16" i="4"/>
  <c r="U19" i="4"/>
  <c r="U15" i="4"/>
  <c r="U18" i="4"/>
  <c r="U21" i="4"/>
  <c r="U17" i="4"/>
  <c r="A122" i="1"/>
  <c r="D122" i="1" s="1"/>
  <c r="O142" i="1"/>
  <c r="S142" i="1" s="1"/>
  <c r="L165" i="1" s="1"/>
  <c r="T142" i="1"/>
  <c r="P165" i="1" s="1"/>
  <c r="T38" i="1"/>
  <c r="E74" i="1" s="1"/>
  <c r="O39" i="1"/>
  <c r="T39" i="1"/>
  <c r="A90" i="1"/>
  <c r="J31" i="1"/>
  <c r="K93" i="1" s="1"/>
  <c r="O38" i="1"/>
  <c r="S38" i="1" s="1"/>
  <c r="B74" i="1" s="1"/>
  <c r="B117" i="1" s="1"/>
  <c r="E16" i="2"/>
  <c r="M119" i="1"/>
  <c r="P119" i="1" s="1"/>
  <c r="K198" i="1"/>
  <c r="M122" i="1"/>
  <c r="P122" i="1" s="1"/>
  <c r="J195" i="1"/>
  <c r="J119" i="1"/>
  <c r="J120" i="1"/>
  <c r="K120" i="1"/>
  <c r="M117" i="1"/>
  <c r="P117" i="1" s="1"/>
  <c r="N85" i="1"/>
  <c r="E15" i="2"/>
  <c r="H118" i="1"/>
  <c r="K118" i="1" s="1"/>
  <c r="C11" i="8"/>
  <c r="C13" i="8"/>
  <c r="N9" i="3"/>
  <c r="G13" i="2"/>
  <c r="J10" i="3" s="1"/>
  <c r="P10" i="3" s="1"/>
  <c r="Q7" i="4"/>
  <c r="U14" i="4"/>
  <c r="N8" i="3"/>
  <c r="C16" i="8"/>
  <c r="C12" i="8"/>
  <c r="A74" i="1"/>
  <c r="A85" i="1" s="1"/>
  <c r="C15" i="8"/>
  <c r="C14" i="8"/>
  <c r="K197" i="1"/>
  <c r="J197" i="1"/>
  <c r="B39" i="1"/>
  <c r="C6" i="8"/>
  <c r="C5" i="8"/>
  <c r="C10" i="8"/>
  <c r="C9" i="8"/>
  <c r="C8" i="8"/>
  <c r="C7" i="8"/>
  <c r="G10" i="4"/>
  <c r="D49" i="10" s="1"/>
  <c r="G11" i="4"/>
  <c r="D50" i="10" s="1"/>
  <c r="G12" i="4"/>
  <c r="D51" i="10" s="1"/>
  <c r="G13" i="4"/>
  <c r="D52" i="10" s="1"/>
  <c r="G14" i="4"/>
  <c r="D53" i="10" s="1"/>
  <c r="G8" i="4"/>
  <c r="AJ43" i="4"/>
  <c r="AK43" i="4"/>
  <c r="AK42" i="4"/>
  <c r="AJ42" i="4"/>
  <c r="AK41" i="4"/>
  <c r="AJ41" i="4"/>
  <c r="AK40" i="4"/>
  <c r="AJ40" i="4"/>
  <c r="AJ39" i="4"/>
  <c r="AK39" i="4"/>
  <c r="AK38" i="4"/>
  <c r="AJ38" i="4"/>
  <c r="AH36" i="4"/>
  <c r="E58" i="2" l="1"/>
  <c r="E18" i="2"/>
  <c r="B26" i="3"/>
  <c r="C26" i="3" s="1"/>
  <c r="S39" i="1"/>
  <c r="I86" i="1" s="1"/>
  <c r="I61" i="1"/>
  <c r="G9" i="4"/>
  <c r="D48" i="10" s="1"/>
  <c r="N11" i="4"/>
  <c r="N20" i="4"/>
  <c r="N16" i="4"/>
  <c r="N14" i="4"/>
  <c r="N9" i="4"/>
  <c r="N12" i="4"/>
  <c r="N21" i="4"/>
  <c r="N19" i="4"/>
  <c r="N15" i="4"/>
  <c r="N13" i="4"/>
  <c r="C74" i="1"/>
  <c r="B61" i="1"/>
  <c r="D61" i="1" s="1"/>
  <c r="E61" i="1" s="1"/>
  <c r="B85" i="1"/>
  <c r="H85" i="1" s="1"/>
  <c r="I85" i="1"/>
  <c r="C85" i="1"/>
  <c r="D74" i="1"/>
  <c r="E5" i="2" s="1"/>
  <c r="K125" i="1"/>
  <c r="D165" i="1"/>
  <c r="M165" i="1"/>
  <c r="C165" i="1"/>
  <c r="B194" i="1" s="1"/>
  <c r="N165" i="1"/>
  <c r="B165" i="1"/>
  <c r="B152" i="1" s="1"/>
  <c r="I152" i="1" s="1"/>
  <c r="T152" i="1"/>
  <c r="H152" i="1"/>
  <c r="G11" i="5"/>
  <c r="O165" i="1"/>
  <c r="F165" i="1"/>
  <c r="E165" i="1"/>
  <c r="A117" i="1"/>
  <c r="A193" i="1"/>
  <c r="D193" i="1" s="1"/>
  <c r="F85" i="1"/>
  <c r="E75" i="1"/>
  <c r="D75" i="1"/>
  <c r="C24" i="3"/>
  <c r="F24" i="3"/>
  <c r="M24" i="3" s="1"/>
  <c r="F26" i="3" l="1"/>
  <c r="M26" i="3" s="1"/>
  <c r="D152" i="1"/>
  <c r="F86" i="1"/>
  <c r="A86" i="1"/>
  <c r="C86" i="1"/>
  <c r="C75" i="1"/>
  <c r="A75" i="1"/>
  <c r="A194" i="1" s="1"/>
  <c r="B75" i="1"/>
  <c r="B118" i="1" s="1"/>
  <c r="B86" i="1"/>
  <c r="H86" i="1" s="1"/>
  <c r="B62" i="1"/>
  <c r="C62" i="1" s="1"/>
  <c r="E10" i="8"/>
  <c r="E15" i="8"/>
  <c r="E9" i="8"/>
  <c r="E8" i="8"/>
  <c r="E16" i="8"/>
  <c r="E11" i="8"/>
  <c r="E7" i="8"/>
  <c r="AC14" i="4"/>
  <c r="AC21" i="4"/>
  <c r="AC17" i="4"/>
  <c r="AC16" i="4"/>
  <c r="AC19" i="4"/>
  <c r="AC15" i="4"/>
  <c r="AC18" i="4"/>
  <c r="AC20" i="4"/>
  <c r="AC10" i="4"/>
  <c r="AC13" i="4"/>
  <c r="AC9" i="4"/>
  <c r="AC11" i="4"/>
  <c r="AC12" i="4" s="1"/>
  <c r="N18" i="4"/>
  <c r="E14" i="8" s="1"/>
  <c r="I19" i="4"/>
  <c r="J19" i="4" s="1"/>
  <c r="I15" i="4"/>
  <c r="J15" i="4" s="1"/>
  <c r="I11" i="4"/>
  <c r="J11" i="4" s="1"/>
  <c r="I9" i="4"/>
  <c r="J9" i="4" s="1"/>
  <c r="I18" i="4"/>
  <c r="J18" i="4" s="1"/>
  <c r="I14" i="4"/>
  <c r="J14" i="4" s="1"/>
  <c r="I10" i="4"/>
  <c r="J10" i="4" s="1"/>
  <c r="I17" i="4"/>
  <c r="J17" i="4" s="1"/>
  <c r="I16" i="4"/>
  <c r="J16" i="4" s="1"/>
  <c r="I12" i="4"/>
  <c r="J12" i="4" s="1"/>
  <c r="I21" i="4"/>
  <c r="J21" i="4" s="1"/>
  <c r="I13" i="4"/>
  <c r="J13" i="4" s="1"/>
  <c r="I20" i="4"/>
  <c r="J20" i="4" s="1"/>
  <c r="N17" i="4"/>
  <c r="N10" i="4"/>
  <c r="C61" i="1"/>
  <c r="S152" i="1"/>
  <c r="C152" i="1"/>
  <c r="J152" i="1" s="1"/>
  <c r="D117" i="1"/>
  <c r="E117" i="1"/>
  <c r="D62" i="1" l="1"/>
  <c r="E62" i="1" s="1"/>
  <c r="A118" i="1"/>
  <c r="D118" i="1" s="1"/>
  <c r="E6" i="8"/>
  <c r="E5" i="8"/>
  <c r="E13" i="8"/>
  <c r="E12" i="8"/>
  <c r="D11" i="8"/>
  <c r="D9" i="8"/>
  <c r="D15" i="8"/>
  <c r="D14" i="8"/>
  <c r="D13" i="8"/>
  <c r="D16" i="8"/>
  <c r="D6" i="8"/>
  <c r="D7" i="8"/>
  <c r="D5" i="8"/>
  <c r="D10" i="8"/>
  <c r="D8" i="8"/>
  <c r="D12" i="8"/>
  <c r="E194" i="1"/>
  <c r="D194" i="1"/>
  <c r="E118" i="1" l="1"/>
  <c r="O127" i="1"/>
  <c r="P127" i="1" s="1"/>
  <c r="E180" i="1" l="1"/>
  <c r="O180" i="1"/>
  <c r="C180" i="1"/>
  <c r="M193" i="1" s="1"/>
  <c r="P193" i="1" s="1"/>
  <c r="M180" i="1"/>
  <c r="J141" i="1"/>
  <c r="E141" i="1"/>
  <c r="L141" i="1"/>
  <c r="C141" i="1"/>
  <c r="H141" i="1"/>
  <c r="R141" i="1"/>
  <c r="P141" i="1"/>
  <c r="N141" i="1"/>
  <c r="T141" i="1" l="1"/>
  <c r="O141" i="1"/>
  <c r="K141" i="1"/>
  <c r="Q141" i="1"/>
  <c r="D141" i="1"/>
  <c r="F141" i="1"/>
  <c r="I141" i="1"/>
  <c r="M141" i="1"/>
  <c r="B141" i="1"/>
  <c r="S141" i="1" l="1"/>
  <c r="P164" i="1"/>
  <c r="F164" i="1"/>
  <c r="E164" i="1"/>
  <c r="C164" i="1" l="1"/>
  <c r="T151" i="1"/>
  <c r="H151" i="1" s="1"/>
  <c r="I151" i="1" s="1"/>
  <c r="O164" i="1" s="1"/>
  <c r="L164" i="1"/>
  <c r="D164" i="1"/>
  <c r="B164" i="1"/>
  <c r="N164" i="1"/>
  <c r="M164" i="1" l="1"/>
  <c r="B151" i="1"/>
  <c r="S151" i="1"/>
  <c r="C151" i="1"/>
  <c r="B193" i="1"/>
  <c r="E193" i="1" s="1"/>
  <c r="J151" i="1" l="1"/>
  <c r="D151" i="1"/>
  <c r="D7" i="4" l="1"/>
  <c r="G8" i="2"/>
  <c r="AB8" i="4" l="1"/>
  <c r="AD39" i="4"/>
  <c r="AD43" i="4"/>
  <c r="AD44" i="4"/>
  <c r="AD41" i="4"/>
  <c r="AD38" i="4"/>
  <c r="AD42" i="4"/>
  <c r="AD40" i="4"/>
  <c r="J5" i="3"/>
  <c r="G9" i="2"/>
  <c r="J6" i="3" s="1"/>
  <c r="H7" i="4"/>
  <c r="AC8" i="4" l="1"/>
  <c r="AE8" i="4" s="1"/>
  <c r="AI40" i="4"/>
  <c r="AI38" i="4"/>
  <c r="AI42" i="4"/>
  <c r="AI39" i="4"/>
  <c r="AI43" i="4"/>
  <c r="AI41" i="4"/>
  <c r="N6" i="3"/>
  <c r="N5" i="3"/>
  <c r="G10" i="2"/>
  <c r="J7" i="3" s="1"/>
  <c r="AE15" i="4" l="1"/>
  <c r="T15" i="4" s="1"/>
  <c r="AE14" i="4"/>
  <c r="T14" i="4" s="1"/>
  <c r="AE18" i="4"/>
  <c r="AE12" i="4"/>
  <c r="T12" i="4" s="1"/>
  <c r="AE16" i="4"/>
  <c r="AE17" i="4"/>
  <c r="AE10" i="4"/>
  <c r="T10" i="4" s="1"/>
  <c r="AE11" i="4"/>
  <c r="T11" i="4" s="1"/>
  <c r="AE9" i="4"/>
  <c r="T9" i="4" s="1"/>
  <c r="AE13" i="4"/>
  <c r="T13" i="4" s="1"/>
  <c r="N7" i="3"/>
  <c r="G13" i="5" s="1"/>
  <c r="G90" i="10" l="1"/>
  <c r="H90" i="10" s="1"/>
  <c r="G96" i="10"/>
  <c r="H96" i="10" s="1"/>
  <c r="B26" i="1" l="1"/>
  <c r="B129" i="1"/>
  <c r="D7" i="2"/>
  <c r="B17" i="3" l="1"/>
  <c r="B134" i="1"/>
  <c r="N143" i="1"/>
  <c r="L143" i="1"/>
  <c r="R143" i="1"/>
  <c r="C143" i="1"/>
  <c r="J143" i="1"/>
  <c r="E143" i="1"/>
  <c r="P143" i="1"/>
  <c r="H143" i="1"/>
  <c r="E40" i="1"/>
  <c r="L40" i="1"/>
  <c r="N40" i="1"/>
  <c r="P40" i="1"/>
  <c r="H40" i="1"/>
  <c r="C40" i="1"/>
  <c r="R40" i="1"/>
  <c r="B31" i="1"/>
  <c r="J40" i="1"/>
  <c r="O40" i="1" l="1"/>
  <c r="F143" i="1"/>
  <c r="B143" i="1"/>
  <c r="T143" i="1"/>
  <c r="Q143" i="1"/>
  <c r="I40" i="1"/>
  <c r="F40" i="1"/>
  <c r="D40" i="1"/>
  <c r="I143" i="1"/>
  <c r="M143" i="1"/>
  <c r="T40" i="1"/>
  <c r="Q40" i="1"/>
  <c r="M40" i="1"/>
  <c r="O143" i="1"/>
  <c r="B40" i="1"/>
  <c r="K40" i="1"/>
  <c r="D143" i="1"/>
  <c r="K143" i="1"/>
  <c r="C17" i="3"/>
  <c r="F166" i="1" l="1"/>
  <c r="E166" i="1"/>
  <c r="P166" i="1"/>
  <c r="S40" i="1"/>
  <c r="R76" i="1" s="1"/>
  <c r="L5" i="2" s="1"/>
  <c r="D76" i="1"/>
  <c r="E7" i="2" s="1"/>
  <c r="E76" i="1"/>
  <c r="S143" i="1"/>
  <c r="T153" i="1" l="1"/>
  <c r="B166" i="1"/>
  <c r="N166" i="1"/>
  <c r="C166" i="1"/>
  <c r="L166" i="1"/>
  <c r="D166" i="1"/>
  <c r="I168" i="1"/>
  <c r="A76" i="1"/>
  <c r="A87" i="1" s="1"/>
  <c r="C76" i="1"/>
  <c r="C87" i="1"/>
  <c r="B76" i="1"/>
  <c r="B119" i="1" s="1"/>
  <c r="B87" i="1"/>
  <c r="I87" i="1"/>
  <c r="L6" i="2"/>
  <c r="V4" i="2"/>
  <c r="I166" i="1" l="1"/>
  <c r="K130" i="1" s="1"/>
  <c r="B195" i="1"/>
  <c r="A119" i="1"/>
  <c r="A195" i="1"/>
  <c r="S153" i="1"/>
  <c r="B153" i="1"/>
  <c r="Q85" i="1"/>
  <c r="F87" i="1"/>
  <c r="J130" i="1" l="1"/>
  <c r="F176" i="1"/>
  <c r="N176" i="1"/>
  <c r="P176" i="1"/>
  <c r="D176" i="1"/>
  <c r="E119" i="1"/>
  <c r="D119" i="1"/>
  <c r="E195" i="1"/>
  <c r="D195" i="1"/>
  <c r="O131" i="1"/>
  <c r="K128" i="1"/>
  <c r="K129" i="1"/>
  <c r="K131" i="1"/>
  <c r="K127" i="1"/>
  <c r="O129" i="1"/>
  <c r="P129" i="1" l="1"/>
  <c r="C182" i="1"/>
  <c r="M195" i="1" s="1"/>
  <c r="P195" i="1" s="1"/>
  <c r="M182" i="1"/>
  <c r="F173" i="1"/>
  <c r="E173" i="1"/>
  <c r="O173" i="1"/>
  <c r="P173" i="1"/>
  <c r="D173" i="1"/>
  <c r="J127" i="1"/>
  <c r="K134" i="1"/>
  <c r="N173" i="1"/>
  <c r="J129" i="1"/>
  <c r="C175" i="1" s="1"/>
  <c r="N175" i="1"/>
  <c r="D175" i="1"/>
  <c r="F175" i="1"/>
  <c r="P175" i="1"/>
  <c r="E175" i="1"/>
  <c r="O175" i="1"/>
  <c r="F174" i="1"/>
  <c r="E174" i="1"/>
  <c r="J128" i="1"/>
  <c r="C174" i="1" s="1"/>
  <c r="O174" i="1"/>
  <c r="P174" i="1"/>
  <c r="N174" i="1"/>
  <c r="D174" i="1"/>
  <c r="N177" i="1"/>
  <c r="D177" i="1"/>
  <c r="F177" i="1"/>
  <c r="P177" i="1"/>
  <c r="J131" i="1"/>
  <c r="E182" i="1" l="1"/>
  <c r="O182" i="1"/>
  <c r="H195" i="1"/>
  <c r="K195" i="1" s="1"/>
  <c r="M175" i="1"/>
  <c r="J134" i="1"/>
  <c r="C173" i="1"/>
  <c r="M174" i="1"/>
  <c r="H194" i="1"/>
  <c r="K194" i="1" s="1"/>
  <c r="H193" i="1" l="1"/>
  <c r="K193" i="1" s="1"/>
  <c r="K201" i="1" s="1"/>
  <c r="M173" i="1"/>
  <c r="L75" i="1" l="1"/>
  <c r="L118" i="1" s="1"/>
  <c r="O118" i="1" s="1"/>
  <c r="O128" i="1"/>
  <c r="O25" i="1"/>
  <c r="L181" i="1"/>
  <c r="B181" i="1"/>
  <c r="C181" i="1" l="1"/>
  <c r="M194" i="1" s="1"/>
  <c r="P194" i="1" s="1"/>
  <c r="P201" i="1" s="1"/>
  <c r="P128" i="1"/>
  <c r="M75" i="1"/>
  <c r="M118" i="1" s="1"/>
  <c r="P118" i="1" s="1"/>
  <c r="P125" i="1" s="1"/>
  <c r="P25" i="1"/>
  <c r="O31" i="1"/>
  <c r="N93" i="1" s="1"/>
  <c r="O134" i="1"/>
  <c r="M181" i="1"/>
  <c r="N86" i="1"/>
  <c r="L194" i="1"/>
  <c r="O194" i="1" s="1"/>
  <c r="D59" i="2" l="1"/>
  <c r="J61" i="1"/>
  <c r="O75" i="1"/>
  <c r="E59" i="2" s="1"/>
  <c r="P31" i="1"/>
  <c r="E181" i="1"/>
  <c r="O181" i="1"/>
  <c r="P134" i="1"/>
  <c r="B136" i="1" s="1"/>
  <c r="E136" i="1" s="1"/>
  <c r="L144" i="1" l="1"/>
  <c r="E144" i="1"/>
  <c r="N144" i="1"/>
  <c r="W139" i="1"/>
  <c r="W140" i="1" s="1"/>
  <c r="C144" i="1"/>
  <c r="H144" i="1"/>
  <c r="J144" i="1"/>
  <c r="J62" i="1"/>
  <c r="B33" i="1"/>
  <c r="E33" i="1" s="1"/>
  <c r="P144" i="1" l="1"/>
  <c r="P145" i="1"/>
  <c r="R144" i="1"/>
  <c r="N145" i="1"/>
  <c r="M145" i="1" s="1"/>
  <c r="M144" i="1"/>
  <c r="E145" i="1"/>
  <c r="D145" i="1" s="1"/>
  <c r="D144" i="1"/>
  <c r="E146" i="1"/>
  <c r="R148" i="1"/>
  <c r="Q148" i="1" s="1"/>
  <c r="P146" i="1"/>
  <c r="R147" i="1"/>
  <c r="Q147" i="1" s="1"/>
  <c r="P147" i="1"/>
  <c r="P148" i="1"/>
  <c r="R146" i="1"/>
  <c r="Q146" i="1" s="1"/>
  <c r="I144" i="1"/>
  <c r="J146" i="1"/>
  <c r="I146" i="1" s="1"/>
  <c r="J145" i="1"/>
  <c r="I145" i="1" s="1"/>
  <c r="W36" i="1"/>
  <c r="H41" i="1"/>
  <c r="C41" i="1"/>
  <c r="L41" i="1"/>
  <c r="E41" i="1"/>
  <c r="N41" i="1"/>
  <c r="J41" i="1"/>
  <c r="F144" i="1"/>
  <c r="H146" i="1"/>
  <c r="C146" i="1"/>
  <c r="B146" i="1" s="1"/>
  <c r="B144" i="1"/>
  <c r="K144" i="1"/>
  <c r="K149" i="1" s="1"/>
  <c r="L149" i="1"/>
  <c r="I149" i="1" l="1"/>
  <c r="C149" i="1"/>
  <c r="J149" i="1"/>
  <c r="B149" i="1"/>
  <c r="H147" i="1"/>
  <c r="F147" i="1" s="1"/>
  <c r="F146" i="1"/>
  <c r="O146" i="1"/>
  <c r="T146" i="1"/>
  <c r="I41" i="1"/>
  <c r="J43" i="1"/>
  <c r="I43" i="1" s="1"/>
  <c r="J42" i="1"/>
  <c r="I42" i="1" s="1"/>
  <c r="O148" i="1"/>
  <c r="S148" i="1" s="1"/>
  <c r="T148" i="1"/>
  <c r="Q144" i="1"/>
  <c r="Q149" i="1" s="1"/>
  <c r="R149" i="1"/>
  <c r="K41" i="1"/>
  <c r="K46" i="1" s="1"/>
  <c r="L46" i="1"/>
  <c r="C43" i="1"/>
  <c r="B43" i="1" s="1"/>
  <c r="B41" i="1"/>
  <c r="N42" i="1"/>
  <c r="M42" i="1" s="1"/>
  <c r="M41" i="1"/>
  <c r="H43" i="1"/>
  <c r="F41" i="1"/>
  <c r="O147" i="1"/>
  <c r="N149" i="1"/>
  <c r="T145" i="1"/>
  <c r="O145" i="1"/>
  <c r="S145" i="1" s="1"/>
  <c r="E43" i="1"/>
  <c r="E42" i="1"/>
  <c r="D42" i="1" s="1"/>
  <c r="D41" i="1"/>
  <c r="W37" i="1"/>
  <c r="P41" i="1"/>
  <c r="P42" i="1"/>
  <c r="R41" i="1"/>
  <c r="E147" i="1"/>
  <c r="D147" i="1" s="1"/>
  <c r="D146" i="1"/>
  <c r="M149" i="1"/>
  <c r="O144" i="1"/>
  <c r="T144" i="1"/>
  <c r="P149" i="1"/>
  <c r="S147" i="1" l="1"/>
  <c r="D170" i="1" s="1"/>
  <c r="H149" i="1"/>
  <c r="S146" i="1"/>
  <c r="L169" i="1" s="1"/>
  <c r="T147" i="1"/>
  <c r="P170" i="1" s="1"/>
  <c r="M46" i="1"/>
  <c r="F149" i="1"/>
  <c r="D149" i="1"/>
  <c r="B46" i="1"/>
  <c r="B171" i="1"/>
  <c r="T158" i="1"/>
  <c r="L171" i="1"/>
  <c r="C171" i="1"/>
  <c r="B200" i="1" s="1"/>
  <c r="E200" i="1" s="1"/>
  <c r="D171" i="1"/>
  <c r="N171" i="1"/>
  <c r="C158" i="1"/>
  <c r="J158" i="1" s="1"/>
  <c r="E149" i="1"/>
  <c r="I46" i="1"/>
  <c r="O41" i="1"/>
  <c r="T41" i="1"/>
  <c r="S144" i="1"/>
  <c r="O149" i="1"/>
  <c r="E44" i="1"/>
  <c r="D44" i="1" s="1"/>
  <c r="D43" i="1"/>
  <c r="Q41" i="1"/>
  <c r="C168" i="1"/>
  <c r="B197" i="1" s="1"/>
  <c r="E197" i="1" s="1"/>
  <c r="T155" i="1"/>
  <c r="B168" i="1"/>
  <c r="C155" i="1"/>
  <c r="J155" i="1" s="1"/>
  <c r="D168" i="1"/>
  <c r="L168" i="1"/>
  <c r="N168" i="1"/>
  <c r="F43" i="1"/>
  <c r="H44" i="1"/>
  <c r="J46" i="1"/>
  <c r="P169" i="1"/>
  <c r="E169" i="1"/>
  <c r="F169" i="1"/>
  <c r="F167" i="1"/>
  <c r="P167" i="1"/>
  <c r="E167" i="1"/>
  <c r="P171" i="1"/>
  <c r="E171" i="1"/>
  <c r="F171" i="1"/>
  <c r="R45" i="1"/>
  <c r="Q45" i="1" s="1"/>
  <c r="P44" i="1"/>
  <c r="R44" i="1"/>
  <c r="Q44" i="1" s="1"/>
  <c r="P43" i="1"/>
  <c r="R43" i="1"/>
  <c r="Q43" i="1" s="1"/>
  <c r="P45" i="1"/>
  <c r="O42" i="1"/>
  <c r="S42" i="1" s="1"/>
  <c r="T42" i="1"/>
  <c r="E78" i="1" s="1"/>
  <c r="F168" i="1"/>
  <c r="P168" i="1"/>
  <c r="E168" i="1"/>
  <c r="N46" i="1"/>
  <c r="C46" i="1"/>
  <c r="T149" i="1" l="1"/>
  <c r="I172" i="1" s="1"/>
  <c r="N170" i="1"/>
  <c r="C170" i="1"/>
  <c r="B199" i="1" s="1"/>
  <c r="E199" i="1" s="1"/>
  <c r="N169" i="1"/>
  <c r="C169" i="1"/>
  <c r="B198" i="1" s="1"/>
  <c r="E198" i="1" s="1"/>
  <c r="T156" i="1"/>
  <c r="C156" i="1"/>
  <c r="D156" i="1" s="1"/>
  <c r="B169" i="1"/>
  <c r="S156" i="1" s="1"/>
  <c r="D169" i="1"/>
  <c r="S149" i="1"/>
  <c r="I167" i="1" s="1"/>
  <c r="L170" i="1"/>
  <c r="E170" i="1"/>
  <c r="B170" i="1"/>
  <c r="S157" i="1" s="1"/>
  <c r="C157" i="1"/>
  <c r="J157" i="1" s="1"/>
  <c r="T157" i="1"/>
  <c r="I170" i="1"/>
  <c r="F170" i="1"/>
  <c r="D46" i="1"/>
  <c r="E46" i="1"/>
  <c r="O44" i="1"/>
  <c r="T44" i="1"/>
  <c r="E80" i="1" s="1"/>
  <c r="P46" i="1"/>
  <c r="B155" i="1"/>
  <c r="S155" i="1"/>
  <c r="Q46" i="1"/>
  <c r="S41" i="1"/>
  <c r="O45" i="1"/>
  <c r="S45" i="1" s="1"/>
  <c r="I92" i="1" s="1"/>
  <c r="T45" i="1"/>
  <c r="E81" i="1" s="1"/>
  <c r="F44" i="1"/>
  <c r="F46" i="1" s="1"/>
  <c r="H46" i="1"/>
  <c r="B65" i="1"/>
  <c r="C89" i="1"/>
  <c r="B89" i="1"/>
  <c r="I89" i="1"/>
  <c r="B78" i="1"/>
  <c r="C78" i="1"/>
  <c r="D155" i="1"/>
  <c r="F155" i="1" s="1"/>
  <c r="O43" i="1"/>
  <c r="S43" i="1" s="1"/>
  <c r="T43" i="1"/>
  <c r="R46" i="1"/>
  <c r="C167" i="1"/>
  <c r="B196" i="1" s="1"/>
  <c r="E196" i="1" s="1"/>
  <c r="I169" i="1"/>
  <c r="N167" i="1"/>
  <c r="T154" i="1"/>
  <c r="C154" i="1"/>
  <c r="B167" i="1"/>
  <c r="L167" i="1"/>
  <c r="D167" i="1"/>
  <c r="E77" i="1"/>
  <c r="D77" i="1"/>
  <c r="E11" i="2" s="1"/>
  <c r="AA41" i="1"/>
  <c r="B158" i="1"/>
  <c r="S158" i="1"/>
  <c r="J156" i="1" l="1"/>
  <c r="E201" i="1"/>
  <c r="Q193" i="1" s="1"/>
  <c r="B156" i="1"/>
  <c r="S46" i="1"/>
  <c r="R74" i="1" s="1"/>
  <c r="H67" i="10" s="1"/>
  <c r="S44" i="1"/>
  <c r="C91" i="1" s="1"/>
  <c r="T46" i="1"/>
  <c r="R79" i="1" s="1"/>
  <c r="B157" i="1"/>
  <c r="B68" i="1"/>
  <c r="C92" i="1"/>
  <c r="B92" i="1"/>
  <c r="C81" i="1"/>
  <c r="B81" i="1"/>
  <c r="D158" i="1"/>
  <c r="F158" i="1" s="1"/>
  <c r="C77" i="1"/>
  <c r="C88" i="1"/>
  <c r="I88" i="1"/>
  <c r="R77" i="1"/>
  <c r="B77" i="1"/>
  <c r="B92" i="10" s="1"/>
  <c r="B88" i="1"/>
  <c r="F88" i="1"/>
  <c r="B64" i="1"/>
  <c r="D154" i="1"/>
  <c r="B154" i="1"/>
  <c r="S154" i="1"/>
  <c r="F89" i="1"/>
  <c r="B93" i="10"/>
  <c r="E155" i="1"/>
  <c r="H155" i="1" s="1"/>
  <c r="O46" i="1"/>
  <c r="C90" i="1"/>
  <c r="B79" i="1"/>
  <c r="B66" i="1"/>
  <c r="F90" i="1"/>
  <c r="I90" i="1"/>
  <c r="C79" i="1"/>
  <c r="B90" i="1"/>
  <c r="E156" i="1"/>
  <c r="F156" i="1"/>
  <c r="C153" i="1"/>
  <c r="J154" i="1"/>
  <c r="D79" i="1"/>
  <c r="E8" i="2" s="1"/>
  <c r="E79" i="1"/>
  <c r="AA43" i="1"/>
  <c r="D78" i="1"/>
  <c r="E12" i="2" s="1"/>
  <c r="B121" i="1"/>
  <c r="E121" i="1" s="1"/>
  <c r="V3" i="2"/>
  <c r="D12" i="2"/>
  <c r="C65" i="1"/>
  <c r="D65" i="1"/>
  <c r="B91" i="1" l="1"/>
  <c r="F91" i="1" s="1"/>
  <c r="F92" i="1"/>
  <c r="B80" i="1"/>
  <c r="B123" i="1" s="1"/>
  <c r="E123" i="1" s="1"/>
  <c r="D157" i="1"/>
  <c r="F157" i="1" s="1"/>
  <c r="S48" i="1"/>
  <c r="T49" i="1" s="1"/>
  <c r="I11" i="2" s="1"/>
  <c r="K8" i="3" s="1"/>
  <c r="A93" i="10"/>
  <c r="R78" i="1"/>
  <c r="C80" i="1"/>
  <c r="B67" i="1"/>
  <c r="D67" i="1" s="1"/>
  <c r="Q88" i="1"/>
  <c r="Q89" i="1" s="1"/>
  <c r="I91" i="1"/>
  <c r="A92" i="10"/>
  <c r="B91" i="10"/>
  <c r="A91" i="10" s="1"/>
  <c r="E158" i="1"/>
  <c r="H158" i="1" s="1"/>
  <c r="J153" i="1"/>
  <c r="D153" i="1"/>
  <c r="C66" i="1"/>
  <c r="D66" i="1"/>
  <c r="D90" i="1" s="1"/>
  <c r="B122" i="1"/>
  <c r="E122" i="1" s="1"/>
  <c r="B89" i="10"/>
  <c r="D8" i="2"/>
  <c r="H156" i="1"/>
  <c r="E154" i="1"/>
  <c r="F154" i="1"/>
  <c r="B120" i="1"/>
  <c r="E120" i="1" s="1"/>
  <c r="V2" i="2"/>
  <c r="V5" i="2" s="1"/>
  <c r="L7" i="2" s="1"/>
  <c r="G94" i="10" s="1"/>
  <c r="H94" i="10" s="1"/>
  <c r="D11" i="2"/>
  <c r="I155" i="1"/>
  <c r="O168" i="1" s="1"/>
  <c r="M168" i="1"/>
  <c r="E89" i="1"/>
  <c r="D89" i="1"/>
  <c r="E65" i="1"/>
  <c r="C64" i="1"/>
  <c r="D64" i="1"/>
  <c r="B124" i="1"/>
  <c r="E124" i="1" s="1"/>
  <c r="D81" i="1"/>
  <c r="E10" i="2" s="1"/>
  <c r="D10" i="2"/>
  <c r="D68" i="1"/>
  <c r="C68" i="1"/>
  <c r="B93" i="1" l="1"/>
  <c r="D9" i="2"/>
  <c r="Z34" i="2" s="1"/>
  <c r="B90" i="10"/>
  <c r="A90" i="10" s="1"/>
  <c r="E68" i="1"/>
  <c r="E92" i="1"/>
  <c r="D92" i="1"/>
  <c r="D80" i="1"/>
  <c r="E9" i="2" s="1"/>
  <c r="E157" i="1"/>
  <c r="H157" i="1" s="1"/>
  <c r="I157" i="1" s="1"/>
  <c r="O170" i="1" s="1"/>
  <c r="T48" i="1"/>
  <c r="I8" i="2" s="1"/>
  <c r="K5" i="3" s="1"/>
  <c r="B19" i="3" s="1"/>
  <c r="B63" i="1"/>
  <c r="B69" i="1" s="1"/>
  <c r="C67" i="1"/>
  <c r="H89" i="1"/>
  <c r="E88" i="1"/>
  <c r="E64" i="1"/>
  <c r="D88" i="1"/>
  <c r="M169" i="1"/>
  <c r="I156" i="1"/>
  <c r="O169" i="1" s="1"/>
  <c r="H154" i="1"/>
  <c r="E125" i="1"/>
  <c r="Q117" i="1" s="1"/>
  <c r="E67" i="1"/>
  <c r="D91" i="1"/>
  <c r="E91" i="1"/>
  <c r="E66" i="1"/>
  <c r="E90" i="1"/>
  <c r="H90" i="1" s="1"/>
  <c r="I158" i="1"/>
  <c r="O171" i="1" s="1"/>
  <c r="M171" i="1"/>
  <c r="P8" i="4"/>
  <c r="P23" i="4" s="1"/>
  <c r="B22" i="3"/>
  <c r="G4" i="8"/>
  <c r="B21" i="3"/>
  <c r="Q8" i="4"/>
  <c r="Q23" i="4" s="1"/>
  <c r="E78" i="10" s="1"/>
  <c r="B23" i="3"/>
  <c r="F4" i="8"/>
  <c r="L9" i="2" l="1"/>
  <c r="E19" i="2"/>
  <c r="D19" i="2"/>
  <c r="B18" i="3"/>
  <c r="F18" i="3" s="1"/>
  <c r="H92" i="1"/>
  <c r="I62" i="5"/>
  <c r="M170" i="1"/>
  <c r="H153" i="1"/>
  <c r="I153" i="1" s="1"/>
  <c r="O166" i="1" s="1"/>
  <c r="N8" i="4"/>
  <c r="L23" i="4" s="1"/>
  <c r="C4" i="8"/>
  <c r="D4" i="8"/>
  <c r="C63" i="1"/>
  <c r="C69" i="1" s="1"/>
  <c r="E4" i="8"/>
  <c r="B20" i="3"/>
  <c r="F8" i="4"/>
  <c r="D23" i="4" s="1"/>
  <c r="J8" i="4"/>
  <c r="H23" i="4" s="1"/>
  <c r="D63" i="1"/>
  <c r="E63" i="1" s="1"/>
  <c r="E69" i="1" s="1"/>
  <c r="H91" i="1"/>
  <c r="C21" i="3"/>
  <c r="F21" i="3"/>
  <c r="M167" i="1"/>
  <c r="I154" i="1"/>
  <c r="O167" i="1" s="1"/>
  <c r="H87" i="1"/>
  <c r="Q86" i="1"/>
  <c r="Q87" i="1" s="1"/>
  <c r="H88" i="1"/>
  <c r="B78" i="10"/>
  <c r="F19" i="3"/>
  <c r="C19" i="3"/>
  <c r="F23" i="3"/>
  <c r="F22" i="3"/>
  <c r="C22" i="3"/>
  <c r="C18" i="3" l="1"/>
  <c r="B29" i="3"/>
  <c r="H16" i="8"/>
  <c r="H15" i="8"/>
  <c r="M166" i="1"/>
  <c r="H14" i="8"/>
  <c r="I63" i="5"/>
  <c r="N63" i="5" s="1"/>
  <c r="T53" i="5" s="1"/>
  <c r="H8" i="8"/>
  <c r="H7" i="8"/>
  <c r="H11" i="8"/>
  <c r="H6" i="8"/>
  <c r="H9" i="8"/>
  <c r="H10" i="8"/>
  <c r="H4" i="8"/>
  <c r="H12" i="8"/>
  <c r="H13" i="8"/>
  <c r="H5" i="8"/>
  <c r="C20" i="3"/>
  <c r="F20" i="3"/>
  <c r="F17" i="3" s="1"/>
  <c r="F29" i="3" s="1"/>
  <c r="J28" i="3" s="1"/>
  <c r="M19" i="3" s="1"/>
  <c r="D69" i="1"/>
  <c r="S11" i="4"/>
  <c r="D5" i="9" s="1"/>
  <c r="S20" i="4"/>
  <c r="D15" i="6" s="1"/>
  <c r="S18" i="4"/>
  <c r="D12" i="9" s="1"/>
  <c r="S12" i="4"/>
  <c r="D6" i="9" s="1"/>
  <c r="S21" i="4"/>
  <c r="G28" i="5" s="1"/>
  <c r="S9" i="4"/>
  <c r="S10" i="4"/>
  <c r="D5" i="6" s="1"/>
  <c r="S8" i="4"/>
  <c r="S19" i="4"/>
  <c r="G26" i="5" s="1"/>
  <c r="S17" i="4"/>
  <c r="G24" i="5" s="1"/>
  <c r="S14" i="4"/>
  <c r="G21" i="5" s="1"/>
  <c r="S13" i="4"/>
  <c r="D8" i="6" s="1"/>
  <c r="S16" i="4"/>
  <c r="C2" i="7" s="1"/>
  <c r="S15" i="4"/>
  <c r="D10" i="6" s="1"/>
  <c r="H93" i="1"/>
  <c r="Q93" i="1" s="1"/>
  <c r="N96" i="1" s="1"/>
  <c r="Q90" i="1" s="1"/>
  <c r="Q91" i="1" s="1"/>
  <c r="I69" i="10" s="1"/>
  <c r="I164" i="1"/>
  <c r="C29" i="3" l="1"/>
  <c r="L10" i="2"/>
  <c r="C4" i="7"/>
  <c r="G92" i="10" s="1"/>
  <c r="H92" i="10" s="1"/>
  <c r="I65" i="5"/>
  <c r="D6" i="6"/>
  <c r="G18" i="5"/>
  <c r="G19" i="5"/>
  <c r="D13" i="6"/>
  <c r="D14" i="9"/>
  <c r="G27" i="5"/>
  <c r="E27" i="5" s="1"/>
  <c r="G25" i="5"/>
  <c r="E26" i="5" s="1"/>
  <c r="D7" i="6"/>
  <c r="D15" i="9"/>
  <c r="D16" i="6"/>
  <c r="G17" i="5"/>
  <c r="E17" i="5" s="1"/>
  <c r="D13" i="9"/>
  <c r="D14" i="6"/>
  <c r="D12" i="6"/>
  <c r="D9" i="6"/>
  <c r="D8" i="9"/>
  <c r="G20" i="5"/>
  <c r="E21" i="5" s="1"/>
  <c r="D11" i="9"/>
  <c r="D7" i="9"/>
  <c r="G23" i="5"/>
  <c r="E24" i="5" s="1"/>
  <c r="D11" i="6"/>
  <c r="C3" i="7"/>
  <c r="G93" i="10" s="1"/>
  <c r="H93" i="10" s="1"/>
  <c r="S23" i="4"/>
  <c r="D10" i="9"/>
  <c r="D9" i="9"/>
  <c r="G22" i="5"/>
  <c r="M21" i="3"/>
  <c r="M22" i="3"/>
  <c r="M23" i="3"/>
  <c r="M15" i="3"/>
  <c r="M18" i="3"/>
  <c r="M17" i="3"/>
  <c r="M20" i="3"/>
  <c r="M16" i="3"/>
  <c r="T52" i="5"/>
  <c r="N65" i="5" s="1"/>
  <c r="E19" i="5" l="1"/>
  <c r="E28" i="5"/>
  <c r="E25" i="5"/>
  <c r="E18" i="5"/>
  <c r="F18" i="5" s="1"/>
  <c r="E20" i="5"/>
  <c r="E23" i="5"/>
  <c r="E22" i="5"/>
  <c r="L14" i="2"/>
  <c r="L13" i="2"/>
  <c r="M28" i="3"/>
  <c r="J29" i="3"/>
  <c r="M29" i="3"/>
  <c r="F17" i="5"/>
  <c r="F23" i="5" l="1"/>
  <c r="F20" i="5"/>
  <c r="F19" i="5"/>
  <c r="F21" i="5"/>
  <c r="F22" i="5"/>
  <c r="F26" i="5"/>
  <c r="F24" i="5"/>
  <c r="F28" i="5"/>
  <c r="F27" i="5"/>
  <c r="E29" i="5"/>
  <c r="F2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deleteme</author>
    <author>e-bdejesush</author>
    <author>BDEJESUSH</author>
    <author>Gerardo Sanchez Lopez</author>
    <author>Earle Rojas</author>
    <author>Eloisa Lagos</author>
    <author>Rebe Ornelas</author>
    <author>ERIKA VIVIANA Garcia Hernandez</author>
  </authors>
  <commentList>
    <comment ref="M3" authorId="0" shapeId="0" xr:uid="{97BB7ABD-D89B-498B-B8C6-080947460BA0}">
      <text>
        <r>
          <rPr>
            <b/>
            <sz val="9"/>
            <color indexed="81"/>
            <rFont val="Tahoma"/>
            <family val="2"/>
          </rPr>
          <t>Haití</t>
        </r>
      </text>
    </comment>
    <comment ref="AA10" authorId="1" shapeId="0" xr:uid="{F1EA22BB-DE75-4CE1-AB64-79CCBBBC9E3B}">
      <text>
        <r>
          <rPr>
            <b/>
            <sz val="8"/>
            <color indexed="81"/>
            <rFont val="Tahoma"/>
            <family val="2"/>
          </rPr>
          <t>NO ES VALIDA, YA QUE NO CUMPLE CON LA PROTECCIÓN ANTIBACTERIANA MINIMA ESPECIFICADA.</t>
        </r>
      </text>
    </comment>
    <comment ref="M11" authorId="2" shapeId="0" xr:uid="{07C6AC92-88E3-4CDC-A775-95DE9204CA06}">
      <text>
        <r>
          <rPr>
            <b/>
            <sz val="8"/>
            <color indexed="81"/>
            <rFont val="Tahoma"/>
            <family val="2"/>
          </rPr>
          <t>Guatemala
El código anterior era C1.</t>
        </r>
      </text>
    </comment>
    <comment ref="M13" authorId="2" shapeId="0" xr:uid="{08515EC3-EDB6-4C49-8E2D-93748DFEBB2C}">
      <text>
        <r>
          <rPr>
            <b/>
            <sz val="8"/>
            <color indexed="81"/>
            <rFont val="Tahoma"/>
            <family val="2"/>
          </rPr>
          <t>Guatemala
El código anterior era C3.</t>
        </r>
      </text>
    </comment>
    <comment ref="M14" authorId="2" shapeId="0" xr:uid="{F95EC460-18D8-4531-91C7-5EC42251A6B6}">
      <text>
        <r>
          <rPr>
            <b/>
            <sz val="8"/>
            <color indexed="81"/>
            <rFont val="Tahoma"/>
            <family val="2"/>
          </rPr>
          <t>Guatemala
El código anterior era CO.</t>
        </r>
      </text>
    </comment>
    <comment ref="M17" authorId="2" shapeId="0" xr:uid="{FDD3FAC0-100B-4E65-896B-B053B18360C8}">
      <text>
        <r>
          <rPr>
            <b/>
            <sz val="8"/>
            <color indexed="81"/>
            <rFont val="Tahoma"/>
            <family val="2"/>
          </rPr>
          <t>Puerto Rico
El código anterior era C1.</t>
        </r>
      </text>
    </comment>
    <comment ref="M18" authorId="2" shapeId="0" xr:uid="{C8F2832B-CD8E-4CFF-92EE-A09A9F6C4240}">
      <text>
        <r>
          <rPr>
            <b/>
            <sz val="8"/>
            <color indexed="81"/>
            <rFont val="Tahoma"/>
            <family val="2"/>
          </rPr>
          <t>República Dominicana</t>
        </r>
      </text>
    </comment>
    <comment ref="M20" authorId="0" shapeId="0" xr:uid="{E29814D4-4B7A-4CD3-B661-D90E0C85288A}">
      <text>
        <r>
          <rPr>
            <b/>
            <sz val="9"/>
            <color indexed="81"/>
            <rFont val="Tahoma"/>
            <family val="2"/>
          </rPr>
          <t>Argentina</t>
        </r>
      </text>
    </comment>
    <comment ref="T28" authorId="3" shapeId="0" xr:uid="{D7EA6DBC-338C-4A6D-B16C-28ADE242D659}">
      <text>
        <r>
          <rPr>
            <b/>
            <sz val="9"/>
            <color indexed="81"/>
            <rFont val="Tahoma"/>
            <family val="2"/>
          </rPr>
          <t>Gerardo Sanchez Lopez:</t>
        </r>
        <r>
          <rPr>
            <sz val="9"/>
            <color indexed="81"/>
            <rFont val="Tahoma"/>
            <family val="2"/>
          </rPr>
          <t xml:space="preserve">
NO USAR, LA UNIDAD DE MEDIDA BASE ESTÁ ERRÓNEA
</t>
        </r>
      </text>
    </comment>
    <comment ref="M30" authorId="2" shapeId="0" xr:uid="{6E748FC6-519C-4A4F-9E2A-367BEDE8F8D7}">
      <text>
        <r>
          <rPr>
            <b/>
            <sz val="8"/>
            <color indexed="81"/>
            <rFont val="Tahoma"/>
            <family val="2"/>
          </rPr>
          <t>Costa Rica</t>
        </r>
      </text>
    </comment>
    <comment ref="M31" authorId="2" shapeId="0" xr:uid="{6644FF00-9215-4BD5-98E1-8EDCE48A3488}">
      <text>
        <r>
          <rPr>
            <b/>
            <sz val="8"/>
            <color indexed="81"/>
            <rFont val="Tahoma"/>
            <family val="2"/>
          </rPr>
          <t>Costa Rica</t>
        </r>
      </text>
    </comment>
    <comment ref="M32" authorId="2" shapeId="0" xr:uid="{9E14A46C-C055-463A-A210-1F5E888F26D8}">
      <text>
        <r>
          <rPr>
            <b/>
            <sz val="8"/>
            <color indexed="81"/>
            <rFont val="Tahoma"/>
            <family val="2"/>
          </rPr>
          <t>Panamá</t>
        </r>
      </text>
    </comment>
    <comment ref="M33" authorId="2" shapeId="0" xr:uid="{CDFD1CB3-4190-4981-BC9C-ED7C43C5C66D}">
      <text>
        <r>
          <rPr>
            <b/>
            <sz val="8"/>
            <color indexed="81"/>
            <rFont val="Tahoma"/>
            <family val="2"/>
          </rPr>
          <t>Panamá</t>
        </r>
      </text>
    </comment>
    <comment ref="M34" authorId="2" shapeId="0" xr:uid="{A1BAA9F9-C886-4B53-BF96-91E64CA8AD57}">
      <text>
        <r>
          <rPr>
            <b/>
            <sz val="8"/>
            <color indexed="81"/>
            <rFont val="Tahoma"/>
            <family val="2"/>
          </rPr>
          <t>Panamá</t>
        </r>
      </text>
    </comment>
    <comment ref="M35" authorId="2" shapeId="0" xr:uid="{9BE864FB-4081-4B33-88BB-36983F2345E7}">
      <text>
        <r>
          <rPr>
            <b/>
            <sz val="8"/>
            <color indexed="81"/>
            <rFont val="Tahoma"/>
            <family val="2"/>
          </rPr>
          <t>Nicaragua:
Equivale al C5 de JDE</t>
        </r>
      </text>
    </comment>
    <comment ref="M36" authorId="2" shapeId="0" xr:uid="{87F5FC7E-1F3B-4F51-B0ED-CC91BAC48B1F}">
      <text>
        <r>
          <rPr>
            <b/>
            <sz val="8"/>
            <color indexed="81"/>
            <rFont val="Tahoma"/>
            <family val="2"/>
          </rPr>
          <t>Nicaragua:
Equivale al C1 de JDE</t>
        </r>
      </text>
    </comment>
    <comment ref="M37" authorId="2" shapeId="0" xr:uid="{5308CC2D-658B-4462-8B88-100CBB5BEF7B}">
      <text>
        <r>
          <rPr>
            <b/>
            <sz val="8"/>
            <color indexed="81"/>
            <rFont val="Tahoma"/>
            <family val="2"/>
          </rPr>
          <t>Nicaragua:
Equivale al C4 de JDE</t>
        </r>
      </text>
    </comment>
    <comment ref="T37" authorId="3" shapeId="0" xr:uid="{CC9E6E17-D4DD-4D63-A0BF-C79FA4DF96DC}">
      <text>
        <r>
          <rPr>
            <b/>
            <sz val="9"/>
            <color indexed="81"/>
            <rFont val="Tahoma"/>
            <family val="2"/>
          </rPr>
          <t>Gerardo Sanchez Lopez:</t>
        </r>
        <r>
          <rPr>
            <sz val="9"/>
            <color indexed="81"/>
            <rFont val="Tahoma"/>
            <family val="2"/>
          </rPr>
          <t xml:space="preserve">
PARA USO EXCLUSIVO PANAMÁ</t>
        </r>
      </text>
    </comment>
    <comment ref="M38" authorId="2" shapeId="0" xr:uid="{4B54E1E7-BB13-46CA-90F2-1F95D0CC0F9A}">
      <text>
        <r>
          <rPr>
            <b/>
            <sz val="8"/>
            <color indexed="81"/>
            <rFont val="Tahoma"/>
            <family val="2"/>
          </rPr>
          <t>Nicaragua:
Equivale al C2 de JDE</t>
        </r>
      </text>
    </comment>
    <comment ref="M39" authorId="0" shapeId="0" xr:uid="{0DD92E5D-E0FF-43FB-B15F-237F99FE55FC}">
      <text>
        <r>
          <rPr>
            <b/>
            <sz val="9"/>
            <color indexed="81"/>
            <rFont val="Tahoma"/>
            <family val="2"/>
          </rPr>
          <t>Argentina</t>
        </r>
      </text>
    </comment>
    <comment ref="M41" authorId="0" shapeId="0" xr:uid="{1E6FCDF4-9128-40CE-9C1A-41675AC6797B}">
      <text>
        <r>
          <rPr>
            <b/>
            <sz val="9"/>
            <color indexed="81"/>
            <rFont val="Tahoma"/>
            <family val="2"/>
          </rPr>
          <t>Argentina</t>
        </r>
      </text>
    </comment>
    <comment ref="M43" authorId="0" shapeId="0" xr:uid="{801C2AFB-C1F0-46D8-9A9B-3154B141F16B}">
      <text>
        <r>
          <rPr>
            <b/>
            <sz val="9"/>
            <color indexed="81"/>
            <rFont val="Tahoma"/>
            <family val="2"/>
          </rPr>
          <t>Argentina</t>
        </r>
      </text>
    </comment>
    <comment ref="M44" authorId="0" shapeId="0" xr:uid="{F8454F73-73DB-4975-847B-FE91902E7B99}">
      <text>
        <r>
          <rPr>
            <b/>
            <sz val="9"/>
            <color indexed="81"/>
            <rFont val="Tahoma"/>
            <family val="2"/>
          </rPr>
          <t>Haití</t>
        </r>
      </text>
    </comment>
    <comment ref="M45" authorId="3" shapeId="0" xr:uid="{4AE13E09-D147-4EF5-8FBD-2C44C03DFE55}">
      <text>
        <r>
          <rPr>
            <b/>
            <sz val="9"/>
            <color indexed="81"/>
            <rFont val="Tahoma"/>
            <family val="2"/>
          </rPr>
          <t>Gerardo Sanchez Lopez:</t>
        </r>
        <r>
          <rPr>
            <sz val="9"/>
            <color indexed="81"/>
            <rFont val="Tahoma"/>
            <family val="2"/>
          </rPr>
          <t xml:space="preserve">
Panamá
</t>
        </r>
      </text>
    </comment>
    <comment ref="AA49" authorId="4" shapeId="0" xr:uid="{A2B47F23-5390-40B0-81C8-97B52C80E91F}">
      <text>
        <r>
          <rPr>
            <sz val="9"/>
            <color indexed="81"/>
            <rFont val="Tahoma"/>
            <family val="2"/>
          </rPr>
          <t xml:space="preserve">SÓLO PARA PR. UNIDAD MEDIDA EN LB
</t>
        </r>
      </text>
    </comment>
    <comment ref="AA53" authorId="2" shapeId="0" xr:uid="{CC8BE19D-F52D-4418-918F-5577E1DF802D}">
      <text>
        <r>
          <rPr>
            <b/>
            <sz val="8"/>
            <color indexed="81"/>
            <rFont val="Tahoma"/>
            <family val="2"/>
          </rPr>
          <t>Costa Rica</t>
        </r>
      </text>
    </comment>
    <comment ref="AA54" authorId="2" shapeId="0" xr:uid="{0D574891-7725-47EF-AE0F-57CB2FD28899}">
      <text>
        <r>
          <rPr>
            <b/>
            <sz val="8"/>
            <color indexed="81"/>
            <rFont val="Tahoma"/>
            <family val="2"/>
          </rPr>
          <t>Costa Rica</t>
        </r>
      </text>
    </comment>
    <comment ref="AA55" authorId="2" shapeId="0" xr:uid="{7F06581A-9186-482D-B032-07270FDB726A}">
      <text>
        <r>
          <rPr>
            <b/>
            <sz val="8"/>
            <color indexed="81"/>
            <rFont val="Tahoma"/>
            <family val="2"/>
          </rPr>
          <t>Panamá</t>
        </r>
      </text>
    </comment>
    <comment ref="AA68" authorId="5" shapeId="0" xr:uid="{3E90C881-02D7-4AA0-8B44-F01A2A1297AD}">
      <text>
        <r>
          <rPr>
            <b/>
            <sz val="9"/>
            <color indexed="81"/>
            <rFont val="Tahoma"/>
            <family val="2"/>
          </rPr>
          <t>Argentina</t>
        </r>
      </text>
    </comment>
    <comment ref="AA70" authorId="6" shapeId="0" xr:uid="{B1985F44-6F68-4E19-92CB-7D5A1C83F70E}">
      <text>
        <r>
          <rPr>
            <b/>
            <sz val="9"/>
            <color indexed="81"/>
            <rFont val="Tahoma"/>
            <family val="2"/>
          </rPr>
          <t>Rebe Ornelas:</t>
        </r>
        <r>
          <rPr>
            <sz val="9"/>
            <color indexed="81"/>
            <rFont val="Tahoma"/>
            <family val="2"/>
          </rPr>
          <t xml:space="preserve">
NO USAR
</t>
        </r>
      </text>
    </comment>
    <comment ref="AA85" authorId="7" shapeId="0" xr:uid="{E3490C6A-FE4A-483C-9023-D51311575D32}">
      <text>
        <r>
          <rPr>
            <b/>
            <sz val="9"/>
            <color indexed="81"/>
            <rFont val="Tahoma"/>
            <family val="2"/>
          </rPr>
          <t>ERIKA VIVIANA Garcia Hernandez:</t>
        </r>
        <r>
          <rPr>
            <sz val="9"/>
            <color indexed="81"/>
            <rFont val="Tahoma"/>
            <family val="2"/>
          </rPr>
          <t xml:space="preserve">
No usar, usar FA3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Fernando PerezPalacios Galeazzi</author>
    <author>jjuarezd</author>
    <author>Luis Fernando Lopez Esparza</author>
  </authors>
  <commentList>
    <comment ref="I8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Indicar el consumo de cemento de la mezcla en kg/m3</t>
        </r>
      </text>
    </comment>
    <comment ref="L8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Proponer manualmente la relación grava/arena a utilizar, tomando en cuenta la recomendación de la pestaña "3° Curva Integral"</t>
        </r>
      </text>
    </comment>
    <comment ref="N8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Indica el volumen de diseño de la mezcla en litros/m3</t>
        </r>
      </text>
    </comment>
    <comment ref="I9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Indicar el agua de la mezcla en SSS</t>
        </r>
      </text>
    </comment>
    <comment ref="L9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Indica el contenido de aire en % propuesto para la mezcla. A mayor % de aire disminuye el peso volumétrico del concreto.</t>
        </r>
      </text>
    </comment>
    <comment ref="N9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Indica el volumen en litros para la prueba a realizar</t>
        </r>
      </text>
    </comment>
    <comment ref="A14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Indicar el Código GINCO del material (p.e. C1, C3, GC2, AA1, GB4, GP2, GA3, etc)</t>
        </r>
      </text>
    </comment>
    <comment ref="N14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 xml:space="preserve">Las adiciones pueden ser: ceniza, humo de sílice, impermeabilizante integral, color, hielo, fibra, etc.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16" authorId="1" shapeId="0" xr:uid="{00000000-0006-0000-0000-00000A000000}">
      <text>
        <r>
          <rPr>
            <sz val="8"/>
            <color indexed="81"/>
            <rFont val="Tahoma"/>
            <family val="2"/>
          </rPr>
          <t>Cemento 2</t>
        </r>
      </text>
    </comment>
    <comment ref="A18" authorId="1" shapeId="0" xr:uid="{00000000-0006-0000-0000-00000C000000}">
      <text>
        <r>
          <rPr>
            <sz val="8"/>
            <color indexed="81"/>
            <rFont val="Tahoma"/>
            <family val="2"/>
          </rPr>
          <t>Arena 2 o Arena Ligera 2</t>
        </r>
      </text>
    </comment>
    <comment ref="A20" authorId="1" shapeId="0" xr:uid="{00000000-0006-0000-0000-00000E000000}">
      <text>
        <r>
          <rPr>
            <sz val="8"/>
            <color indexed="81"/>
            <rFont val="Tahoma"/>
            <family val="2"/>
          </rPr>
          <t>Grava 2 o Agregado Ligero 2</t>
        </r>
      </text>
    </comment>
    <comment ref="A21" authorId="1" shapeId="0" xr:uid="{F01C5C43-6A46-4124-BA26-8EAEC99D83B6}">
      <text>
        <r>
          <rPr>
            <sz val="8"/>
            <color indexed="81"/>
            <rFont val="Tahoma"/>
            <family val="2"/>
          </rPr>
          <t>Grava 3 o Agregado Ligero 3</t>
        </r>
      </text>
    </comment>
    <comment ref="S38" authorId="2" shapeId="0" xr:uid="{3096F3E2-6E2F-49A0-A332-E8AA5DBBBB32}">
      <text>
        <r>
          <rPr>
            <b/>
            <sz val="9"/>
            <color indexed="81"/>
            <rFont val="Tahoma"/>
            <family val="2"/>
          </rPr>
          <t>Luis Fernando Lopez Esparza: SE AMPLIO LA SUMA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39" authorId="2" shapeId="0" xr:uid="{300764E4-FEFC-414F-A0AC-2E49BA384F8A}">
      <text>
        <r>
          <rPr>
            <b/>
            <sz val="9"/>
            <color indexed="81"/>
            <rFont val="Tahoma"/>
            <family val="2"/>
          </rPr>
          <t>Luis Fernando Lopez Esparza: SE AMPLIO LA SUMA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40" authorId="2" shapeId="0" xr:uid="{013C048F-3BDD-43B6-B105-1996293F041F}">
      <text>
        <r>
          <rPr>
            <b/>
            <sz val="9"/>
            <color indexed="81"/>
            <rFont val="Tahoma"/>
            <family val="2"/>
          </rPr>
          <t>Luis Fernando Lopez Esparza: SE AMPLIO LA SUMA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41" authorId="2" shapeId="0" xr:uid="{E8C590CE-A666-4563-BF20-D0CA063B2D03}">
      <text>
        <r>
          <rPr>
            <b/>
            <sz val="9"/>
            <color indexed="81"/>
            <rFont val="Tahoma"/>
            <family val="2"/>
          </rPr>
          <t>Luis Fernando Lopez Esparza: SE AMPLIO LA SUMA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42" authorId="2" shapeId="0" xr:uid="{D1D7D7E5-9C42-454F-B34B-24616CAC37B2}">
      <text>
        <r>
          <rPr>
            <b/>
            <sz val="9"/>
            <color indexed="81"/>
            <rFont val="Tahoma"/>
            <family val="2"/>
          </rPr>
          <t>Luis Fernando Lopez Esparza: SE AMPLIO LA SUMA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43" authorId="2" shapeId="0" xr:uid="{15E2F329-18C0-469B-9ABF-FA3EAA2583F7}">
      <text>
        <r>
          <rPr>
            <b/>
            <sz val="9"/>
            <color indexed="81"/>
            <rFont val="Tahoma"/>
            <family val="2"/>
          </rPr>
          <t>Luis Fernando Lopez Esparza: SE AMPLIO LA SUMA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44" authorId="2" shapeId="0" xr:uid="{1DB54F65-F97A-40B2-8D46-AC53A0387D0A}">
      <text>
        <r>
          <rPr>
            <b/>
            <sz val="9"/>
            <color indexed="81"/>
            <rFont val="Tahoma"/>
            <family val="2"/>
          </rPr>
          <t>Luis Fernando Lopez Esparza: SE AMPLIO LA SUMA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45" authorId="2" shapeId="0" xr:uid="{CCA25036-7A02-46D9-AD5E-658433413F65}">
      <text>
        <r>
          <rPr>
            <b/>
            <sz val="9"/>
            <color indexed="81"/>
            <rFont val="Tahoma"/>
            <family val="2"/>
          </rPr>
          <t>Luis Fernando Lopez Esparza: SE AMPLIO LA SUMA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9" authorId="2" shapeId="0" xr:uid="{82952FFC-88CF-44E1-A174-81AECDC6D10C}">
      <text>
        <r>
          <rPr>
            <b/>
            <sz val="9"/>
            <color indexed="81"/>
            <rFont val="Tahoma"/>
            <family val="2"/>
          </rPr>
          <t>Luis Fernando Lopez Esparza: SE AMPLIO LA SUMA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9" authorId="2" shapeId="0" xr:uid="{02A79BA9-1287-45F1-AC92-474D2229BB5F}">
      <text>
        <r>
          <rPr>
            <b/>
            <sz val="9"/>
            <color indexed="81"/>
            <rFont val="Tahoma"/>
            <family val="2"/>
          </rPr>
          <t>Luis Fernando Lopez Esparza: SE AMPLIO
LA SUMA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69" authorId="2" shapeId="0" xr:uid="{110020CC-0922-49FE-BD3A-1F1357C19CFB}">
      <text>
        <r>
          <rPr>
            <b/>
            <sz val="9"/>
            <color indexed="81"/>
            <rFont val="Tahoma"/>
            <family val="2"/>
          </rPr>
          <t>Luis Fernando Lopez Esparza: SE AMPLIO LA SUMA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9" authorId="2" shapeId="0" xr:uid="{A9BB5AA3-8EC2-4DED-BB1E-3F241FA49E36}">
      <text>
        <r>
          <rPr>
            <b/>
            <sz val="9"/>
            <color indexed="81"/>
            <rFont val="Tahoma"/>
            <family val="2"/>
          </rPr>
          <t>Luis Fernando Lopez Esparza: SE AMPLIO LA SUMA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96" authorId="0" shapeId="0" xr:uid="{00000000-0006-0000-0000-00000F000000}">
      <text>
        <r>
          <rPr>
            <b/>
            <sz val="8"/>
            <color indexed="81"/>
            <rFont val="Tahoma"/>
            <family val="2"/>
          </rPr>
          <t>Anota el contenido de aire real de la mezcla, ya sea medido por el método de presión o el método volumétrico.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Fernando PerezPalacios Galeazzi</author>
  </authors>
  <commentList>
    <comment ref="D6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El código RMQ de la grava viene automáticamente de la pestaña "1° Diseño Mezcla"</t>
        </r>
      </text>
    </comment>
    <comment ref="H6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El código RMQ de la grava viene automáticamente de la pestaña "1° Diseño Mezcla"</t>
        </r>
      </text>
    </comment>
    <comment ref="L6" authorId="0" shapeId="0" xr:uid="{430BD59B-4998-4660-AFEC-A590CE21D2B6}">
      <text>
        <r>
          <rPr>
            <b/>
            <sz val="8"/>
            <color indexed="81"/>
            <rFont val="Tahoma"/>
            <family val="2"/>
          </rPr>
          <t>El código RMQ de la grava viene automáticamente de la pestaña "1° Diseño Mezcla"</t>
        </r>
      </text>
    </comment>
    <comment ref="P6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El código GINCO de la grava viene automáticamente de la pestaña "1° Diseño Mezcla"</t>
        </r>
      </text>
    </comment>
    <comment ref="Q6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El código GINCO de la grava viene automáticamente de la pestaña "1° Diseño Mezcla"</t>
        </r>
      </text>
    </comment>
    <comment ref="D9" authorId="0" shapeId="0" xr:uid="{09CFB82B-4ACE-49AF-85A5-F0A1339E0227}">
      <text>
        <r>
          <rPr>
            <b/>
            <sz val="8"/>
            <color indexed="81"/>
            <rFont val="Tahoma"/>
            <family val="2"/>
          </rPr>
          <t>Indica el % que pasa de cada malla de acuerdo al TMA indicado en la parte superior.</t>
        </r>
      </text>
    </comment>
    <comment ref="H9" authorId="0" shapeId="0" xr:uid="{00000000-0006-0000-0100-000006000000}">
      <text>
        <r>
          <rPr>
            <b/>
            <sz val="8"/>
            <color indexed="81"/>
            <rFont val="Tahoma"/>
            <family val="2"/>
          </rPr>
          <t>Indica el % que pasa de cada malla de acuerdo al TMA indicado en la parte superior.</t>
        </r>
      </text>
    </comment>
    <comment ref="L9" authorId="0" shapeId="0" xr:uid="{B9C77264-7A77-4799-A187-9C0E806E93DC}">
      <text>
        <r>
          <rPr>
            <b/>
            <sz val="8"/>
            <color indexed="81"/>
            <rFont val="Tahoma"/>
            <family val="2"/>
          </rPr>
          <t>Indica el % que pasa de cada malla de acuerdo al TMA indicado en la parte superior.</t>
        </r>
      </text>
    </comment>
    <comment ref="P9" authorId="0" shapeId="0" xr:uid="{00000000-0006-0000-0100-000007000000}">
      <text>
        <r>
          <rPr>
            <b/>
            <sz val="8"/>
            <color indexed="81"/>
            <rFont val="Tahoma"/>
            <family val="2"/>
          </rPr>
          <t>Indica el % que pasa de cada malla de acuerdo al TMA indicado en la parte superior.</t>
        </r>
      </text>
    </comment>
    <comment ref="Q9" authorId="0" shapeId="0" xr:uid="{00000000-0006-0000-0100-000008000000}">
      <text>
        <r>
          <rPr>
            <b/>
            <sz val="8"/>
            <color indexed="81"/>
            <rFont val="Tahoma"/>
            <family val="2"/>
          </rPr>
          <t>Indica el % que pasa de cada malla de acuerdo al TMA indicado en la parte superior.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Fernando PerezPalacios Galeazzi</author>
  </authors>
  <commentList>
    <comment ref="C6" authorId="0" shapeId="0" xr:uid="{00000000-0006-0000-0300-000001000000}">
      <text>
        <r>
          <rPr>
            <sz val="8"/>
            <color indexed="81"/>
            <rFont val="Tahoma"/>
            <family val="2"/>
          </rPr>
          <t>Selecciona el tipo de cementante utilizado de acuerdo al Diseño de mezcla.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<sst xmlns="http://schemas.openxmlformats.org/spreadsheetml/2006/main" count="6146" uniqueCount="5433">
  <si>
    <t>Diseño de Mezclas de Concreto en el Laboratorio</t>
  </si>
  <si>
    <t>Datos de Entrada del diseño</t>
  </si>
  <si>
    <t>Nombre del estudio:</t>
  </si>
  <si>
    <t>Id. Mezcla:</t>
  </si>
  <si>
    <t>Código del Concreto:</t>
  </si>
  <si>
    <t>Cons. Cem.</t>
  </si>
  <si>
    <t>Rel. G / A</t>
  </si>
  <si>
    <t>F'c teor.:</t>
  </si>
  <si>
    <r>
      <t>kg/cm</t>
    </r>
    <r>
      <rPr>
        <vertAlign val="superscript"/>
        <sz val="8"/>
        <color indexed="32"/>
        <rFont val="Arial"/>
        <family val="2"/>
      </rPr>
      <t>2</t>
    </r>
  </si>
  <si>
    <t>Rev. Teo.</t>
  </si>
  <si>
    <t>cm</t>
  </si>
  <si>
    <t>Agua</t>
  </si>
  <si>
    <t>Cont. Aire</t>
  </si>
  <si>
    <t>Vol. Prueba</t>
  </si>
  <si>
    <t>Responsable de diseño</t>
  </si>
  <si>
    <t>El diseño considera:</t>
  </si>
  <si>
    <t>Fecha de Elab.:</t>
  </si>
  <si>
    <t>Hora de Elab.:</t>
  </si>
  <si>
    <t>Datos de Materiales</t>
  </si>
  <si>
    <t>Información de Resp del diseño</t>
  </si>
  <si>
    <t>Material</t>
  </si>
  <si>
    <t>Procedencia</t>
  </si>
  <si>
    <t>Densidad</t>
  </si>
  <si>
    <t>Absorción</t>
  </si>
  <si>
    <t>Humedad</t>
  </si>
  <si>
    <t>particip(%)</t>
  </si>
  <si>
    <t>Aditivos</t>
  </si>
  <si>
    <t>Dosificación</t>
  </si>
  <si>
    <t>Adiciones</t>
  </si>
  <si>
    <t>g / cm3</t>
  </si>
  <si>
    <t>Aire</t>
  </si>
  <si>
    <t>Vol. Cem, agua, aire</t>
  </si>
  <si>
    <t>W Adic</t>
  </si>
  <si>
    <t>Volumen Aditvos</t>
  </si>
  <si>
    <t>Vol adic.</t>
  </si>
  <si>
    <t>1 grava; 1 arenas</t>
  </si>
  <si>
    <t>2 gravas 2 arenas</t>
  </si>
  <si>
    <t>2 gravas; 1 arena</t>
  </si>
  <si>
    <t>1 grava; 2 arenas</t>
  </si>
  <si>
    <t>Mortero hum. 1 arena</t>
  </si>
  <si>
    <t>Mortero hum. 2 arena</t>
  </si>
  <si>
    <t>resultados</t>
  </si>
  <si>
    <t>Pesos</t>
  </si>
  <si>
    <t>Volumen</t>
  </si>
  <si>
    <t>Cantidad</t>
  </si>
  <si>
    <t>A1</t>
  </si>
  <si>
    <t>Suma</t>
  </si>
  <si>
    <t>Dosif Adit</t>
  </si>
  <si>
    <t>Dosif Adic</t>
  </si>
  <si>
    <t>Condideracionesde mat</t>
  </si>
  <si>
    <t>lt</t>
  </si>
  <si>
    <t>%</t>
  </si>
  <si>
    <t>cc</t>
  </si>
  <si>
    <t>Formula en Seco</t>
  </si>
  <si>
    <t>Para volumen de prueba</t>
  </si>
  <si>
    <t>Cantidad Sec</t>
  </si>
  <si>
    <t>Volumen Sec</t>
  </si>
  <si>
    <t>Adit</t>
  </si>
  <si>
    <t>Adic</t>
  </si>
  <si>
    <t>para vol de prueba</t>
  </si>
  <si>
    <t>Peso</t>
  </si>
  <si>
    <t>Dosificación por m3 en considerando los agregados en estado Saturado Superficialmente Seco</t>
  </si>
  <si>
    <t>Datos Teóricos</t>
  </si>
  <si>
    <t>En peso</t>
  </si>
  <si>
    <t>Unidad</t>
  </si>
  <si>
    <t>En Volum.</t>
  </si>
  <si>
    <t>En vol.</t>
  </si>
  <si>
    <t>M.U.T</t>
  </si>
  <si>
    <t>C. Aire teo.</t>
  </si>
  <si>
    <t>Rel. a/c teo</t>
  </si>
  <si>
    <t>Rel. ar/cem</t>
  </si>
  <si>
    <t>Rel. g/a</t>
  </si>
  <si>
    <t>Vol diseño</t>
  </si>
  <si>
    <t>Composición del Agua en el diseño y Resultados de Rendimiento</t>
  </si>
  <si>
    <t>Materiales</t>
  </si>
  <si>
    <t>Cant. en SSS</t>
  </si>
  <si>
    <t>Cantidad corregida</t>
  </si>
  <si>
    <t>litros</t>
  </si>
  <si>
    <t>Rend %</t>
  </si>
  <si>
    <t>Total peso</t>
  </si>
  <si>
    <t>kg</t>
  </si>
  <si>
    <t>Mediciones</t>
  </si>
  <si>
    <t>Temp Amb.</t>
  </si>
  <si>
    <t>°C</t>
  </si>
  <si>
    <t>Aspecto</t>
  </si>
  <si>
    <t>Rev. Real</t>
  </si>
  <si>
    <t>Tot. Mat pesados</t>
  </si>
  <si>
    <t>Tara R.</t>
  </si>
  <si>
    <t>Temp conc.</t>
  </si>
  <si>
    <t>Cohesión</t>
  </si>
  <si>
    <t>Masa Olla+conc</t>
  </si>
  <si>
    <t>Agua +/-</t>
  </si>
  <si>
    <t>Factor Recip</t>
  </si>
  <si>
    <t>Masa Unitaria</t>
  </si>
  <si>
    <t>kg/m3</t>
  </si>
  <si>
    <t>Observaciones</t>
  </si>
  <si>
    <t>Estado de Inspección</t>
  </si>
  <si>
    <t>Costo de Materia Prima del Diseño</t>
  </si>
  <si>
    <t>Costo de Materia Prima</t>
  </si>
  <si>
    <t>Costo del diseño</t>
  </si>
  <si>
    <t>cantidad</t>
  </si>
  <si>
    <t>Costo mat</t>
  </si>
  <si>
    <t>unidad</t>
  </si>
  <si>
    <t>Costo dosif</t>
  </si>
  <si>
    <t>Costo total del diseño por m3</t>
  </si>
  <si>
    <t>Total</t>
  </si>
  <si>
    <r>
      <t>l / m</t>
    </r>
    <r>
      <rPr>
        <vertAlign val="superscript"/>
        <sz val="8"/>
        <color indexed="10"/>
        <rFont val="Arial"/>
        <family val="2"/>
      </rPr>
      <t>3</t>
    </r>
  </si>
  <si>
    <t>Mat</t>
  </si>
  <si>
    <t>SECO</t>
  </si>
  <si>
    <t>para vol t</t>
  </si>
  <si>
    <t>Abs</t>
  </si>
  <si>
    <t>Hum</t>
  </si>
  <si>
    <t>corr en peso</t>
  </si>
  <si>
    <t>corr en vol</t>
  </si>
  <si>
    <t>SSS</t>
  </si>
  <si>
    <t>Corrección al diseño de la mezcla por agua y contenido de aire real, manteniendo la rel a/c y rel. g/a</t>
  </si>
  <si>
    <t>Corrección del diseño por m3 en SSS</t>
  </si>
  <si>
    <t>Datos de corrección</t>
  </si>
  <si>
    <t>kg / m3</t>
  </si>
  <si>
    <t>Costo de Materia Prima del Diseño Corregido</t>
  </si>
  <si>
    <r>
      <t>kg/m</t>
    </r>
    <r>
      <rPr>
        <vertAlign val="superscript"/>
        <sz val="8"/>
        <rFont val="Arial"/>
        <family val="2"/>
      </rPr>
      <t>3</t>
    </r>
  </si>
  <si>
    <r>
      <t>Vol. / m</t>
    </r>
    <r>
      <rPr>
        <b/>
        <vertAlign val="superscript"/>
        <sz val="8"/>
        <rFont val="Arial"/>
        <family val="2"/>
      </rPr>
      <t>3</t>
    </r>
    <r>
      <rPr>
        <b/>
        <sz val="8"/>
        <rFont val="Arial"/>
        <family val="2"/>
      </rPr>
      <t>:</t>
    </r>
  </si>
  <si>
    <r>
      <t>dm</t>
    </r>
    <r>
      <rPr>
        <vertAlign val="superscript"/>
        <sz val="8"/>
        <rFont val="Arial"/>
        <family val="2"/>
      </rPr>
      <t>3</t>
    </r>
  </si>
  <si>
    <r>
      <t>l / m</t>
    </r>
    <r>
      <rPr>
        <vertAlign val="superscript"/>
        <sz val="8"/>
        <rFont val="Arial"/>
        <family val="2"/>
      </rPr>
      <t>3</t>
    </r>
  </si>
  <si>
    <r>
      <t>Vol</t>
    </r>
    <r>
      <rPr>
        <vertAlign val="subscript"/>
        <sz val="8"/>
        <rFont val="Arial"/>
        <family val="2"/>
      </rPr>
      <t xml:space="preserve"> mat,adit,adic</t>
    </r>
  </si>
  <si>
    <r>
      <t xml:space="preserve">Vol </t>
    </r>
    <r>
      <rPr>
        <vertAlign val="subscript"/>
        <sz val="8"/>
        <rFont val="Arial"/>
        <family val="2"/>
      </rPr>
      <t>Restante</t>
    </r>
  </si>
  <si>
    <r>
      <t>kg /m</t>
    </r>
    <r>
      <rPr>
        <vertAlign val="superscript"/>
        <sz val="8"/>
        <rFont val="Arial"/>
        <family val="2"/>
      </rPr>
      <t>3</t>
    </r>
  </si>
  <si>
    <r>
      <t>A</t>
    </r>
    <r>
      <rPr>
        <vertAlign val="subscript"/>
        <sz val="8"/>
        <rFont val="Arial"/>
        <family val="2"/>
      </rPr>
      <t>diseño</t>
    </r>
  </si>
  <si>
    <r>
      <t>A</t>
    </r>
    <r>
      <rPr>
        <vertAlign val="subscript"/>
        <sz val="8"/>
        <rFont val="Arial"/>
        <family val="2"/>
      </rPr>
      <t>para/SSS</t>
    </r>
  </si>
  <si>
    <r>
      <t>Agua</t>
    </r>
    <r>
      <rPr>
        <vertAlign val="subscript"/>
        <sz val="8"/>
        <rFont val="Arial"/>
        <family val="2"/>
      </rPr>
      <t>total</t>
    </r>
  </si>
  <si>
    <r>
      <t>Rend</t>
    </r>
    <r>
      <rPr>
        <vertAlign val="subscript"/>
        <sz val="8"/>
        <rFont val="Arial"/>
        <family val="2"/>
      </rPr>
      <t>Teo</t>
    </r>
  </si>
  <si>
    <r>
      <t>Rend</t>
    </r>
    <r>
      <rPr>
        <vertAlign val="subscript"/>
        <sz val="8"/>
        <rFont val="Arial"/>
        <family val="2"/>
      </rPr>
      <t>Teo%</t>
    </r>
  </si>
  <si>
    <r>
      <t>Rend</t>
    </r>
    <r>
      <rPr>
        <vertAlign val="subscript"/>
        <sz val="8"/>
        <rFont val="Arial"/>
        <family val="2"/>
      </rPr>
      <t>real</t>
    </r>
  </si>
  <si>
    <r>
      <t xml:space="preserve">Agua </t>
    </r>
    <r>
      <rPr>
        <vertAlign val="subscript"/>
        <sz val="8"/>
        <rFont val="Arial"/>
        <family val="2"/>
      </rPr>
      <t>real</t>
    </r>
    <r>
      <rPr>
        <sz val="8"/>
        <rFont val="Arial"/>
        <family val="2"/>
      </rPr>
      <t>:</t>
    </r>
  </si>
  <si>
    <r>
      <t xml:space="preserve">C. Aire </t>
    </r>
    <r>
      <rPr>
        <vertAlign val="subscript"/>
        <sz val="8"/>
        <rFont val="Arial"/>
        <family val="2"/>
      </rPr>
      <t>real</t>
    </r>
    <r>
      <rPr>
        <sz val="8"/>
        <rFont val="Arial"/>
        <family val="2"/>
      </rPr>
      <t>:</t>
    </r>
  </si>
  <si>
    <r>
      <t xml:space="preserve">Cem </t>
    </r>
    <r>
      <rPr>
        <vertAlign val="subscript"/>
        <sz val="8"/>
        <rFont val="Arial"/>
        <family val="2"/>
      </rPr>
      <t>corregido</t>
    </r>
    <r>
      <rPr>
        <sz val="8"/>
        <rFont val="Arial"/>
        <family val="2"/>
      </rPr>
      <t>:</t>
    </r>
  </si>
  <si>
    <t>Análisis de Diseño de Mezclas - Curva Integral</t>
  </si>
  <si>
    <t>Código Largo</t>
  </si>
  <si>
    <t>Análisis</t>
  </si>
  <si>
    <t>Cemento</t>
  </si>
  <si>
    <t>Cementante</t>
  </si>
  <si>
    <t>peso cemento</t>
  </si>
  <si>
    <t>% Pasta</t>
  </si>
  <si>
    <t>Agregado Grueso 1</t>
  </si>
  <si>
    <t>% Agregados</t>
  </si>
  <si>
    <t>Agregado Grueso 2</t>
  </si>
  <si>
    <t>%&lt;= #100</t>
  </si>
  <si>
    <t>Agregado Grueso 3</t>
  </si>
  <si>
    <t>Agregado Fino 1</t>
  </si>
  <si>
    <t>Agregado Fino 2</t>
  </si>
  <si>
    <t>Agregado Fino 3</t>
  </si>
  <si>
    <t xml:space="preserve">     error</t>
  </si>
  <si>
    <t>Materias Primas</t>
  </si>
  <si>
    <t>Descripción</t>
  </si>
  <si>
    <t>Proveedor</t>
  </si>
  <si>
    <t>Tamaño Máximo del Agregado</t>
  </si>
  <si>
    <t>Perdida por Lavado</t>
  </si>
  <si>
    <t>Coeficiente de Forma</t>
  </si>
  <si>
    <t>Proporción</t>
  </si>
  <si>
    <t>AG/AF</t>
  </si>
  <si>
    <t>TMA</t>
  </si>
  <si>
    <t>Evaluación del Diseño</t>
  </si>
  <si>
    <t>Volumen Mezcla</t>
  </si>
  <si>
    <t>m3</t>
  </si>
  <si>
    <t>f'c</t>
  </si>
  <si>
    <t xml:space="preserve"> (kg/cm²)</t>
  </si>
  <si>
    <t>Diseño Básico</t>
  </si>
  <si>
    <t>Kg/m³</t>
  </si>
  <si>
    <t>Diseño Prueba</t>
  </si>
  <si>
    <t>Resultados</t>
  </si>
  <si>
    <t>Diseño Real</t>
  </si>
  <si>
    <t>Asentamiento 1 (cm)</t>
  </si>
  <si>
    <t>Asentamiento 2 (cm)</t>
  </si>
  <si>
    <t>Asentamiento 3 (cm)</t>
  </si>
  <si>
    <t>Asentamiento 4 (cm)</t>
  </si>
  <si>
    <t>Masa Real (kg/m³)</t>
  </si>
  <si>
    <t>Adición agua (litros)</t>
  </si>
  <si>
    <t>% aire</t>
  </si>
  <si>
    <t>Extensión (cm)</t>
  </si>
  <si>
    <t>Temp (concreto/ambiente)</t>
  </si>
  <si>
    <t>Volumen Real (lt)</t>
  </si>
  <si>
    <t>Vacíos</t>
  </si>
  <si>
    <t>Masa Teórica</t>
  </si>
  <si>
    <t>w/(c+p) real</t>
  </si>
  <si>
    <t>Resultados de resistencia</t>
  </si>
  <si>
    <t>Características Mezcla</t>
  </si>
  <si>
    <t>Cronología</t>
  </si>
  <si>
    <t>Anotaciones adicionales</t>
  </si>
  <si>
    <t>Edad</t>
  </si>
  <si>
    <t>f'c (kg/cm²)</t>
  </si>
  <si>
    <t>% f'ct</t>
  </si>
  <si>
    <t>Hora de inicio:</t>
  </si>
  <si>
    <t>Hora de fin:</t>
  </si>
  <si>
    <t>Trabajabilidad</t>
  </si>
  <si>
    <t>Tiempo de mezcla:</t>
  </si>
  <si>
    <t>Acabado</t>
  </si>
  <si>
    <t>Fraguado inicial:</t>
  </si>
  <si>
    <t>Sangrado</t>
  </si>
  <si>
    <t>Fraguado final:</t>
  </si>
  <si>
    <t>Contracción</t>
  </si>
  <si>
    <t>Tiempo de fraguado:</t>
  </si>
  <si>
    <t>Porcentaje Que pasa</t>
  </si>
  <si>
    <t>Número Malla</t>
  </si>
  <si>
    <t>Gruesos</t>
  </si>
  <si>
    <t>Finos</t>
  </si>
  <si>
    <t>Total Integral</t>
  </si>
  <si>
    <t>Combo Gruesos</t>
  </si>
  <si>
    <t>Combo Finos</t>
  </si>
  <si>
    <t>Graduación ACI 302</t>
  </si>
  <si>
    <t>Limites ASTM C-33</t>
  </si>
  <si>
    <t>Inf Finos</t>
  </si>
  <si>
    <t>Sup Finos</t>
  </si>
  <si>
    <t>Inf 40 - 4</t>
  </si>
  <si>
    <t>Sup 40 - 4</t>
  </si>
  <si>
    <t>2"</t>
  </si>
  <si>
    <t>1 1/2"</t>
  </si>
  <si>
    <t>1"</t>
  </si>
  <si>
    <t>3/4"</t>
  </si>
  <si>
    <t>1/2"</t>
  </si>
  <si>
    <t>3/8"</t>
  </si>
  <si>
    <t># 4</t>
  </si>
  <si>
    <t># 8</t>
  </si>
  <si>
    <t># 16</t>
  </si>
  <si>
    <t># 30</t>
  </si>
  <si>
    <t># 50</t>
  </si>
  <si>
    <t># 100</t>
  </si>
  <si>
    <t># 200</t>
  </si>
  <si>
    <t>Módulo Finura</t>
  </si>
  <si>
    <t>Gráficas</t>
  </si>
  <si>
    <t xml:space="preserve"> </t>
  </si>
  <si>
    <t>Densidad Arena</t>
  </si>
  <si>
    <t>Consumo de Cemento</t>
  </si>
  <si>
    <t>Densidad Grava</t>
  </si>
  <si>
    <t>No. de
Malla</t>
  </si>
  <si>
    <t>% Retenido</t>
  </si>
  <si>
    <t>% Que pasa</t>
  </si>
  <si>
    <t>% Especificado</t>
  </si>
  <si>
    <t>Parcial</t>
  </si>
  <si>
    <t>Acumulado</t>
  </si>
  <si>
    <t>Límite Inferior</t>
  </si>
  <si>
    <t>Límite Superior</t>
  </si>
  <si>
    <t>Mezcla arcillosa</t>
  </si>
  <si>
    <t>Mezcla arenosa</t>
  </si>
  <si>
    <t>1 1/2 "</t>
  </si>
  <si>
    <t>1  "</t>
  </si>
  <si>
    <t>No. 4</t>
  </si>
  <si>
    <t>No. 8</t>
  </si>
  <si>
    <t>No.16</t>
  </si>
  <si>
    <t>No.30</t>
  </si>
  <si>
    <t>No.50</t>
  </si>
  <si>
    <t>No.100</t>
  </si>
  <si>
    <t>Charola</t>
  </si>
  <si>
    <t>SUMA</t>
  </si>
  <si>
    <t xml:space="preserve">       Modulo de Finura de la Combinacion de Agregados Fino y Grueso Recomendado para diferentes .</t>
  </si>
  <si>
    <t>Contenidos de Cemento</t>
  </si>
  <si>
    <t>GRAVA 10</t>
  </si>
  <si>
    <t xml:space="preserve">GRAVA 13 </t>
  </si>
  <si>
    <t>GRAVA 20</t>
  </si>
  <si>
    <t>GRAVA 25</t>
  </si>
  <si>
    <t>GRAVA 40</t>
  </si>
  <si>
    <t>%Rf</t>
  </si>
  <si>
    <t>GRAVA 13</t>
  </si>
  <si>
    <t>%RF</t>
  </si>
  <si>
    <t>grava</t>
  </si>
  <si>
    <t>Módulo de Finura Arena</t>
  </si>
  <si>
    <t>Módulo de Finura Grava</t>
  </si>
  <si>
    <t>% Relación de Finos</t>
  </si>
  <si>
    <t>Módulo de Finura Combinado</t>
  </si>
  <si>
    <t>Relación Grava-Arena</t>
  </si>
  <si>
    <r>
      <t>3</t>
    </r>
    <r>
      <rPr>
        <sz val="11"/>
        <rFont val="Arial"/>
        <family val="2"/>
      </rPr>
      <t>/</t>
    </r>
    <r>
      <rPr>
        <vertAlign val="subscript"/>
        <sz val="11"/>
        <rFont val="Arial"/>
        <family val="2"/>
      </rPr>
      <t>4</t>
    </r>
    <r>
      <rPr>
        <sz val="11"/>
        <rFont val="Arial"/>
        <family val="2"/>
      </rPr>
      <t>"</t>
    </r>
  </si>
  <si>
    <r>
      <t>1</t>
    </r>
    <r>
      <rPr>
        <sz val="11"/>
        <rFont val="Arial"/>
        <family val="2"/>
      </rPr>
      <t>/</t>
    </r>
    <r>
      <rPr>
        <vertAlign val="subscript"/>
        <sz val="11"/>
        <rFont val="Arial"/>
        <family val="2"/>
      </rPr>
      <t>2</t>
    </r>
    <r>
      <rPr>
        <sz val="11"/>
        <rFont val="Arial"/>
        <family val="2"/>
      </rPr>
      <t>"</t>
    </r>
  </si>
  <si>
    <r>
      <t>3</t>
    </r>
    <r>
      <rPr>
        <sz val="11"/>
        <rFont val="Arial"/>
        <family val="2"/>
      </rPr>
      <t>/</t>
    </r>
    <r>
      <rPr>
        <vertAlign val="subscript"/>
        <sz val="11"/>
        <rFont val="Arial"/>
        <family val="2"/>
      </rPr>
      <t>8</t>
    </r>
    <r>
      <rPr>
        <sz val="11"/>
        <rFont val="Arial"/>
        <family val="2"/>
      </rPr>
      <t>"</t>
    </r>
  </si>
  <si>
    <t>Autoridad Responsable de liberación del producto</t>
  </si>
  <si>
    <t>Combinado</t>
  </si>
  <si>
    <t>Factor Grosura</t>
  </si>
  <si>
    <t>Factor Trabajabilidad</t>
  </si>
  <si>
    <t>F Trabajabilidad Ajuste</t>
  </si>
  <si>
    <t>Rel. G/A</t>
  </si>
  <si>
    <t>Revenimiento</t>
  </si>
  <si>
    <t>CPO-40</t>
  </si>
  <si>
    <t>Grava</t>
  </si>
  <si>
    <t>Malla</t>
  </si>
  <si>
    <t>Resul</t>
  </si>
  <si>
    <t>lim. Inf</t>
  </si>
  <si>
    <t>lim sup.</t>
  </si>
  <si>
    <t>Gráfica Grava 10 mm</t>
  </si>
  <si>
    <t>Gráfica Grava 13 mm</t>
  </si>
  <si>
    <t>Gráfica Grava 20 mm</t>
  </si>
  <si>
    <t>Gráfica Grava 25 mm</t>
  </si>
  <si>
    <t>Gráfica Grava 40-20  mm</t>
  </si>
  <si>
    <t>40-20</t>
  </si>
  <si>
    <t>Gráfica Grava 40-4 mm</t>
  </si>
  <si>
    <t>40-4</t>
  </si>
  <si>
    <t>Grava 1</t>
  </si>
  <si>
    <t>Grava 2</t>
  </si>
  <si>
    <t>Peso prueba:</t>
  </si>
  <si>
    <t>1 Grava - 1 Arena</t>
  </si>
  <si>
    <t>2 Gravas - 2 Arenas</t>
  </si>
  <si>
    <t>2 Gravas - 1 Arena</t>
  </si>
  <si>
    <t>1 Grava - 2 Arenas</t>
  </si>
  <si>
    <t>Mortero hum. 1 Arena</t>
  </si>
  <si>
    <t>Morteto hum. 2 Arenas</t>
  </si>
  <si>
    <t>Técnico 2</t>
  </si>
  <si>
    <t>Técnico 3</t>
  </si>
  <si>
    <t>Técnico 4</t>
  </si>
  <si>
    <t>BOTON</t>
  </si>
  <si>
    <t>Selecciona el TMA</t>
  </si>
  <si>
    <t>Relación G/A sugerida</t>
  </si>
  <si>
    <t>% del agregado combinado que pasa la malla No 8</t>
  </si>
  <si>
    <t>Con respecto al factor de trabajabilidad, el impacto de 43 kg de cemento es aproximadamente igual a un ajuste similar de 2.5% en la cantidad de agregado fino</t>
  </si>
  <si>
    <t>Fracc. de mortero</t>
  </si>
  <si>
    <t>Rel. a/mc</t>
  </si>
  <si>
    <t>Técnico 5</t>
  </si>
  <si>
    <t>Técnico 6</t>
  </si>
  <si>
    <t>Técnico 7</t>
  </si>
  <si>
    <r>
      <rPr>
        <b/>
        <sz val="10"/>
        <rFont val="Arial"/>
        <family val="2"/>
      </rPr>
      <t>NOTA:</t>
    </r>
    <r>
      <rPr>
        <sz val="10"/>
        <rFont val="Arial"/>
        <family val="2"/>
      </rPr>
      <t xml:space="preserve"> Las observaciones de campo con múltiples materiales y tipos de construcción</t>
    </r>
  </si>
  <si>
    <t>y el Factor de Trabajabilidad de Mezcla Total es de aproximadamente 35.</t>
  </si>
  <si>
    <t>Referencias: NMX-C-159-ONNCCE-2004, NMX-C-159-ONNCCE-2016</t>
  </si>
  <si>
    <t>POC 05.F03_rev 2</t>
  </si>
  <si>
    <t xml:space="preserve">Granulometría Integral </t>
  </si>
  <si>
    <t>T.M.A (10, 13, 20, 25 y  40 mm)</t>
  </si>
  <si>
    <t>Diseño 1</t>
  </si>
  <si>
    <t>Folio formato POC 05.F01_rev 2:</t>
  </si>
  <si>
    <t>Capturar solo celdas marcadas en verde:</t>
  </si>
  <si>
    <t>POC 30.FXX</t>
  </si>
  <si>
    <t>PASTA</t>
  </si>
  <si>
    <t>3 gravas 2 arenas</t>
  </si>
  <si>
    <t>3 gravas 1 arenas</t>
  </si>
  <si>
    <t>3 Gravas - 2 Arenas</t>
  </si>
  <si>
    <t>3 Gravas - 1 Arenas</t>
  </si>
  <si>
    <t>7 CORREGIR</t>
  </si>
  <si>
    <t>8 CORREGIR</t>
  </si>
  <si>
    <t>Grava 3</t>
  </si>
  <si>
    <t>Arena</t>
  </si>
  <si>
    <t>3 gravas; 1 arena</t>
  </si>
  <si>
    <t>AB1</t>
  </si>
  <si>
    <t>GB1</t>
  </si>
  <si>
    <t>PARA GRAVA DE 1 1/2"</t>
  </si>
  <si>
    <t>PARA GRAVA DE 3/4"</t>
  </si>
  <si>
    <t xml:space="preserve">Relacion g/a = </t>
  </si>
  <si>
    <t>Contenido de aire</t>
  </si>
  <si>
    <t>Total de grava</t>
  </si>
  <si>
    <t>B6</t>
  </si>
  <si>
    <t>AR1</t>
  </si>
  <si>
    <t>GC2</t>
  </si>
  <si>
    <t>EDF</t>
  </si>
  <si>
    <t>GB4</t>
  </si>
  <si>
    <t>Código RMS</t>
  </si>
  <si>
    <t>Aditivo de linea</t>
  </si>
  <si>
    <t>Aditivo Fludi</t>
  </si>
  <si>
    <t>Inclusor y exclusor de aire</t>
  </si>
  <si>
    <t>Fibras</t>
  </si>
  <si>
    <t>B1</t>
  </si>
  <si>
    <t>Gris CPO 40R</t>
  </si>
  <si>
    <t>AA1</t>
  </si>
  <si>
    <t>Andesita</t>
  </si>
  <si>
    <t>GA1</t>
  </si>
  <si>
    <t>D85</t>
  </si>
  <si>
    <t>Polyheed 766</t>
  </si>
  <si>
    <t>DAI</t>
  </si>
  <si>
    <t>ISORETARD 161</t>
  </si>
  <si>
    <t>EAL</t>
  </si>
  <si>
    <t>EXCLUSOR DE AIRE</t>
  </si>
  <si>
    <t>P14</t>
  </si>
  <si>
    <t>Denka CSA 20</t>
  </si>
  <si>
    <t>F01</t>
  </si>
  <si>
    <t>Polipropileno</t>
  </si>
  <si>
    <t>Formato para validar concreto para pisos industriales</t>
  </si>
  <si>
    <t>B3</t>
  </si>
  <si>
    <t>CPC40 SILO 2</t>
  </si>
  <si>
    <t>D86</t>
  </si>
  <si>
    <t>Polyheed 917D</t>
  </si>
  <si>
    <t>EA1</t>
  </si>
  <si>
    <t>Pozzolith 100 HE</t>
  </si>
  <si>
    <t>EB7</t>
  </si>
  <si>
    <t>Sika-Aer Expeller</t>
  </si>
  <si>
    <t>P18</t>
  </si>
  <si>
    <t>Expan 500</t>
  </si>
  <si>
    <t>F02</t>
  </si>
  <si>
    <t>Antibacteriano</t>
  </si>
  <si>
    <t>Cemento Gris Tipo II</t>
  </si>
  <si>
    <t>AA2</t>
  </si>
  <si>
    <t>Andesita Para Mortero No.8</t>
  </si>
  <si>
    <t>GA2</t>
  </si>
  <si>
    <t>D25</t>
  </si>
  <si>
    <t>Sikament 190 LA</t>
  </si>
  <si>
    <t>EA2</t>
  </si>
  <si>
    <t xml:space="preserve">Sikaset L </t>
  </si>
  <si>
    <t>EI1</t>
  </si>
  <si>
    <t>Termo-aire</t>
  </si>
  <si>
    <t>P21</t>
  </si>
  <si>
    <t>Conex M</t>
  </si>
  <si>
    <t>F03</t>
  </si>
  <si>
    <t xml:space="preserve">Acero Novotesh  </t>
  </si>
  <si>
    <t>B8</t>
  </si>
  <si>
    <t>CEMENTO CPO 30R RS BAJO ALCALI</t>
  </si>
  <si>
    <t>AK1</t>
  </si>
  <si>
    <t>Barita</t>
  </si>
  <si>
    <t>D92</t>
  </si>
  <si>
    <t>Polyheed 770</t>
  </si>
  <si>
    <t>EA3</t>
  </si>
  <si>
    <t>Pozzolith LL880</t>
  </si>
  <si>
    <t>EI2</t>
  </si>
  <si>
    <t>Elmax II</t>
  </si>
  <si>
    <t>P35</t>
  </si>
  <si>
    <t>DRY D1 C</t>
  </si>
  <si>
    <t>F05</t>
  </si>
  <si>
    <t>Microfibra</t>
  </si>
  <si>
    <t>Si</t>
  </si>
  <si>
    <t>C1</t>
  </si>
  <si>
    <t xml:space="preserve">Cemento Portland Ordinario CPO 40 </t>
  </si>
  <si>
    <t>Basalto</t>
  </si>
  <si>
    <t>GA3</t>
  </si>
  <si>
    <t>D20</t>
  </si>
  <si>
    <t>Wrda-64</t>
  </si>
  <si>
    <t>EA5</t>
  </si>
  <si>
    <t>Pozutec 20-2709</t>
  </si>
  <si>
    <t>EI3</t>
  </si>
  <si>
    <t>Daravair-1000</t>
  </si>
  <si>
    <t>F06</t>
  </si>
  <si>
    <t>Fibra Xores</t>
  </si>
  <si>
    <t>No</t>
  </si>
  <si>
    <t>C2</t>
  </si>
  <si>
    <t>Cemento Portland Ordinario CPO 30R RS BRA</t>
  </si>
  <si>
    <t>D21</t>
  </si>
  <si>
    <t>Wrda-79</t>
  </si>
  <si>
    <t>EA6</t>
  </si>
  <si>
    <t>Pozzolith LA 8</t>
  </si>
  <si>
    <t>EI4</t>
  </si>
  <si>
    <t>Microair 990</t>
  </si>
  <si>
    <t>F07</t>
  </si>
  <si>
    <t>Fibra Xores (Novomesh)</t>
  </si>
  <si>
    <t>Cliente:</t>
  </si>
  <si>
    <t>C3</t>
  </si>
  <si>
    <t>Cemento Portland Compuesto CPC 40</t>
  </si>
  <si>
    <t>AC1</t>
  </si>
  <si>
    <t>Caliza No. 4</t>
  </si>
  <si>
    <t>GA4</t>
  </si>
  <si>
    <t>D17</t>
  </si>
  <si>
    <t>WRDA 19 Hycol</t>
  </si>
  <si>
    <t>EA7</t>
  </si>
  <si>
    <t>Pozzolith NC 534</t>
  </si>
  <si>
    <t>EI5</t>
  </si>
  <si>
    <t>Sika aer</t>
  </si>
  <si>
    <t>F08</t>
  </si>
  <si>
    <t>Sintética Polimérica</t>
  </si>
  <si>
    <t>Obra:</t>
  </si>
  <si>
    <t>Analista de calidad</t>
  </si>
  <si>
    <t>C4</t>
  </si>
  <si>
    <t>Cemento Portland Compuesto CPC 30 R</t>
  </si>
  <si>
    <t>AN1</t>
  </si>
  <si>
    <t>Granito</t>
  </si>
  <si>
    <t>D42</t>
  </si>
  <si>
    <t>Zyla 610</t>
  </si>
  <si>
    <t>EA8</t>
  </si>
  <si>
    <t>Meyco 160</t>
  </si>
  <si>
    <t>EZ6</t>
  </si>
  <si>
    <t>EUCO ANTI-AIR</t>
  </si>
  <si>
    <t>F09</t>
  </si>
  <si>
    <t xml:space="preserve">Ubicación: </t>
  </si>
  <si>
    <t>Asesor Jr de Calidad</t>
  </si>
  <si>
    <t>C5</t>
  </si>
  <si>
    <t xml:space="preserve">Cemento Portland Puzolanico CPP 30 R </t>
  </si>
  <si>
    <t>AN2</t>
  </si>
  <si>
    <t>Granito No.8 Para Mortero (Fina a Cernida)</t>
  </si>
  <si>
    <t>GA5</t>
  </si>
  <si>
    <t>D36</t>
  </si>
  <si>
    <t>Z 2429 MPC</t>
  </si>
  <si>
    <t>EA9</t>
  </si>
  <si>
    <t>Sikarapid-1</t>
  </si>
  <si>
    <t>F10</t>
  </si>
  <si>
    <t>Antibacteriano (INVALIDA)</t>
  </si>
  <si>
    <t>Jefe de control de calidad</t>
  </si>
  <si>
    <t>C6</t>
  </si>
  <si>
    <t>Gris 4000 granel</t>
  </si>
  <si>
    <t>Arena de Granito No. 8 P/Mortero</t>
  </si>
  <si>
    <t>D37</t>
  </si>
  <si>
    <t>2749CX</t>
  </si>
  <si>
    <t>EAA</t>
  </si>
  <si>
    <t>Eucon W.O</t>
  </si>
  <si>
    <t>F11</t>
  </si>
  <si>
    <t>Fibra Novomesh</t>
  </si>
  <si>
    <t>C7</t>
  </si>
  <si>
    <t xml:space="preserve">Cemento Portland Ordinario Blanco CPO 30 R / B </t>
  </si>
  <si>
    <t>AV1</t>
  </si>
  <si>
    <t>Tova</t>
  </si>
  <si>
    <t>GA6</t>
  </si>
  <si>
    <t>D39</t>
  </si>
  <si>
    <t>2549C</t>
  </si>
  <si>
    <t>EAB</t>
  </si>
  <si>
    <t>Dynamon SP 45/AC</t>
  </si>
  <si>
    <t>F12</t>
  </si>
  <si>
    <t>Fibramix-antibacteriana</t>
  </si>
  <si>
    <t>Área total</t>
  </si>
  <si>
    <t>Espesor del piso</t>
  </si>
  <si>
    <t>C8</t>
  </si>
  <si>
    <t>Gris 5800 granel</t>
  </si>
  <si>
    <t>AL1</t>
  </si>
  <si>
    <t>Riolita</t>
  </si>
  <si>
    <t>D12</t>
  </si>
  <si>
    <t>Pozzolith 360N o Pozzolith 360R</t>
  </si>
  <si>
    <t>EAC</t>
  </si>
  <si>
    <t>Mapeplast N 12</t>
  </si>
  <si>
    <t>F13</t>
  </si>
  <si>
    <t>Fibramix</t>
  </si>
  <si>
    <t>Volumen de concreto</t>
  </si>
  <si>
    <t>Llevara barrera de vapor</t>
  </si>
  <si>
    <t>C9</t>
  </si>
  <si>
    <t>Gris 5800 saco importado</t>
  </si>
  <si>
    <t>AC3</t>
  </si>
  <si>
    <t>Caliza Lavada No.4</t>
  </si>
  <si>
    <t>D11</t>
  </si>
  <si>
    <t>Pozzolith 322N o Pozzolith 322R</t>
  </si>
  <si>
    <t>EAD</t>
  </si>
  <si>
    <t>EUCON MR380</t>
  </si>
  <si>
    <t>F14</t>
  </si>
  <si>
    <t>Master Fiber</t>
  </si>
  <si>
    <t>CA</t>
  </si>
  <si>
    <t>Cemento Portland Ordinario CPO 30 R</t>
  </si>
  <si>
    <t>AC2</t>
  </si>
  <si>
    <t>Caliza No. 5</t>
  </si>
  <si>
    <t>GB2</t>
  </si>
  <si>
    <t>D16</t>
  </si>
  <si>
    <t>Pozzolith 300N o Pozzolith 300R</t>
  </si>
  <si>
    <t>EAE</t>
  </si>
  <si>
    <t>EUCO HP 21H</t>
  </si>
  <si>
    <t>F15</t>
  </si>
  <si>
    <t>Master Fiber Antibac</t>
  </si>
  <si>
    <t>Largo</t>
  </si>
  <si>
    <t>Ancho</t>
  </si>
  <si>
    <t>CB</t>
  </si>
  <si>
    <t>CPO 40 RS Cemento Portland Ordinario Clase 40 RS</t>
  </si>
  <si>
    <t>AC4</t>
  </si>
  <si>
    <t>Caliza No.8 Para Mortero (Fina a Cernida)</t>
  </si>
  <si>
    <t>D24</t>
  </si>
  <si>
    <t xml:space="preserve">PE 1500N o PE 1500R  </t>
  </si>
  <si>
    <t>EAF</t>
  </si>
  <si>
    <t>VISCOFLOW 50</t>
  </si>
  <si>
    <t>F16</t>
  </si>
  <si>
    <t>Master Fiber 50 PS</t>
  </si>
  <si>
    <t>CC</t>
  </si>
  <si>
    <t>Cemento Tipo I</t>
  </si>
  <si>
    <t>AW1</t>
  </si>
  <si>
    <t>Volcanica</t>
  </si>
  <si>
    <t>D26</t>
  </si>
  <si>
    <t xml:space="preserve">PE 1300N o PE 1500R  </t>
  </si>
  <si>
    <t>EAG</t>
  </si>
  <si>
    <t>GLENIUM 3045</t>
  </si>
  <si>
    <t>F17</t>
  </si>
  <si>
    <t>Fibramix Micro Fibra</t>
  </si>
  <si>
    <t>CD</t>
  </si>
  <si>
    <t>Cemento Alumina Tipo III Titan</t>
  </si>
  <si>
    <t>AW2</t>
  </si>
  <si>
    <t>Volcanica Hormigón</t>
  </si>
  <si>
    <t>GB3</t>
  </si>
  <si>
    <t>D13</t>
  </si>
  <si>
    <t>Polyheed N</t>
  </si>
  <si>
    <t>EAH</t>
  </si>
  <si>
    <t>Dynamon SR3</t>
  </si>
  <si>
    <t>F18</t>
  </si>
  <si>
    <t xml:space="preserve">Fibra Metalica </t>
  </si>
  <si>
    <t>CE</t>
  </si>
  <si>
    <t>CPC 40 RS BRA Granel</t>
  </si>
  <si>
    <t>Rio</t>
  </si>
  <si>
    <t>D32</t>
  </si>
  <si>
    <t>PE 1500N</t>
  </si>
  <si>
    <t>EAI</t>
  </si>
  <si>
    <t>Dynamon HAA</t>
  </si>
  <si>
    <t>F19</t>
  </si>
  <si>
    <t>FIBRA DE POLIPROPILENO</t>
  </si>
  <si>
    <t>CF</t>
  </si>
  <si>
    <t>CEMENTO:Alta Resistencia al Sulfato(ARS)</t>
  </si>
  <si>
    <t>AY1</t>
  </si>
  <si>
    <t>Arena de Maquila</t>
  </si>
  <si>
    <t>D31</t>
  </si>
  <si>
    <t>Polyheed N 100</t>
  </si>
  <si>
    <t>EAJ</t>
  </si>
  <si>
    <t>SIKAPLAST-220</t>
  </si>
  <si>
    <t>F20</t>
  </si>
  <si>
    <t>Fibra Endura</t>
  </si>
  <si>
    <t>CG</t>
  </si>
  <si>
    <t>Cemento Portland Compuesto Blanco CPC-30RB</t>
  </si>
  <si>
    <t>AR2</t>
  </si>
  <si>
    <t>Rio Lavada</t>
  </si>
  <si>
    <t>D34</t>
  </si>
  <si>
    <t>PE 1300N</t>
  </si>
  <si>
    <t>EAK</t>
  </si>
  <si>
    <t>Hidrocreto</t>
  </si>
  <si>
    <t>F21</t>
  </si>
  <si>
    <t>POLIPROPILENO FIBERCON</t>
  </si>
  <si>
    <t>Nombre de quien solicita la validación:</t>
  </si>
  <si>
    <t>CH</t>
  </si>
  <si>
    <t>Cemento Portland Puzolanico CPP 30 R RS</t>
  </si>
  <si>
    <t>AR3</t>
  </si>
  <si>
    <t xml:space="preserve">Río No.8 P/Relleno </t>
  </si>
  <si>
    <t>GB5</t>
  </si>
  <si>
    <t>D38</t>
  </si>
  <si>
    <t>Pozzolith 200 N</t>
  </si>
  <si>
    <t>F22</t>
  </si>
  <si>
    <t>Metálica Fibercon</t>
  </si>
  <si>
    <t>Cargo en la empresa:</t>
  </si>
  <si>
    <t>CI</t>
  </si>
  <si>
    <t>Cemento Tipo IP (ASTM 595)</t>
  </si>
  <si>
    <t>AI1</t>
  </si>
  <si>
    <t>Arena de Tepetate</t>
  </si>
  <si>
    <t>GB7</t>
  </si>
  <si>
    <t>D45</t>
  </si>
  <si>
    <t>Pozzolith 220N</t>
  </si>
  <si>
    <t>EAM</t>
  </si>
  <si>
    <t>ADVA FLEX 175</t>
  </si>
  <si>
    <t>F23</t>
  </si>
  <si>
    <t>Wirand FF1</t>
  </si>
  <si>
    <t>Fecha envió a validación:</t>
  </si>
  <si>
    <t>CJ</t>
  </si>
  <si>
    <t>Cem. Port. Compuesto CPC 30 R RS</t>
  </si>
  <si>
    <t>AC6</t>
  </si>
  <si>
    <t>Caliza Lavada No.5</t>
  </si>
  <si>
    <t>GC1</t>
  </si>
  <si>
    <t>D44</t>
  </si>
  <si>
    <t>Polyheed 756</t>
  </si>
  <si>
    <t>EAN</t>
  </si>
  <si>
    <t>Darafill 200</t>
  </si>
  <si>
    <t>F24</t>
  </si>
  <si>
    <t>Fibermesh 300</t>
  </si>
  <si>
    <t>CK</t>
  </si>
  <si>
    <t>Cemento CSA</t>
  </si>
  <si>
    <t>AF1</t>
  </si>
  <si>
    <t>Arena mezcla</t>
  </si>
  <si>
    <t>D54</t>
  </si>
  <si>
    <t>Polyheed 909</t>
  </si>
  <si>
    <t>EAO</t>
  </si>
  <si>
    <t>Viscocrete PC-2800</t>
  </si>
  <si>
    <t>F25</t>
  </si>
  <si>
    <t>Novomex 850</t>
  </si>
  <si>
    <t>cm2/g</t>
  </si>
  <si>
    <t>CL</t>
  </si>
  <si>
    <t>Mortero Monterrey</t>
  </si>
  <si>
    <t>AD1</t>
  </si>
  <si>
    <t>Mar</t>
  </si>
  <si>
    <t>D55</t>
  </si>
  <si>
    <t>Pozzolith 231N</t>
  </si>
  <si>
    <t>EAP</t>
  </si>
  <si>
    <t>ISOFLOW 751</t>
  </si>
  <si>
    <t>F26</t>
  </si>
  <si>
    <t>Fibermesh 150</t>
  </si>
  <si>
    <t>CM</t>
  </si>
  <si>
    <t>Cemento Portland Compuesto Impercem CPC 30 R</t>
  </si>
  <si>
    <t>AD2</t>
  </si>
  <si>
    <t>Arena Motastepe</t>
  </si>
  <si>
    <t>D51</t>
  </si>
  <si>
    <t>Polyheed 820</t>
  </si>
  <si>
    <t>EAQ</t>
  </si>
  <si>
    <t>ISOFLOW 791</t>
  </si>
  <si>
    <t>F27</t>
  </si>
  <si>
    <t>Xorex</t>
  </si>
  <si>
    <t>Tipo de cemento:</t>
  </si>
  <si>
    <t>CN</t>
  </si>
  <si>
    <t>Cemento Para Mortero</t>
  </si>
  <si>
    <t>AD3</t>
  </si>
  <si>
    <t>NI Arena Natural Fina (Cribada)</t>
  </si>
  <si>
    <t>D53</t>
  </si>
  <si>
    <t>Polyheed 903</t>
  </si>
  <si>
    <t>EAR</t>
  </si>
  <si>
    <t>ISOFLOW 481</t>
  </si>
  <si>
    <t>F28</t>
  </si>
  <si>
    <t>Enduro 600</t>
  </si>
  <si>
    <t>Certificado Quimico de cemento</t>
  </si>
  <si>
    <t>Fecha de Emisión</t>
  </si>
  <si>
    <t>CO</t>
  </si>
  <si>
    <t>Cemento Pórtland Compuesto CPC40 RS</t>
  </si>
  <si>
    <t>AC7</t>
  </si>
  <si>
    <t>CALIZA No. 3/16"</t>
  </si>
  <si>
    <t>GC3</t>
  </si>
  <si>
    <t>D52</t>
  </si>
  <si>
    <t>Polyheed 855</t>
  </si>
  <si>
    <t>EAS</t>
  </si>
  <si>
    <t>ISORETARD 160</t>
  </si>
  <si>
    <t>F29</t>
  </si>
  <si>
    <t>Novocon 1050HE</t>
  </si>
  <si>
    <t>Tiempo de fraguado inicial</t>
  </si>
  <si>
    <t>Blaine</t>
  </si>
  <si>
    <t>CP</t>
  </si>
  <si>
    <t>Cemento Portland Gris Tipo I</t>
  </si>
  <si>
    <t>D58</t>
  </si>
  <si>
    <t>Polyheed 916</t>
  </si>
  <si>
    <t>EAT</t>
  </si>
  <si>
    <t>ISOXEL 435</t>
  </si>
  <si>
    <t>F30</t>
  </si>
  <si>
    <t>F-Max Fiber Matrix</t>
  </si>
  <si>
    <t>Expansión en barras sumergidas en agua</t>
  </si>
  <si>
    <t>CQ</t>
  </si>
  <si>
    <t>Cemento Portland Tipo I MP</t>
  </si>
  <si>
    <t>AB2</t>
  </si>
  <si>
    <t>GC4</t>
  </si>
  <si>
    <t>D59</t>
  </si>
  <si>
    <t>Polyheed 917</t>
  </si>
  <si>
    <t>EAU</t>
  </si>
  <si>
    <t>ISOXEL 555</t>
  </si>
  <si>
    <t>F31</t>
  </si>
  <si>
    <t>Polyfiber</t>
  </si>
  <si>
    <t>CS</t>
  </si>
  <si>
    <t>Gris HE 1157 Gra</t>
  </si>
  <si>
    <t>GC5</t>
  </si>
  <si>
    <t>D67</t>
  </si>
  <si>
    <t>Polyheed 755</t>
  </si>
  <si>
    <t>EAV</t>
  </si>
  <si>
    <t>RheoTEC Z-60</t>
  </si>
  <si>
    <t>F33</t>
  </si>
  <si>
    <t>Tuf-Standar SF</t>
  </si>
  <si>
    <t>DAX</t>
  </si>
  <si>
    <t>CT</t>
  </si>
  <si>
    <t>Cemento Gris HE a Granel</t>
  </si>
  <si>
    <t>AC8</t>
  </si>
  <si>
    <t>Caliza Amarillo Oaxaca No.16</t>
  </si>
  <si>
    <t>GC9</t>
  </si>
  <si>
    <t>D68</t>
  </si>
  <si>
    <t>Polyheed 745</t>
  </si>
  <si>
    <t>EAW</t>
  </si>
  <si>
    <t>Polyheed 994</t>
  </si>
  <si>
    <t>F34</t>
  </si>
  <si>
    <t>Dramix RL45/50BN</t>
  </si>
  <si>
    <t>CU</t>
  </si>
  <si>
    <t>Gris Tipo II Bayano Granel</t>
  </si>
  <si>
    <t>GD1</t>
  </si>
  <si>
    <t>D14</t>
  </si>
  <si>
    <t>Polyheed RI</t>
  </si>
  <si>
    <t>EAX</t>
  </si>
  <si>
    <t>ECLIPSE FLOOR 200</t>
  </si>
  <si>
    <t>F35</t>
  </si>
  <si>
    <t>Tecnor 05-25</t>
  </si>
  <si>
    <t>Inclusor o Exclusor de aire</t>
  </si>
  <si>
    <t>CV</t>
  </si>
  <si>
    <t>Canal</t>
  </si>
  <si>
    <t>GD2</t>
  </si>
  <si>
    <t>D18</t>
  </si>
  <si>
    <t>Pozzolith 100 XR</t>
  </si>
  <si>
    <t>ECLIPSE FLOOR 200 MX</t>
  </si>
  <si>
    <t>F36</t>
  </si>
  <si>
    <t>Ramgra FR-40-1</t>
  </si>
  <si>
    <t>CW</t>
  </si>
  <si>
    <t>Canal Plus</t>
  </si>
  <si>
    <t>GD3</t>
  </si>
  <si>
    <t>D33</t>
  </si>
  <si>
    <t>PE 1500R</t>
  </si>
  <si>
    <t>EAY</t>
  </si>
  <si>
    <t>Sikament 307 MX</t>
  </si>
  <si>
    <t>F37</t>
  </si>
  <si>
    <t>Ramgra FRG-50-1</t>
  </si>
  <si>
    <t>CX</t>
  </si>
  <si>
    <t>CEMENTO PARA CONCRETO, TIPO V</t>
  </si>
  <si>
    <t>GD4</t>
  </si>
  <si>
    <t>D35</t>
  </si>
  <si>
    <t>PE 1300R</t>
  </si>
  <si>
    <t>EAZ</t>
  </si>
  <si>
    <t>Rheomac 350</t>
  </si>
  <si>
    <t>F38</t>
  </si>
  <si>
    <t>SNF</t>
  </si>
  <si>
    <t>CZ</t>
  </si>
  <si>
    <t>CEMENTO PARA CONCRETO, TIPO TIPO II</t>
  </si>
  <si>
    <t>GG1</t>
  </si>
  <si>
    <t>D40</t>
  </si>
  <si>
    <t>Sikament 400</t>
  </si>
  <si>
    <t>EB2</t>
  </si>
  <si>
    <t>Navitas 33</t>
  </si>
  <si>
    <t>F40</t>
  </si>
  <si>
    <t>D1</t>
  </si>
  <si>
    <t>GRIS CPO40 EXP.</t>
  </si>
  <si>
    <t>GG2</t>
  </si>
  <si>
    <t>D41</t>
  </si>
  <si>
    <t>Sikament 410</t>
  </si>
  <si>
    <t>EB3</t>
  </si>
  <si>
    <t>Sika Precast</t>
  </si>
  <si>
    <t>F41</t>
  </si>
  <si>
    <t>Fibra-Cem</t>
  </si>
  <si>
    <t>Densidad:</t>
  </si>
  <si>
    <t>P1</t>
  </si>
  <si>
    <t>FLY ASH</t>
  </si>
  <si>
    <t>AY2</t>
  </si>
  <si>
    <t>GG3</t>
  </si>
  <si>
    <t>D43</t>
  </si>
  <si>
    <t>Sikament 430</t>
  </si>
  <si>
    <t>EB4</t>
  </si>
  <si>
    <t>SIKAMENT-100</t>
  </si>
  <si>
    <t>F42</t>
  </si>
  <si>
    <t>Masterfiber STR</t>
  </si>
  <si>
    <t>Absorción:</t>
  </si>
  <si>
    <t>T1</t>
  </si>
  <si>
    <t>CEMENTO: CP-40</t>
  </si>
  <si>
    <t>AJ1</t>
  </si>
  <si>
    <t>Jal</t>
  </si>
  <si>
    <t>GG4</t>
  </si>
  <si>
    <t>D46</t>
  </si>
  <si>
    <t>Sikament 450</t>
  </si>
  <si>
    <t>EB5</t>
  </si>
  <si>
    <t>SIKAPLAST-75</t>
  </si>
  <si>
    <t>F43</t>
  </si>
  <si>
    <t>Dramix RC-80/60-BN</t>
  </si>
  <si>
    <t>Perdida por lavado</t>
  </si>
  <si>
    <t>T2</t>
  </si>
  <si>
    <t>Cemento Tipo I Bayano Granel</t>
  </si>
  <si>
    <t>AB3</t>
  </si>
  <si>
    <t>Basalto Lavada No. 4</t>
  </si>
  <si>
    <t>GG5</t>
  </si>
  <si>
    <t>D47</t>
  </si>
  <si>
    <t>Plastiment G500</t>
  </si>
  <si>
    <t>EB6</t>
  </si>
  <si>
    <t>Sikatard 930 CO</t>
  </si>
  <si>
    <t>F44</t>
  </si>
  <si>
    <t>Strong Fiber</t>
  </si>
  <si>
    <t>Cumple granulometría</t>
  </si>
  <si>
    <t>T7</t>
  </si>
  <si>
    <t>CEMENTO: Blanco</t>
  </si>
  <si>
    <t>AC5</t>
  </si>
  <si>
    <t>Caliza No Clasificada</t>
  </si>
  <si>
    <t>GH1</t>
  </si>
  <si>
    <t>D48</t>
  </si>
  <si>
    <t>Plastocrete 161MR</t>
  </si>
  <si>
    <t>F45</t>
  </si>
  <si>
    <t>Antitermita Imaclorp</t>
  </si>
  <si>
    <t>Granulometría</t>
  </si>
  <si>
    <t>TD</t>
  </si>
  <si>
    <t>CIM GRA TP1 FAST BULK</t>
  </si>
  <si>
    <t>AE1</t>
  </si>
  <si>
    <t>Arena Ligera</t>
  </si>
  <si>
    <t>GH2</t>
  </si>
  <si>
    <t>D49</t>
  </si>
  <si>
    <t>Sikament 180</t>
  </si>
  <si>
    <t>EB8</t>
  </si>
  <si>
    <t xml:space="preserve">Eucon AWA </t>
  </si>
  <si>
    <t>F50</t>
  </si>
  <si>
    <t>Hidratium-Polipropileno</t>
  </si>
  <si>
    <t>T6</t>
  </si>
  <si>
    <t>CEMENTO MAMPOSTERÍA TIPO N</t>
  </si>
  <si>
    <t>AG1</t>
  </si>
  <si>
    <t>Gabro</t>
  </si>
  <si>
    <t>GH3</t>
  </si>
  <si>
    <t>D50</t>
  </si>
  <si>
    <t>Polyheed 789</t>
  </si>
  <si>
    <t>EB9</t>
  </si>
  <si>
    <t>Glenium 994M</t>
  </si>
  <si>
    <t>F51</t>
  </si>
  <si>
    <t>Mallas</t>
  </si>
  <si>
    <t>E1</t>
  </si>
  <si>
    <t>GRIS CPO40-RS BRA</t>
  </si>
  <si>
    <t>AL2</t>
  </si>
  <si>
    <t>Riolita No.8</t>
  </si>
  <si>
    <t>GH4</t>
  </si>
  <si>
    <t>D56</t>
  </si>
  <si>
    <t>Polyheed 841</t>
  </si>
  <si>
    <t>EBA</t>
  </si>
  <si>
    <t>Dynamo SR6</t>
  </si>
  <si>
    <t>F52</t>
  </si>
  <si>
    <t>Duomix M6 Fire</t>
  </si>
  <si>
    <t>AO1</t>
  </si>
  <si>
    <t>ARENA OBSIDIANA No. 5</t>
  </si>
  <si>
    <t>GH5</t>
  </si>
  <si>
    <t>D57</t>
  </si>
  <si>
    <t>Sikament 440</t>
  </si>
  <si>
    <t>EBB</t>
  </si>
  <si>
    <t>COHESIONANTE PARA HORMIGÓN</t>
  </si>
  <si>
    <t>F53</t>
  </si>
  <si>
    <t>AP1</t>
  </si>
  <si>
    <t>Pómez</t>
  </si>
  <si>
    <t>GJ1</t>
  </si>
  <si>
    <t>D60</t>
  </si>
  <si>
    <t>Plastiment 735</t>
  </si>
  <si>
    <t>EBC</t>
  </si>
  <si>
    <t>Dynamon Easy 90</t>
  </si>
  <si>
    <t>F54</t>
  </si>
  <si>
    <t>Wirand FF3</t>
  </si>
  <si>
    <t>AT1</t>
  </si>
  <si>
    <t>Tezontle</t>
  </si>
  <si>
    <t>GJ2</t>
  </si>
  <si>
    <t>D61</t>
  </si>
  <si>
    <t>Sikament 500</t>
  </si>
  <si>
    <t>EBD</t>
  </si>
  <si>
    <t>Dynamon SR7/C</t>
  </si>
  <si>
    <t>F55</t>
  </si>
  <si>
    <t>MasterFiber M100</t>
  </si>
  <si>
    <t>GJ3</t>
  </si>
  <si>
    <t>D62</t>
  </si>
  <si>
    <t>Plastiment 931 R</t>
  </si>
  <si>
    <t>EBE</t>
  </si>
  <si>
    <t>Masterglenium 3074</t>
  </si>
  <si>
    <t>GJ4</t>
  </si>
  <si>
    <t>D63</t>
  </si>
  <si>
    <t>Plastocrete MR</t>
  </si>
  <si>
    <t>EBF</t>
  </si>
  <si>
    <t>ISOTOL 8200</t>
  </si>
  <si>
    <t>F56</t>
  </si>
  <si>
    <t>Tegosivin/Fibra polipropileno</t>
  </si>
  <si>
    <t>GJ5</t>
  </si>
  <si>
    <t>D64</t>
  </si>
  <si>
    <t>Plastocrete 935</t>
  </si>
  <si>
    <t>EBG</t>
  </si>
  <si>
    <t>POZZUTEC 502</t>
  </si>
  <si>
    <t>F57</t>
  </si>
  <si>
    <t>Masterfiber MAC 470</t>
  </si>
  <si>
    <t>GK1</t>
  </si>
  <si>
    <t>D23</t>
  </si>
  <si>
    <t>Sikament 190</t>
  </si>
  <si>
    <t>EBH</t>
  </si>
  <si>
    <t xml:space="preserve"> RHEOBUILD-1700</t>
  </si>
  <si>
    <t>F58</t>
  </si>
  <si>
    <t>Fibra de Acero</t>
  </si>
  <si>
    <t>POLVO TRITURADO DE GRANITO</t>
  </si>
  <si>
    <t>GK2</t>
  </si>
  <si>
    <t>D27</t>
  </si>
  <si>
    <t xml:space="preserve">Sikament 195  </t>
  </si>
  <si>
    <t>EBI</t>
  </si>
  <si>
    <t>ISOFLOW 7660</t>
  </si>
  <si>
    <t>F59</t>
  </si>
  <si>
    <t>FibroMac 12</t>
  </si>
  <si>
    <t>Nombre del banco</t>
  </si>
  <si>
    <t>GK3</t>
  </si>
  <si>
    <t>D28</t>
  </si>
  <si>
    <t>Sikament 190 CR</t>
  </si>
  <si>
    <t>EBJ</t>
  </si>
  <si>
    <t>ISORETARD 2201</t>
  </si>
  <si>
    <t>F60</t>
  </si>
  <si>
    <t>Fibratex</t>
  </si>
  <si>
    <t>Observaciones:</t>
  </si>
  <si>
    <t>ARENA DE GRANITO LAVADA NO.4 (UNIVERSAL)</t>
  </si>
  <si>
    <t>GK4</t>
  </si>
  <si>
    <t>D15</t>
  </si>
  <si>
    <t>Plastocrete 0.25</t>
  </si>
  <si>
    <t>EBK</t>
  </si>
  <si>
    <t>ISOSTAB 4045</t>
  </si>
  <si>
    <t>F61</t>
  </si>
  <si>
    <t>Wirand FS7</t>
  </si>
  <si>
    <t>GK5</t>
  </si>
  <si>
    <t>D22</t>
  </si>
  <si>
    <t>Plastocrete RMX</t>
  </si>
  <si>
    <t>EBL</t>
  </si>
  <si>
    <t>ISORETARD 240</t>
  </si>
  <si>
    <t>F62</t>
  </si>
  <si>
    <t>Econo-Mono</t>
  </si>
  <si>
    <t>GL1</t>
  </si>
  <si>
    <t>D29</t>
  </si>
  <si>
    <t>Plastocrete 320</t>
  </si>
  <si>
    <t>EBM</t>
  </si>
  <si>
    <t>ISOCOAT 132</t>
  </si>
  <si>
    <t>F63</t>
  </si>
  <si>
    <t>Econo-Net</t>
  </si>
  <si>
    <t>GL2</t>
  </si>
  <si>
    <t>D30</t>
  </si>
  <si>
    <t>Plastocrete 325</t>
  </si>
  <si>
    <t>EBN</t>
  </si>
  <si>
    <t>ISOFOAM 550</t>
  </si>
  <si>
    <t>F64</t>
  </si>
  <si>
    <t>Forta Ferro</t>
  </si>
  <si>
    <t>GL3</t>
  </si>
  <si>
    <t>D66</t>
  </si>
  <si>
    <t>Polyheed 867</t>
  </si>
  <si>
    <t>EBO</t>
  </si>
  <si>
    <t>Frioplast MR</t>
  </si>
  <si>
    <t>F65</t>
  </si>
  <si>
    <t>Grace Fibers</t>
  </si>
  <si>
    <t>GL4</t>
  </si>
  <si>
    <t>D69</t>
  </si>
  <si>
    <t>Polyheed 960</t>
  </si>
  <si>
    <t>EBP</t>
  </si>
  <si>
    <t>VISCTROL</t>
  </si>
  <si>
    <t>F66</t>
  </si>
  <si>
    <t>Sika Fiber</t>
  </si>
  <si>
    <t>GL5</t>
  </si>
  <si>
    <t>D70</t>
  </si>
  <si>
    <t>Plastiment Liquid</t>
  </si>
  <si>
    <t>EC1</t>
  </si>
  <si>
    <t>ISOKHORE 845</t>
  </si>
  <si>
    <t>F67</t>
  </si>
  <si>
    <t>Ultra Fiber 500</t>
  </si>
  <si>
    <t>GM8</t>
  </si>
  <si>
    <t>D71</t>
  </si>
  <si>
    <t xml:space="preserve">MIRA 57 </t>
  </si>
  <si>
    <t>Rheocrete CNI</t>
  </si>
  <si>
    <t>F68</t>
  </si>
  <si>
    <t>MasterFiber F70</t>
  </si>
  <si>
    <t>D72</t>
  </si>
  <si>
    <t>Polyheed 848</t>
  </si>
  <si>
    <t>EC3</t>
  </si>
  <si>
    <t>DCI</t>
  </si>
  <si>
    <t>F69</t>
  </si>
  <si>
    <t>Hidratium-Polimero</t>
  </si>
  <si>
    <t>GN1</t>
  </si>
  <si>
    <t>D73</t>
  </si>
  <si>
    <t>Indolplast VX</t>
  </si>
  <si>
    <t>EC4</t>
  </si>
  <si>
    <t>Rheocrete 222+</t>
  </si>
  <si>
    <t>F70</t>
  </si>
  <si>
    <t>MasterFiber Mac Matrix</t>
  </si>
  <si>
    <t>GN2</t>
  </si>
  <si>
    <t>D74</t>
  </si>
  <si>
    <t>Rheomix 630 S</t>
  </si>
  <si>
    <t>EC5</t>
  </si>
  <si>
    <t>Sika Ferro Gard-901</t>
  </si>
  <si>
    <t>F71</t>
  </si>
  <si>
    <t>LUQUABSORB 1280 SR</t>
  </si>
  <si>
    <t>GN3</t>
  </si>
  <si>
    <t>EC6</t>
  </si>
  <si>
    <t>DCI-S</t>
  </si>
  <si>
    <t>F72</t>
  </si>
  <si>
    <t>FIBRA WIREMIX W40 20KG</t>
  </si>
  <si>
    <t>GN4</t>
  </si>
  <si>
    <t>D75</t>
  </si>
  <si>
    <t>MIRA 34 CP</t>
  </si>
  <si>
    <t>EC8</t>
  </si>
  <si>
    <t xml:space="preserve">SISTEMA ELMAX </t>
  </si>
  <si>
    <t>F73</t>
  </si>
  <si>
    <t>Fibrakrete N</t>
  </si>
  <si>
    <t>GN5</t>
  </si>
  <si>
    <t>D76</t>
  </si>
  <si>
    <t>Polyheed 955</t>
  </si>
  <si>
    <t>EC9</t>
  </si>
  <si>
    <t xml:space="preserve">Acelerante - Meyco sax 160 </t>
  </si>
  <si>
    <t>F74</t>
  </si>
  <si>
    <t>GO1</t>
  </si>
  <si>
    <t>D77</t>
  </si>
  <si>
    <t>SX Krete N</t>
  </si>
  <si>
    <t>ED1</t>
  </si>
  <si>
    <t>Acronal</t>
  </si>
  <si>
    <t>F75</t>
  </si>
  <si>
    <t>Fibermesh150</t>
  </si>
  <si>
    <t>GO2</t>
  </si>
  <si>
    <t>D78</t>
  </si>
  <si>
    <t>SX Krete R</t>
  </si>
  <si>
    <t>ED2</t>
  </si>
  <si>
    <t>SX Cellular</t>
  </si>
  <si>
    <t>F76</t>
  </si>
  <si>
    <t>Fibermesh 650</t>
  </si>
  <si>
    <t>GO3</t>
  </si>
  <si>
    <t>D79</t>
  </si>
  <si>
    <t>Polyheed 843</t>
  </si>
  <si>
    <t>ED3</t>
  </si>
  <si>
    <t>Alcrete</t>
  </si>
  <si>
    <t>F77</t>
  </si>
  <si>
    <t>BEKAERT,65/35B,20KG</t>
  </si>
  <si>
    <t>GO4</t>
  </si>
  <si>
    <t>D80</t>
  </si>
  <si>
    <t>Polyheed 897</t>
  </si>
  <si>
    <t>ED4</t>
  </si>
  <si>
    <t>Sigunit L50 AFX</t>
  </si>
  <si>
    <t>F78</t>
  </si>
  <si>
    <t>Fibra AC 40 mm</t>
  </si>
  <si>
    <t>GO5</t>
  </si>
  <si>
    <t>D81</t>
  </si>
  <si>
    <t>Daratard 152</t>
  </si>
  <si>
    <t>ED5</t>
  </si>
  <si>
    <t>ISOFLOW 828</t>
  </si>
  <si>
    <t>F86</t>
  </si>
  <si>
    <t>FIBRA POLIPROPILENO COFISA, FMX-400 GRS-ARDA</t>
  </si>
  <si>
    <t>GP1</t>
  </si>
  <si>
    <t>D82</t>
  </si>
  <si>
    <t>WRDA 60</t>
  </si>
  <si>
    <t>ED6</t>
  </si>
  <si>
    <t>ISORETARD 200</t>
  </si>
  <si>
    <t>F92</t>
  </si>
  <si>
    <t>AJL WB-5369</t>
  </si>
  <si>
    <t>GP2</t>
  </si>
  <si>
    <t>D83</t>
  </si>
  <si>
    <t>Polyheed 7330</t>
  </si>
  <si>
    <t>ED7</t>
  </si>
  <si>
    <t>ISOSTAB 6003</t>
  </si>
  <si>
    <t>F93</t>
  </si>
  <si>
    <t>MasterLife IC 400</t>
  </si>
  <si>
    <t>GP3</t>
  </si>
  <si>
    <t>D84</t>
  </si>
  <si>
    <t>Plastiment G 935</t>
  </si>
  <si>
    <t>ED8</t>
  </si>
  <si>
    <t>Viscoflow 902</t>
  </si>
  <si>
    <t>F94</t>
  </si>
  <si>
    <t>Sika Fiber CHO 65-35 NB</t>
  </si>
  <si>
    <t>GP4</t>
  </si>
  <si>
    <t>D87</t>
  </si>
  <si>
    <t>Pozzolith 390</t>
  </si>
  <si>
    <t>ED9</t>
  </si>
  <si>
    <t>MORTARD-E</t>
  </si>
  <si>
    <t>F95</t>
  </si>
  <si>
    <t xml:space="preserve">Modificador Reologico y retenedor de humedad </t>
  </si>
  <si>
    <t>GP5</t>
  </si>
  <si>
    <t>D88</t>
  </si>
  <si>
    <t>Polyheed 984</t>
  </si>
  <si>
    <t>EDA</t>
  </si>
  <si>
    <t>Dynamon SR 2</t>
  </si>
  <si>
    <t>F96</t>
  </si>
  <si>
    <t>NOVOCON® CHE5535</t>
  </si>
  <si>
    <t>GR1</t>
  </si>
  <si>
    <t>D89</t>
  </si>
  <si>
    <t>Polyheed 985</t>
  </si>
  <si>
    <t>EDB</t>
  </si>
  <si>
    <t>SIKAMENT 90E</t>
  </si>
  <si>
    <t>F97</t>
  </si>
  <si>
    <t>Policemento la Fibra MF 19MM</t>
  </si>
  <si>
    <t>D90</t>
  </si>
  <si>
    <t>Polyheed 988</t>
  </si>
  <si>
    <t>EDC</t>
  </si>
  <si>
    <t>F98</t>
  </si>
  <si>
    <t>Dramix 3D 45/50 BL</t>
  </si>
  <si>
    <t>GR2</t>
  </si>
  <si>
    <t>D91</t>
  </si>
  <si>
    <t>MIRA</t>
  </si>
  <si>
    <t>EDD</t>
  </si>
  <si>
    <t>MX-R200</t>
  </si>
  <si>
    <t>F99</t>
  </si>
  <si>
    <t>Hidratium</t>
  </si>
  <si>
    <t>Diseño a evaluar en estado sss.</t>
  </si>
  <si>
    <t>Flexión</t>
  </si>
  <si>
    <t>D93</t>
  </si>
  <si>
    <t xml:space="preserve"> Plastiment N</t>
  </si>
  <si>
    <t>EDE</t>
  </si>
  <si>
    <t>ISORETARD 360</t>
  </si>
  <si>
    <t>FY1</t>
  </si>
  <si>
    <t>Fibra de Maquila</t>
  </si>
  <si>
    <t>Tipo de Resistencia</t>
  </si>
  <si>
    <t>Resumen</t>
  </si>
  <si>
    <t>Compresión</t>
  </si>
  <si>
    <t>D94</t>
  </si>
  <si>
    <t>Sikament 595F</t>
  </si>
  <si>
    <t>ISODENSE 250</t>
  </si>
  <si>
    <t>FA1</t>
  </si>
  <si>
    <t>FIBRA POLIPROPILENO</t>
  </si>
  <si>
    <t>T.M.A</t>
  </si>
  <si>
    <t>GR3</t>
  </si>
  <si>
    <t>D95</t>
  </si>
  <si>
    <t>Polyheed 989</t>
  </si>
  <si>
    <t>EDG</t>
  </si>
  <si>
    <t xml:space="preserve">MASTERSURE Z90 </t>
  </si>
  <si>
    <t>FA2</t>
  </si>
  <si>
    <t>Cemento:</t>
  </si>
  <si>
    <t>Kg</t>
  </si>
  <si>
    <t>D96</t>
  </si>
  <si>
    <t>MIRA 146</t>
  </si>
  <si>
    <t>EDH</t>
  </si>
  <si>
    <t>ISORETARD 250</t>
  </si>
  <si>
    <t>FA3</t>
  </si>
  <si>
    <t xml:space="preserve">Certificado del cemento con Análisis Químico-Físico </t>
  </si>
  <si>
    <t>GR4</t>
  </si>
  <si>
    <t>DY1</t>
  </si>
  <si>
    <t>EDI</t>
  </si>
  <si>
    <t>ISOFLOW 752</t>
  </si>
  <si>
    <t>FA4</t>
  </si>
  <si>
    <t>MACROFIBRA SINTÉTICA ESTRUCTURAL CRYSTAL44</t>
  </si>
  <si>
    <t xml:space="preserve"> Relación W/C Max. 0.55</t>
  </si>
  <si>
    <t>D97</t>
  </si>
  <si>
    <t>Plastiment 915</t>
  </si>
  <si>
    <t>EDJ</t>
  </si>
  <si>
    <t>ISOFLOW 792</t>
  </si>
  <si>
    <t>FA5</t>
  </si>
  <si>
    <t>EMSORB 2000</t>
  </si>
  <si>
    <t>GR5</t>
  </si>
  <si>
    <t>DA1</t>
  </si>
  <si>
    <t>CMX FLUID 121</t>
  </si>
  <si>
    <t>EDK</t>
  </si>
  <si>
    <t>ISOFOAM 520</t>
  </si>
  <si>
    <t>FA6</t>
  </si>
  <si>
    <t>FIBRAS CONCRE,BEKAERT,FIBRA,DRAMIX 4D,65</t>
  </si>
  <si>
    <t>GT1</t>
  </si>
  <si>
    <t>DA2</t>
  </si>
  <si>
    <t>CMX FLUID 153</t>
  </si>
  <si>
    <t>EDL</t>
  </si>
  <si>
    <t>VITAX A28</t>
  </si>
  <si>
    <t>FA7</t>
  </si>
  <si>
    <t>MasterFiber MAC100</t>
  </si>
  <si>
    <t>GT2</t>
  </si>
  <si>
    <t>DA3</t>
  </si>
  <si>
    <t>ISOFLUID 156</t>
  </si>
  <si>
    <t>EDM</t>
  </si>
  <si>
    <t>ISOXEL 565</t>
  </si>
  <si>
    <t>FA8</t>
  </si>
  <si>
    <t xml:space="preserve">Fibra Macro Sintética de nueva generación </t>
  </si>
  <si>
    <t>Lts.</t>
  </si>
  <si>
    <t xml:space="preserve">Contenido de mortero. 50-52 % </t>
  </si>
  <si>
    <t>GT3</t>
  </si>
  <si>
    <t>DA4</t>
  </si>
  <si>
    <t>ISOFLOW 571</t>
  </si>
  <si>
    <t>EDN</t>
  </si>
  <si>
    <t>ISOFLOW 881</t>
  </si>
  <si>
    <t>FA9</t>
  </si>
  <si>
    <t>FIBRA MESH 20</t>
  </si>
  <si>
    <t>Consumo de cemeto</t>
  </si>
  <si>
    <t>GT4</t>
  </si>
  <si>
    <t>DA5</t>
  </si>
  <si>
    <t>Plastiment 700</t>
  </si>
  <si>
    <t>EDO</t>
  </si>
  <si>
    <t>ISOFLOW 871</t>
  </si>
  <si>
    <t>FB1</t>
  </si>
  <si>
    <t xml:space="preserve"> Fiber Force 48 PP</t>
  </si>
  <si>
    <t>Consumo de Agua</t>
  </si>
  <si>
    <t>GT5</t>
  </si>
  <si>
    <t>DA6</t>
  </si>
  <si>
    <t>Plastiment 600</t>
  </si>
  <si>
    <t>EDP</t>
  </si>
  <si>
    <t>ISOFLOW 861</t>
  </si>
  <si>
    <t>GV1</t>
  </si>
  <si>
    <t>DA7</t>
  </si>
  <si>
    <t>Sikament 445</t>
  </si>
  <si>
    <t>EDQ</t>
  </si>
  <si>
    <t>ISOFLOW 851</t>
  </si>
  <si>
    <t>GV2</t>
  </si>
  <si>
    <t>DA8</t>
  </si>
  <si>
    <t>ISOFLUID 157</t>
  </si>
  <si>
    <t>EDR</t>
  </si>
  <si>
    <t>ISOFLOWX  A88</t>
  </si>
  <si>
    <t>Temperatura del concreto:</t>
  </si>
  <si>
    <t>GV3</t>
  </si>
  <si>
    <t>DA9</t>
  </si>
  <si>
    <t>ISOFLUID 158</t>
  </si>
  <si>
    <t>EDS</t>
  </si>
  <si>
    <t>ISOFLOWX  A87</t>
  </si>
  <si>
    <t>Existe estudio de barras de contracción</t>
  </si>
  <si>
    <t>GV4</t>
  </si>
  <si>
    <t>DAA</t>
  </si>
  <si>
    <t>Dynamon SR5/P</t>
  </si>
  <si>
    <t>EDT</t>
  </si>
  <si>
    <t>ISOFLOWX  A86</t>
  </si>
  <si>
    <t>GV5</t>
  </si>
  <si>
    <t>DAB</t>
  </si>
  <si>
    <t>EDU</t>
  </si>
  <si>
    <t>ISOFLOWX  A85</t>
  </si>
  <si>
    <t>GW1</t>
  </si>
  <si>
    <t>DAC</t>
  </si>
  <si>
    <t>POLYHEED 927</t>
  </si>
  <si>
    <t>EDV</t>
  </si>
  <si>
    <t>ISORETARD 280</t>
  </si>
  <si>
    <t>GW2</t>
  </si>
  <si>
    <t>DAD</t>
  </si>
  <si>
    <t>POLYHEED 928</t>
  </si>
  <si>
    <t>EDW</t>
  </si>
  <si>
    <t>DARAPEL</t>
  </si>
  <si>
    <t>GW3</t>
  </si>
  <si>
    <t>DAE</t>
  </si>
  <si>
    <t>VISCOCRETE-30MX</t>
  </si>
  <si>
    <t>EDX</t>
  </si>
  <si>
    <t>Plastiment -BV</t>
  </si>
  <si>
    <t>Revenimiento:</t>
  </si>
  <si>
    <t>Temp. del concreto:</t>
  </si>
  <si>
    <t>Contenido  de aire:</t>
  </si>
  <si>
    <t>GW4</t>
  </si>
  <si>
    <t>DAF</t>
  </si>
  <si>
    <t>POLYHEED 995</t>
  </si>
  <si>
    <t>EDY</t>
  </si>
  <si>
    <t>ISOPERVIA</t>
  </si>
  <si>
    <t>Temp. ambiente:</t>
  </si>
  <si>
    <t>GW5</t>
  </si>
  <si>
    <t>DAG</t>
  </si>
  <si>
    <t>ISOFLUID 159</t>
  </si>
  <si>
    <t>EDZ</t>
  </si>
  <si>
    <t>ISORETARD 350</t>
  </si>
  <si>
    <t>GY1</t>
  </si>
  <si>
    <t>DAH</t>
  </si>
  <si>
    <t>MASTER POLYHEED 1021</t>
  </si>
  <si>
    <t>EE1</t>
  </si>
  <si>
    <t>Barracel</t>
  </si>
  <si>
    <t>GY2</t>
  </si>
  <si>
    <t>DAJ</t>
  </si>
  <si>
    <t>ISOFLUID 160</t>
  </si>
  <si>
    <t>EE2</t>
  </si>
  <si>
    <t xml:space="preserve">Darafill </t>
  </si>
  <si>
    <t>F. Inicial</t>
  </si>
  <si>
    <t>F. Final</t>
  </si>
  <si>
    <t>Diferencia</t>
  </si>
  <si>
    <t>GY3</t>
  </si>
  <si>
    <t>DAK</t>
  </si>
  <si>
    <t>ADVA 532</t>
  </si>
  <si>
    <t>GY4</t>
  </si>
  <si>
    <t>DAL</t>
  </si>
  <si>
    <t>ISOFLUID 170</t>
  </si>
  <si>
    <t>EE3</t>
  </si>
  <si>
    <t>Rheocell Rheofill</t>
  </si>
  <si>
    <t>DAM</t>
  </si>
  <si>
    <t>DYNAMON SR 100</t>
  </si>
  <si>
    <t>EE4</t>
  </si>
  <si>
    <t>SIKALightcrete</t>
  </si>
  <si>
    <t>GY5</t>
  </si>
  <si>
    <t>DAN</t>
  </si>
  <si>
    <t>POLYHEED 7325</t>
  </si>
  <si>
    <t>EE5</t>
  </si>
  <si>
    <t>Darex AE4</t>
  </si>
  <si>
    <t>DAO</t>
  </si>
  <si>
    <t>CMX FLUID 571</t>
  </si>
  <si>
    <t>EE6</t>
  </si>
  <si>
    <t>Rheocell 30</t>
  </si>
  <si>
    <t>GY6</t>
  </si>
  <si>
    <t>DAP</t>
  </si>
  <si>
    <t>ISOFLUID 166</t>
  </si>
  <si>
    <t>EE7</t>
  </si>
  <si>
    <t>DAQ</t>
  </si>
  <si>
    <t>ISOFLOW 7650</t>
  </si>
  <si>
    <t>EE8</t>
  </si>
  <si>
    <t>DAR</t>
  </si>
  <si>
    <t>ISOFLUID 168</t>
  </si>
  <si>
    <t>EE9</t>
  </si>
  <si>
    <t>DAS</t>
  </si>
  <si>
    <t>ISOFLUID 167 (PR/15-115-RA)</t>
  </si>
  <si>
    <t>EF1</t>
  </si>
  <si>
    <t>Pozzolith 122 HE</t>
  </si>
  <si>
    <t>DAT</t>
  </si>
  <si>
    <t>ISOFLEX 7220</t>
  </si>
  <si>
    <t>EF2</t>
  </si>
  <si>
    <t>Sikament HE-200</t>
  </si>
  <si>
    <t>DAU</t>
  </si>
  <si>
    <t>Isofluid 6112</t>
  </si>
  <si>
    <t>EF3</t>
  </si>
  <si>
    <t>Glenium 7156</t>
  </si>
  <si>
    <t>DAV</t>
  </si>
  <si>
    <t>Isofluid 6138</t>
  </si>
  <si>
    <t>EF4</t>
  </si>
  <si>
    <t>Viscocrete 562</t>
  </si>
  <si>
    <t>DAW</t>
  </si>
  <si>
    <t>Isofluid 1764</t>
  </si>
  <si>
    <t>EF5</t>
  </si>
  <si>
    <t>Sikaset NC</t>
  </si>
  <si>
    <t>DAY</t>
  </si>
  <si>
    <t>ISOFLUID 1551</t>
  </si>
  <si>
    <t>EF6</t>
  </si>
  <si>
    <t>PLASTOCRETE 161FL</t>
  </si>
  <si>
    <t>ISOFLUID 1626</t>
  </si>
  <si>
    <t>EF7</t>
  </si>
  <si>
    <t>Pozzolith 400N</t>
  </si>
  <si>
    <t>DAZ</t>
  </si>
  <si>
    <t>ISOFLUID 1634</t>
  </si>
  <si>
    <t>EF8</t>
  </si>
  <si>
    <t>ADVA Cast 175 CP</t>
  </si>
  <si>
    <t>DB1</t>
  </si>
  <si>
    <t xml:space="preserve">ISOFLUID 1787 </t>
  </si>
  <si>
    <t>EF9</t>
  </si>
  <si>
    <t>Viscocrete 762</t>
  </si>
  <si>
    <t>DB2</t>
  </si>
  <si>
    <t>ISOFLUID 1422</t>
  </si>
  <si>
    <t>EG1</t>
  </si>
  <si>
    <t>Cloruro de calcio</t>
  </si>
  <si>
    <t>DB3</t>
  </si>
  <si>
    <t>Isofuge 9350</t>
  </si>
  <si>
    <t>EG2</t>
  </si>
  <si>
    <t>Viscocrete-20 HE</t>
  </si>
  <si>
    <t>DB4</t>
  </si>
  <si>
    <t>ISOFLEX 7095</t>
  </si>
  <si>
    <t>EG3</t>
  </si>
  <si>
    <t>Sikament S Plus</t>
  </si>
  <si>
    <t>DB5</t>
  </si>
  <si>
    <t>ISOFLOW 7670</t>
  </si>
  <si>
    <t>EG4</t>
  </si>
  <si>
    <t>DB6</t>
  </si>
  <si>
    <t>ISOFUGE 9350 L</t>
  </si>
  <si>
    <t>EG5</t>
  </si>
  <si>
    <t>Sika-2</t>
  </si>
  <si>
    <t>DB7</t>
  </si>
  <si>
    <t>ISOFLEX 7105</t>
  </si>
  <si>
    <t>EG6</t>
  </si>
  <si>
    <t>MX-1000</t>
  </si>
  <si>
    <t>DB8</t>
  </si>
  <si>
    <t>ISOFLUID 1625</t>
  </si>
  <si>
    <t>EG7</t>
  </si>
  <si>
    <t>Daracem 100</t>
  </si>
  <si>
    <t>DB9</t>
  </si>
  <si>
    <t>FLUIDX M25</t>
  </si>
  <si>
    <t>EG8</t>
  </si>
  <si>
    <t>PS 1466</t>
  </si>
  <si>
    <t>DC1</t>
  </si>
  <si>
    <t>ISOFLOW 3740</t>
  </si>
  <si>
    <t>EG9</t>
  </si>
  <si>
    <t>Glenium 7500</t>
  </si>
  <si>
    <t>DY2</t>
  </si>
  <si>
    <t>ADITIVO MAQUILA</t>
  </si>
  <si>
    <t>EH1</t>
  </si>
  <si>
    <t>Elmax III</t>
  </si>
  <si>
    <t>DC2</t>
  </si>
  <si>
    <t xml:space="preserve">ISOFUGE 1100 </t>
  </si>
  <si>
    <t>EH3</t>
  </si>
  <si>
    <t>Sikanol-M</t>
  </si>
  <si>
    <t>EH4</t>
  </si>
  <si>
    <t>Sikatad-E</t>
  </si>
  <si>
    <t>EH5</t>
  </si>
  <si>
    <t>Recover</t>
  </si>
  <si>
    <t>EI6</t>
  </si>
  <si>
    <t>MB AE 90</t>
  </si>
  <si>
    <t>EI7</t>
  </si>
  <si>
    <t>AEA 92</t>
  </si>
  <si>
    <t>EI8</t>
  </si>
  <si>
    <t>ADI. INCLUSOR</t>
  </si>
  <si>
    <t>EJ1</t>
  </si>
  <si>
    <t>ISOXEL 425</t>
  </si>
  <si>
    <t>EJ2</t>
  </si>
  <si>
    <t>BASF Espumante</t>
  </si>
  <si>
    <t>EJ3</t>
  </si>
  <si>
    <t>MX-R100</t>
  </si>
  <si>
    <t>EJ4</t>
  </si>
  <si>
    <t>ISOFLOW 852</t>
  </si>
  <si>
    <t>EJ5</t>
  </si>
  <si>
    <t>ISOFLOW 891</t>
  </si>
  <si>
    <t>EJ6</t>
  </si>
  <si>
    <t>ISOFLUID 161</t>
  </si>
  <si>
    <t>EJ7</t>
  </si>
  <si>
    <t>VISCOFLOW 20</t>
  </si>
  <si>
    <t>EJ8</t>
  </si>
  <si>
    <t>VISCOCRETE 6</t>
  </si>
  <si>
    <t>EJ9</t>
  </si>
  <si>
    <t>ISOFLOW 882</t>
  </si>
  <si>
    <t>EJA</t>
  </si>
  <si>
    <t>VISCOSTAR 3K</t>
  </si>
  <si>
    <t>EJB</t>
  </si>
  <si>
    <t>ISOPLAST 2024</t>
  </si>
  <si>
    <t>EJC</t>
  </si>
  <si>
    <t>ISOFLEX 7210</t>
  </si>
  <si>
    <t>EJD</t>
  </si>
  <si>
    <t>ISOFLOW 7509</t>
  </si>
  <si>
    <t>EJE</t>
  </si>
  <si>
    <t>Sigunit PC</t>
  </si>
  <si>
    <t>EJF</t>
  </si>
  <si>
    <t>Idrocrete DM</t>
  </si>
  <si>
    <t>EK1</t>
  </si>
  <si>
    <t>Eucon SRA</t>
  </si>
  <si>
    <t>EK2</t>
  </si>
  <si>
    <t>Tetraguard AS20</t>
  </si>
  <si>
    <t>EK3</t>
  </si>
  <si>
    <t>Eclipse</t>
  </si>
  <si>
    <t>EL1</t>
  </si>
  <si>
    <t>Glenium 30-30</t>
  </si>
  <si>
    <t>EL2</t>
  </si>
  <si>
    <t>Viscocrete-5</t>
  </si>
  <si>
    <t>EL3</t>
  </si>
  <si>
    <t>Polyheed 1025</t>
  </si>
  <si>
    <t>EL4</t>
  </si>
  <si>
    <t>Glenium 3400NV</t>
  </si>
  <si>
    <t>EL5</t>
  </si>
  <si>
    <t>Viscocrete PC-2100D</t>
  </si>
  <si>
    <t>EL6</t>
  </si>
  <si>
    <t>Viscocrete PC-2500</t>
  </si>
  <si>
    <t>EL7</t>
  </si>
  <si>
    <t>Glenium 3020</t>
  </si>
  <si>
    <t>EL8</t>
  </si>
  <si>
    <t>Polyheed 7530</t>
  </si>
  <si>
    <t>EL9</t>
  </si>
  <si>
    <t>Sikament 765</t>
  </si>
  <si>
    <t>EM1</t>
  </si>
  <si>
    <t>Sikament 185</t>
  </si>
  <si>
    <t>EM2</t>
  </si>
  <si>
    <t>Plastol 6200EXT</t>
  </si>
  <si>
    <t>EM3</t>
  </si>
  <si>
    <t>Pozzutec 20+</t>
  </si>
  <si>
    <t>EM4</t>
  </si>
  <si>
    <t>Glenium 7771</t>
  </si>
  <si>
    <t>EM5</t>
  </si>
  <si>
    <t>Glenium 3401 MX</t>
  </si>
  <si>
    <t>EM6</t>
  </si>
  <si>
    <t>Protex 3SC</t>
  </si>
  <si>
    <t>EN1</t>
  </si>
  <si>
    <t>Rheomac UW-450</t>
  </si>
  <si>
    <t>EN2</t>
  </si>
  <si>
    <t>V-MAR 3</t>
  </si>
  <si>
    <t>EN3</t>
  </si>
  <si>
    <t>Rheomac VMA 358</t>
  </si>
  <si>
    <t>EN4</t>
  </si>
  <si>
    <t>Rheomac VMA 362</t>
  </si>
  <si>
    <t>EP1</t>
  </si>
  <si>
    <t>Barracel plus</t>
  </si>
  <si>
    <t>EP2</t>
  </si>
  <si>
    <t>Darapel</t>
  </si>
  <si>
    <t>EP3</t>
  </si>
  <si>
    <t>Rheomix 235</t>
  </si>
  <si>
    <t>EP4</t>
  </si>
  <si>
    <t>Plastocrete DM</t>
  </si>
  <si>
    <t>EP5</t>
  </si>
  <si>
    <t>SX-Pel</t>
  </si>
  <si>
    <t>ER1</t>
  </si>
  <si>
    <t>Delvo activador</t>
  </si>
  <si>
    <t>ER2</t>
  </si>
  <si>
    <t>Elmax I</t>
  </si>
  <si>
    <t>ER3</t>
  </si>
  <si>
    <t>Mortard E Drum</t>
  </si>
  <si>
    <t>ER4</t>
  </si>
  <si>
    <t>Delvo estabilizador</t>
  </si>
  <si>
    <t>ER5</t>
  </si>
  <si>
    <t>ER6</t>
  </si>
  <si>
    <t>Eucon Retarder 100</t>
  </si>
  <si>
    <t>ES1</t>
  </si>
  <si>
    <t xml:space="preserve">Rheobuild 2000B </t>
  </si>
  <si>
    <t>ES2</t>
  </si>
  <si>
    <t>Sikament 306</t>
  </si>
  <si>
    <t>ES3</t>
  </si>
  <si>
    <t>Sikament-300</t>
  </si>
  <si>
    <t>ES4</t>
  </si>
  <si>
    <t>Rheobuild 561</t>
  </si>
  <si>
    <t>ES5</t>
  </si>
  <si>
    <t>Rheobuild 716</t>
  </si>
  <si>
    <t>ES6</t>
  </si>
  <si>
    <t>Rheobuild 700</t>
  </si>
  <si>
    <t>ES7</t>
  </si>
  <si>
    <t>Rheobuild 3520</t>
  </si>
  <si>
    <t>ES8</t>
  </si>
  <si>
    <t>Rheobuild 1000</t>
  </si>
  <si>
    <t>ES9</t>
  </si>
  <si>
    <t>Glenium 27</t>
  </si>
  <si>
    <t>ET1</t>
  </si>
  <si>
    <t xml:space="preserve">Glenium 51 </t>
  </si>
  <si>
    <t>ET2</t>
  </si>
  <si>
    <t>Sikament-100</t>
  </si>
  <si>
    <t>ET3</t>
  </si>
  <si>
    <t>Sikament-320</t>
  </si>
  <si>
    <t>ET4</t>
  </si>
  <si>
    <t>Pozzolith LM-32</t>
  </si>
  <si>
    <t>ET5</t>
  </si>
  <si>
    <t>Glenium</t>
  </si>
  <si>
    <t>ET6</t>
  </si>
  <si>
    <t>Starvis</t>
  </si>
  <si>
    <t>ET7</t>
  </si>
  <si>
    <t>ET8</t>
  </si>
  <si>
    <t>Glenium 3200</t>
  </si>
  <si>
    <t>ET9</t>
  </si>
  <si>
    <t>EXP-109 A</t>
  </si>
  <si>
    <t>EV1</t>
  </si>
  <si>
    <t>AD.ESP CMX-EV-01 BASF ESTAB.VOLUM.</t>
  </si>
  <si>
    <t>EX1</t>
  </si>
  <si>
    <t>Daraccel</t>
  </si>
  <si>
    <t>EX2</t>
  </si>
  <si>
    <t>Daratard 17</t>
  </si>
  <si>
    <t>EX3</t>
  </si>
  <si>
    <t>Daracem 19</t>
  </si>
  <si>
    <t>EX4</t>
  </si>
  <si>
    <t>Interplast</t>
  </si>
  <si>
    <t>EX5</t>
  </si>
  <si>
    <t>Daracem 65</t>
  </si>
  <si>
    <t>EX6</t>
  </si>
  <si>
    <t>Daratard HC</t>
  </si>
  <si>
    <t>EX7</t>
  </si>
  <si>
    <t>Daracem 50</t>
  </si>
  <si>
    <t>EX8</t>
  </si>
  <si>
    <t>Friolplast PX</t>
  </si>
  <si>
    <t>EX9</t>
  </si>
  <si>
    <t>Separol</t>
  </si>
  <si>
    <t>EXA</t>
  </si>
  <si>
    <t>Tri-iso-Butyl Phosphate</t>
  </si>
  <si>
    <t>EXB</t>
  </si>
  <si>
    <t>Isodense4000</t>
  </si>
  <si>
    <t>EY3</t>
  </si>
  <si>
    <t>Maquila</t>
  </si>
  <si>
    <t>EY4</t>
  </si>
  <si>
    <t>EY5</t>
  </si>
  <si>
    <t>EY6</t>
  </si>
  <si>
    <t>EZ1</t>
  </si>
  <si>
    <t>Sikalatex-N</t>
  </si>
  <si>
    <t>EZ2</t>
  </si>
  <si>
    <t>Sika Pump</t>
  </si>
  <si>
    <t>EZ3</t>
  </si>
  <si>
    <t>Colloid RP 700</t>
  </si>
  <si>
    <t>EZ4</t>
  </si>
  <si>
    <t>Phantom</t>
  </si>
  <si>
    <t>EZ5</t>
  </si>
  <si>
    <t>Sikalatex-AD Concentrado</t>
  </si>
  <si>
    <t>EZ7</t>
  </si>
  <si>
    <t>Adva Cast 578</t>
  </si>
  <si>
    <t>EZ8</t>
  </si>
  <si>
    <t>Visco Flow 10</t>
  </si>
  <si>
    <t>EZ9</t>
  </si>
  <si>
    <t>Plastol Precast</t>
  </si>
  <si>
    <t>LQ1</t>
  </si>
  <si>
    <t>Impercem LQ1</t>
  </si>
  <si>
    <t>LQ3</t>
  </si>
  <si>
    <t>Impercem LQ3</t>
  </si>
  <si>
    <t>P37</t>
  </si>
  <si>
    <t>Tegosivin HE 328</t>
  </si>
  <si>
    <t>ECA</t>
  </si>
  <si>
    <t>Isoxel 9400</t>
  </si>
  <si>
    <t>ECB</t>
  </si>
  <si>
    <t>SIKAPORO PLUS  101173</t>
  </si>
  <si>
    <t>ECC</t>
  </si>
  <si>
    <t>ViscoFlow 8300</t>
  </si>
  <si>
    <t>ECD</t>
  </si>
  <si>
    <t>AQUADRY</t>
  </si>
  <si>
    <t>ECE</t>
  </si>
  <si>
    <t>MasterAir VR-10</t>
  </si>
  <si>
    <t>ECF</t>
  </si>
  <si>
    <t>MasterRheobuild 1501</t>
  </si>
  <si>
    <t>ECG</t>
  </si>
  <si>
    <t>ISOFLOW 9269</t>
  </si>
  <si>
    <t>ECH</t>
  </si>
  <si>
    <t>MapeAir AE1</t>
  </si>
  <si>
    <t>ECI</t>
  </si>
  <si>
    <t>Dynamon SP 47/AC</t>
  </si>
  <si>
    <t>ECJ</t>
  </si>
  <si>
    <t>Isoflow 755</t>
  </si>
  <si>
    <t>ECK</t>
  </si>
  <si>
    <t>Isofoam 6000</t>
  </si>
  <si>
    <t>ECL</t>
  </si>
  <si>
    <t>Isofoam 5198</t>
  </si>
  <si>
    <t>ECM</t>
  </si>
  <si>
    <t>ISOSTAB 5000</t>
  </si>
  <si>
    <t>ECN</t>
  </si>
  <si>
    <t>DYNAMON SR482</t>
  </si>
  <si>
    <t>ECO</t>
  </si>
  <si>
    <t xml:space="preserve">Sika ViscoFlow 8500 </t>
  </si>
  <si>
    <t>ECP</t>
  </si>
  <si>
    <t>SikaRapid C-100</t>
  </si>
  <si>
    <t>ECQ</t>
  </si>
  <si>
    <t>SIKAPLAST-550</t>
  </si>
  <si>
    <t>ECR</t>
  </si>
  <si>
    <t>ISOFLOW 8703</t>
  </si>
  <si>
    <t>ECS</t>
  </si>
  <si>
    <t>Dynamon easy 90,  2180701</t>
  </si>
  <si>
    <t>ECT</t>
  </si>
  <si>
    <t>MasterGlenium 3652</t>
  </si>
  <si>
    <t>ECU</t>
  </si>
  <si>
    <t>Sika CNI MX</t>
  </si>
  <si>
    <t>ECV</t>
  </si>
  <si>
    <t>IMIX RB9 1 0</t>
  </si>
  <si>
    <t>F.G. (Shilstone) 65 +- 5</t>
  </si>
  <si>
    <t>F.T.  35 +- 2</t>
  </si>
  <si>
    <t>Contracción Estimada</t>
  </si>
  <si>
    <t>han producido resultados notables cuando el Factor de Grosura es de aproximadamente 65</t>
  </si>
  <si>
    <t>Relación Grava Arena</t>
  </si>
  <si>
    <t>Resistencia mínimo 25 mpa o MR 38 mínimo</t>
  </si>
  <si>
    <t>OTRO</t>
  </si>
  <si>
    <t>OTRA</t>
  </si>
  <si>
    <t>POR CLIENTE</t>
  </si>
  <si>
    <t>Humedad:</t>
  </si>
  <si>
    <t>Perdida por lavado:</t>
  </si>
  <si>
    <t>Revenimiento nominal</t>
  </si>
  <si>
    <t xml:space="preserve">Contracción última estimada </t>
  </si>
  <si>
    <t>Código Largo:</t>
  </si>
  <si>
    <t>Masa Unitaria:</t>
  </si>
  <si>
    <t>M.U.T.</t>
  </si>
  <si>
    <t>recomendada 40mm=</t>
  </si>
  <si>
    <t>recomendada 20mm=</t>
  </si>
  <si>
    <r>
      <t>gr/cm</t>
    </r>
    <r>
      <rPr>
        <vertAlign val="superscript"/>
        <sz val="10"/>
        <rFont val="Arial"/>
        <family val="2"/>
      </rPr>
      <t>3</t>
    </r>
  </si>
  <si>
    <t>10 Andesita 10 mm (3/8")</t>
  </si>
  <si>
    <t>20 Andesita 20 mm (3/4")</t>
  </si>
  <si>
    <t>13 Andesita 13 mm (1/2")</t>
  </si>
  <si>
    <t>40 Andesita 40 mm (1 1/2")</t>
  </si>
  <si>
    <t>25 Andesita 25 mm (1")</t>
  </si>
  <si>
    <t>50 Andesita 50 mm (2")</t>
  </si>
  <si>
    <t>10 Basalto 10 mm (3/8")</t>
  </si>
  <si>
    <t>20 Basalto 20 mm (3/4")</t>
  </si>
  <si>
    <t>13 Basalto 13 mm (1/2")</t>
  </si>
  <si>
    <t>40 Basalto 40 mm (1 1/2")</t>
  </si>
  <si>
    <t>25 Basalto 25 mm (1")</t>
  </si>
  <si>
    <t>52 Basalto 52 mm (2")</t>
  </si>
  <si>
    <t>10 Caliza 10 mm (3/8")</t>
  </si>
  <si>
    <t xml:space="preserve">20 Caliza 20 mm (3/4") </t>
  </si>
  <si>
    <t xml:space="preserve">13 Caliza 20 mm (3/4") </t>
  </si>
  <si>
    <t>13 Caliza 13 mm (1/2")</t>
  </si>
  <si>
    <t>40 Caliza 40 mm (1 1/2")</t>
  </si>
  <si>
    <t>25 Caliza 25 mm (1")</t>
  </si>
  <si>
    <t>21 Caliza 21 mm (3/8")</t>
  </si>
  <si>
    <t>10 Dacita 10 mm (3/8")</t>
  </si>
  <si>
    <t>10 Dacita 20 mm (3/4")</t>
  </si>
  <si>
    <t>13 Dacita 13 mm (1/2")</t>
  </si>
  <si>
    <t>40 Dacita 40 mm (1 1/2")</t>
  </si>
  <si>
    <t>10 Gabro 10 mm (3/8")</t>
  </si>
  <si>
    <t>20 Gabro 20 mm (3/4")</t>
  </si>
  <si>
    <t>13 Gabro 13 mm (1/2")</t>
  </si>
  <si>
    <t>40 Gabro 40 mm (1 1/2")</t>
  </si>
  <si>
    <t>25 Gabro 25 mm (1")</t>
  </si>
  <si>
    <t>10 Brecha 10 mm (3/8")</t>
  </si>
  <si>
    <t>20 Brecha 20 mm (3/4")</t>
  </si>
  <si>
    <t>13 Brecha 13 mm (1/2")</t>
  </si>
  <si>
    <t>40 Brecha 40 mm (1 1/2")</t>
  </si>
  <si>
    <t>25 Brecha 25 mm (1")</t>
  </si>
  <si>
    <t>10  Jal 10 mm (3/8")</t>
  </si>
  <si>
    <t>20 Jal 20 mm (3/4")</t>
  </si>
  <si>
    <t>13  Jal 13 mm (1/2")</t>
  </si>
  <si>
    <t>40 Jal 40 mm (1 1/2")</t>
  </si>
  <si>
    <t>25 Jal 25 mm (1")</t>
  </si>
  <si>
    <t>10 Barita 10 mm (3/8")</t>
  </si>
  <si>
    <t>20 Barita 20 mm (3/4")</t>
  </si>
  <si>
    <t>13 Barita 13 mm (1/2")</t>
  </si>
  <si>
    <t>40 Barita 40 mm (1 1/2")</t>
  </si>
  <si>
    <t>25 Barita 25 mm (1")</t>
  </si>
  <si>
    <t>10 Riolita 10 mm (3/8")</t>
  </si>
  <si>
    <t>20 Riolita 20 mm (3/4")</t>
  </si>
  <si>
    <t>13 Riolita 13 mm (1/2")</t>
  </si>
  <si>
    <t>40 Riolita 40 mm (1 1/2")</t>
  </si>
  <si>
    <t>25 Riolita 25 mm (1")</t>
  </si>
  <si>
    <t>08 GRAVA MARMOL BLANCO 8 MM</t>
  </si>
  <si>
    <t>08 GRAVA MARMOL NEGRO 8 MM</t>
  </si>
  <si>
    <t>10  Granito 10 mm (3/8")</t>
  </si>
  <si>
    <t xml:space="preserve">20 Granito 20 mm (3/4") </t>
  </si>
  <si>
    <t>13 Granito 13 mm (1/2")</t>
  </si>
  <si>
    <t>40 Granito 40 mm (1 1/2")</t>
  </si>
  <si>
    <t>25 Granito 25 mm (1")</t>
  </si>
  <si>
    <t>10 Tepojal 10 mm (3/8")</t>
  </si>
  <si>
    <t>20 Tepojal 20 mm (3/4")</t>
  </si>
  <si>
    <t>13 Tepojal 13 mm (1/2")</t>
  </si>
  <si>
    <t>40 Tepojal 40 mm (1 1/2")</t>
  </si>
  <si>
    <t>25 Tepojal 25 mm (1")</t>
  </si>
  <si>
    <t>10 Pómez 10 mm (3/8")</t>
  </si>
  <si>
    <t>20 Pómez 20 mm (3/4")</t>
  </si>
  <si>
    <t>13 Pómez 13 mm (1/2")</t>
  </si>
  <si>
    <t>40 Pómez 40 mm (1 1/2")</t>
  </si>
  <si>
    <t>25 Pómez 25 mm (1")</t>
  </si>
  <si>
    <t>10 Rio 10 mm (3/8")</t>
  </si>
  <si>
    <t xml:space="preserve">20 Río 20 mm (3/4") </t>
  </si>
  <si>
    <t>13  Rio 13 mm (1/2")</t>
  </si>
  <si>
    <t>40 Rio 40 mm (1 1/2")</t>
  </si>
  <si>
    <t>25  Rio 25 mm (1")</t>
  </si>
  <si>
    <t>10 Tezontle 10 mm (3/8")</t>
  </si>
  <si>
    <t>20 Tezontle 20 mm (3/4")</t>
  </si>
  <si>
    <t>13 Tezontle 13 mm (1/2")</t>
  </si>
  <si>
    <t>40 Tezontle 40 mm (1 1/2")</t>
  </si>
  <si>
    <t xml:space="preserve"> 25 Tezontle 25 mm (1")</t>
  </si>
  <si>
    <t>10 Tova 10 mm (3/8")</t>
  </si>
  <si>
    <t>20 Tova 20 mm (3/4")</t>
  </si>
  <si>
    <t>13 Tova 13 mm (1/2")</t>
  </si>
  <si>
    <t>40 Tova 40 mm (1 1/2")</t>
  </si>
  <si>
    <t>25 Tova 25 mm (1")</t>
  </si>
  <si>
    <t>10 Volcánica 10 mm (3/8")</t>
  </si>
  <si>
    <t>20 Volcanica 20 mm (3/4")</t>
  </si>
  <si>
    <t>13 Volcánica 13 mm (1/2")</t>
  </si>
  <si>
    <t>40 Volcanica 40 mm (1 1/2")</t>
  </si>
  <si>
    <t>25 Volcanica 25 mm (1")</t>
  </si>
  <si>
    <t>10 Maquila 10 mm (3/8")</t>
  </si>
  <si>
    <t>20 Maquila 20 mm (1")</t>
  </si>
  <si>
    <t>13 Maquila 13 mm (1/2")</t>
  </si>
  <si>
    <t>40 Maquila 40 mm (1 1/2")</t>
  </si>
  <si>
    <t>40 Maquila 40mm (1 1/2")</t>
  </si>
  <si>
    <t>25 Maquila 25 mm (1")</t>
  </si>
  <si>
    <t>65 Maquila 65 MM (2 1/2")</t>
  </si>
  <si>
    <t>20 GRAVA BASALTO 20 MM (3/4") GLOBAL</t>
  </si>
  <si>
    <t>lts</t>
  </si>
  <si>
    <t>Oferta de Contracción, (&lt;= 600 millonésimas)</t>
  </si>
  <si>
    <t>Variante</t>
  </si>
  <si>
    <t>Código GINCO</t>
  </si>
  <si>
    <t>V100 ACELERADO</t>
  </si>
  <si>
    <t>100</t>
  </si>
  <si>
    <t>V103 DURAMAX 4257BFO</t>
  </si>
  <si>
    <t>103</t>
  </si>
  <si>
    <t>V104 APARENTE</t>
  </si>
  <si>
    <t>104</t>
  </si>
  <si>
    <t>V107 APARENTE C/FIBRA</t>
  </si>
  <si>
    <t>107</t>
  </si>
  <si>
    <t>V108 APARENTE C/IMPER</t>
  </si>
  <si>
    <t>108</t>
  </si>
  <si>
    <t>V109 APARENTE C/IMP, INH CORR Y FIB POLI</t>
  </si>
  <si>
    <t>109</t>
  </si>
  <si>
    <t>V10A APARENTE C/SUPERPLAS</t>
  </si>
  <si>
    <t>10A</t>
  </si>
  <si>
    <t>V10C APARENTE RELACION A/C .45</t>
  </si>
  <si>
    <t>10C</t>
  </si>
  <si>
    <t>V10F  ANTIDERRAPANTE C/FIBRA</t>
  </si>
  <si>
    <t>10F</t>
  </si>
  <si>
    <t>V10H APARENTE C/HIDRATIUM</t>
  </si>
  <si>
    <t>10H</t>
  </si>
  <si>
    <t>V10K INH CORR C/IMPER E HID</t>
  </si>
  <si>
    <t>10K</t>
  </si>
  <si>
    <t>V10L 600 MILLONESIMAS C/FIBRA PROP CLIENTE Y COLOR</t>
  </si>
  <si>
    <t>10L</t>
  </si>
  <si>
    <t>V10M C/AGREG Y AGUA PROP CLIENTE</t>
  </si>
  <si>
    <t>10M</t>
  </si>
  <si>
    <t>V10N C/AGREGADOS PROP CLIENTE</t>
  </si>
  <si>
    <t>10N</t>
  </si>
  <si>
    <t>V10P DURAMAX 7507C2</t>
  </si>
  <si>
    <t>10P</t>
  </si>
  <si>
    <t>V10Q C/AIRE INCLUIDO</t>
  </si>
  <si>
    <t>10Q</t>
  </si>
  <si>
    <t>V10R C/INCLUSOR DE AIRE Y FIBRA</t>
  </si>
  <si>
    <t>10R</t>
  </si>
  <si>
    <t>V10S C/CEMENTO PROP CLIENTE</t>
  </si>
  <si>
    <t>10S</t>
  </si>
  <si>
    <t>V10T DURAMAX 6307O</t>
  </si>
  <si>
    <t>10T</t>
  </si>
  <si>
    <t>V10U C/CEMENTO PUZOLANICO</t>
  </si>
  <si>
    <t>10U</t>
  </si>
  <si>
    <t>V10V C/DOSIF Y ADICION PROP CLIENTE</t>
  </si>
  <si>
    <t>10V</t>
  </si>
  <si>
    <t>V10W C/DOSIF Y AGREGADO PROP CLIENTE</t>
  </si>
  <si>
    <t>10W</t>
  </si>
  <si>
    <t>V10Y C/FIBRA</t>
  </si>
  <si>
    <t>10Y</t>
  </si>
  <si>
    <t>V110 C/FIBRA METALICA</t>
  </si>
  <si>
    <t>110</t>
  </si>
  <si>
    <t>V112 C/FIBRA PROP CLIENTE</t>
  </si>
  <si>
    <t>112</t>
  </si>
  <si>
    <t>V114 DURAMAX 7427OS</t>
  </si>
  <si>
    <t>114</t>
  </si>
  <si>
    <t>V115 DURAMAX 7227C2F</t>
  </si>
  <si>
    <t>115</t>
  </si>
  <si>
    <t>V116 C/30KG DE FIBRA METALIC C/COLOR</t>
  </si>
  <si>
    <t>116</t>
  </si>
  <si>
    <t>V119 C/HUMO SILICE</t>
  </si>
  <si>
    <t>119</t>
  </si>
  <si>
    <t>V11B C/IMPER 2%</t>
  </si>
  <si>
    <t>11B</t>
  </si>
  <si>
    <t>V11C C/IMPER 3%</t>
  </si>
  <si>
    <t>11C</t>
  </si>
  <si>
    <t>V11D C/IMPER 4%</t>
  </si>
  <si>
    <t>11D</t>
  </si>
  <si>
    <t>V11E C/IMPER Y FIBRA</t>
  </si>
  <si>
    <t>11E</t>
  </si>
  <si>
    <t>V11F C/INHIBIDOR DE CORROSION</t>
  </si>
  <si>
    <t>11F</t>
  </si>
  <si>
    <t>V11G C/INHIBIDOR DE CORROSION E IMPER</t>
  </si>
  <si>
    <t>11G</t>
  </si>
  <si>
    <t>V11H C/MICROSILICA</t>
  </si>
  <si>
    <t>11H</t>
  </si>
  <si>
    <t>V11J C/SUPERFLUIDIFICANTE</t>
  </si>
  <si>
    <t>11J</t>
  </si>
  <si>
    <t>V11K C/SUPERPLAS, INH CORR Y HUMO SILICE</t>
  </si>
  <si>
    <t>11K</t>
  </si>
  <si>
    <t>V11L C/TEMPERATURA CONTROLADA</t>
  </si>
  <si>
    <t>11L</t>
  </si>
  <si>
    <t>V11M C/TEMP CTRL E IMPERMEABILIZANTE</t>
  </si>
  <si>
    <t>11M</t>
  </si>
  <si>
    <t>V11O CONCRETO PROFESIONAL</t>
  </si>
  <si>
    <t>11O</t>
  </si>
  <si>
    <t>V11S DISTANCIA EXTRAORDINARIA</t>
  </si>
  <si>
    <t>11S</t>
  </si>
  <si>
    <t>V11T DISTANCIA EXTRAORDINARIA 2HR</t>
  </si>
  <si>
    <t>11T</t>
  </si>
  <si>
    <t>V11U DOSIFICACION CLIENTE</t>
  </si>
  <si>
    <t>11U</t>
  </si>
  <si>
    <t>V11V ESTABILIZADO</t>
  </si>
  <si>
    <t>11V</t>
  </si>
  <si>
    <t>V11W ESTAMPADO</t>
  </si>
  <si>
    <t>11W</t>
  </si>
  <si>
    <t>V11X ESTRUCTURAL</t>
  </si>
  <si>
    <t>11X</t>
  </si>
  <si>
    <t>V11Z FRAGUADO RAPIDO</t>
  </si>
  <si>
    <t>11Z</t>
  </si>
  <si>
    <t>V120 HOMOCRETO</t>
  </si>
  <si>
    <t>120</t>
  </si>
  <si>
    <t>V121 LIBRE DE CLORUROS</t>
  </si>
  <si>
    <t>121</t>
  </si>
  <si>
    <t>V12C P/PRUEBAS</t>
  </si>
  <si>
    <t>12C</t>
  </si>
  <si>
    <t>V12H PUZOLANICO AL 25%</t>
  </si>
  <si>
    <t>12H</t>
  </si>
  <si>
    <t>V12I PUZOLANICO C/FIBRA</t>
  </si>
  <si>
    <t>12I</t>
  </si>
  <si>
    <t>V12J PUZOLANICO C/IMPER</t>
  </si>
  <si>
    <t>12J</t>
  </si>
  <si>
    <t>V12K DURAMAX 5207C2S</t>
  </si>
  <si>
    <t>12K</t>
  </si>
  <si>
    <t>V12L PUZOLANICO C/IMPER Y TEMP CTRL</t>
  </si>
  <si>
    <t>12L</t>
  </si>
  <si>
    <t>V12M PUZOLANICO C/TEMP CTRL</t>
  </si>
  <si>
    <t>12M</t>
  </si>
  <si>
    <t>V12Q RELACION A/C 0.40</t>
  </si>
  <si>
    <t>12Q</t>
  </si>
  <si>
    <t>V12R RELACION A/C 0.45 C/TEMP CTRL</t>
  </si>
  <si>
    <t>12R</t>
  </si>
  <si>
    <t>V12S RELACION A/C 0.50 C/IMPER</t>
  </si>
  <si>
    <t>12S</t>
  </si>
  <si>
    <t>V12T RELACION A/C 0.55</t>
  </si>
  <si>
    <t>12T</t>
  </si>
  <si>
    <t>V12U RELACION A/C ESPECIAL</t>
  </si>
  <si>
    <t>12U</t>
  </si>
  <si>
    <t>V12V RELACION G/A ESPECIAL</t>
  </si>
  <si>
    <t>12V</t>
  </si>
  <si>
    <t>V12W RESISTENTE A SULFATOS</t>
  </si>
  <si>
    <t>12W</t>
  </si>
  <si>
    <t>V12X RESISTENTE A SULFATOS C/IMPER</t>
  </si>
  <si>
    <t>12X</t>
  </si>
  <si>
    <t>V12Y RESISTENTE A SULFATOS C/SUPERFLUI</t>
  </si>
  <si>
    <t>12Y</t>
  </si>
  <si>
    <t>V12Z S/ADITIVO DE LINEA</t>
  </si>
  <si>
    <t>12Z</t>
  </si>
  <si>
    <t>V130 SECO</t>
  </si>
  <si>
    <t>130</t>
  </si>
  <si>
    <t>V131 LECHADA DOSIFICACION CLIENTE</t>
  </si>
  <si>
    <t>131</t>
  </si>
  <si>
    <t>V132 ESPECIFICACION DEL CLIENTE</t>
  </si>
  <si>
    <t>132</t>
  </si>
  <si>
    <t>V138 C/FIBRA METALICA-POLIP</t>
  </si>
  <si>
    <t>138</t>
  </si>
  <si>
    <t>V139 REL A/C 0.4 C/IMPER</t>
  </si>
  <si>
    <t>139</t>
  </si>
  <si>
    <t>V13A RELACION A/C 0.50</t>
  </si>
  <si>
    <t>13A</t>
  </si>
  <si>
    <t>V13B PESO VOLUMETRICO 1400 KG/M3 C/IMPER</t>
  </si>
  <si>
    <t>13B</t>
  </si>
  <si>
    <t>V13F PESO VOLUMETRICO 2700 kg/M3</t>
  </si>
  <si>
    <t>13F</t>
  </si>
  <si>
    <t>V13G HIDRATIUM C/TEMP CTRL Y RES A SULFATOS</t>
  </si>
  <si>
    <t>13G</t>
  </si>
  <si>
    <t>V13H C/20KG DE FIBRA METALIC C/COLOR</t>
  </si>
  <si>
    <t>13H</t>
  </si>
  <si>
    <t>V13I ESTAMPADO C/RETARDANTE</t>
  </si>
  <si>
    <t>13I</t>
  </si>
  <si>
    <t>V13J FRAGUADO RAPIDO C/HIDRATIUM</t>
  </si>
  <si>
    <t>13J</t>
  </si>
  <si>
    <t>V13K 400 MILL C/FIBRA</t>
  </si>
  <si>
    <t>13K</t>
  </si>
  <si>
    <t>V13L DURAMAX 5221ST</t>
  </si>
  <si>
    <t>13L</t>
  </si>
  <si>
    <t>V13M DURAMAX 5321ST</t>
  </si>
  <si>
    <t>13M</t>
  </si>
  <si>
    <t>V13O LANZADO VIA HUMEDA C/HID</t>
  </si>
  <si>
    <t>13O</t>
  </si>
  <si>
    <t>V13P C/AIRE INCLUIDO E IMPER</t>
  </si>
  <si>
    <t>13P</t>
  </si>
  <si>
    <t>V13Q DURAMAX 4201D5</t>
  </si>
  <si>
    <t>13Q</t>
  </si>
  <si>
    <t>V13S DURAMAX  5227T</t>
  </si>
  <si>
    <t>13S</t>
  </si>
  <si>
    <t>V13T C/AIRE AL 5%</t>
  </si>
  <si>
    <t>13T</t>
  </si>
  <si>
    <t>V13U RELACION A/C 0.40 C/FIBRA E IMPER</t>
  </si>
  <si>
    <t>13U</t>
  </si>
  <si>
    <t>V13W DURAMAX 6257O</t>
  </si>
  <si>
    <t>13W</t>
  </si>
  <si>
    <t>V13Y DURAMAX 8437BT</t>
  </si>
  <si>
    <t>13Y</t>
  </si>
  <si>
    <t>V13Z REDUCRAK C/IMPER</t>
  </si>
  <si>
    <t>13Z</t>
  </si>
  <si>
    <t>V140 DURAMAX 6357AC1</t>
  </si>
  <si>
    <t>140</t>
  </si>
  <si>
    <t>V141 DURAMAX 6407EI</t>
  </si>
  <si>
    <t>141</t>
  </si>
  <si>
    <t>V142 CONCRETO REL A/C 0.48</t>
  </si>
  <si>
    <t>142</t>
  </si>
  <si>
    <t>V143 PUZOLANICO AL 25% TEM CTRL 32 C</t>
  </si>
  <si>
    <t>143</t>
  </si>
  <si>
    <t>V144 C/CEMENTO PUZOLANICO E IMPER</t>
  </si>
  <si>
    <t>144</t>
  </si>
  <si>
    <t>V148 APARENTE C/IMPER Y FIBRA</t>
  </si>
  <si>
    <t>148</t>
  </si>
  <si>
    <t>V149 DURAMAX 7427C2N</t>
  </si>
  <si>
    <t>149</t>
  </si>
  <si>
    <t>V14A DURAMAX 6427C2N</t>
  </si>
  <si>
    <t>14A</t>
  </si>
  <si>
    <t>V14B DURAMAX 5227T</t>
  </si>
  <si>
    <t>14B</t>
  </si>
  <si>
    <t>V14C DURAMAX 5427T</t>
  </si>
  <si>
    <t>14C</t>
  </si>
  <si>
    <t>V14D ESTRUCTURAL C/IMPER</t>
  </si>
  <si>
    <t>14D</t>
  </si>
  <si>
    <t>V14E C/AIRE AL 6%</t>
  </si>
  <si>
    <t>14E</t>
  </si>
  <si>
    <t>V14F DURAMAX 8427ABGOT</t>
  </si>
  <si>
    <t>14F</t>
  </si>
  <si>
    <t>V14G RESISTENTE A SULFATOS A/C 0.45</t>
  </si>
  <si>
    <t>14G</t>
  </si>
  <si>
    <t>V14H DURAMAX 6207S</t>
  </si>
  <si>
    <t>14H</t>
  </si>
  <si>
    <t>V14I C/IMPER Y TEMP CTRL 32 C</t>
  </si>
  <si>
    <t>14I</t>
  </si>
  <si>
    <t>V14J C/IMPER 1%</t>
  </si>
  <si>
    <t>14J</t>
  </si>
  <si>
    <t>V14K FRAGUADO ACELERADO C/IMPER</t>
  </si>
  <si>
    <t>14K</t>
  </si>
  <si>
    <t>V14M RELACION A/C 0.50 C/TEMP CTRL</t>
  </si>
  <si>
    <t>14M</t>
  </si>
  <si>
    <t>V14N HIDRATIUM C/TEMP CTRL 27°</t>
  </si>
  <si>
    <t>14N</t>
  </si>
  <si>
    <t>V14O C/COLOR, HIDRATIUM Y TEMP CTRL 27°</t>
  </si>
  <si>
    <t>14O</t>
  </si>
  <si>
    <t>V14P C/COLOR Y TEMP CTRL 27°</t>
  </si>
  <si>
    <t>14P</t>
  </si>
  <si>
    <t>V14Q DURAMAX 5257C2O</t>
  </si>
  <si>
    <t>14Q</t>
  </si>
  <si>
    <t>V14R DISTANCIA EXTRAORDINARIA C/IMPER</t>
  </si>
  <si>
    <t>14R</t>
  </si>
  <si>
    <t>V14S C/MICROSILICA Y TEMP CTRL</t>
  </si>
  <si>
    <t>14S</t>
  </si>
  <si>
    <t>V14T DURAMAX 7227AJ1</t>
  </si>
  <si>
    <t>14T</t>
  </si>
  <si>
    <t>V14V DURAMAX 6307A</t>
  </si>
  <si>
    <t>14V</t>
  </si>
  <si>
    <t>V14W 450 MILL C/FIBRA PROP CLIENTE</t>
  </si>
  <si>
    <t>14W</t>
  </si>
  <si>
    <t>V14X DURAMAX 6327EF</t>
  </si>
  <si>
    <t>14X</t>
  </si>
  <si>
    <t>V14Y DURAMAX 6427EF</t>
  </si>
  <si>
    <t>14Y</t>
  </si>
  <si>
    <t>V14Z DURAMAX 5307GT</t>
  </si>
  <si>
    <t>14Z</t>
  </si>
  <si>
    <t>V150 DURAMAX 5307GST</t>
  </si>
  <si>
    <t>150</t>
  </si>
  <si>
    <t>V152 TEMPERATURA CONTROLADA MENOR A 30 C</t>
  </si>
  <si>
    <t>152</t>
  </si>
  <si>
    <t>V153 C/FIBRA POLIPROPILENO 0.900 KG</t>
  </si>
  <si>
    <t>153</t>
  </si>
  <si>
    <t>V154 DURAMAX 8527C2S</t>
  </si>
  <si>
    <t>154</t>
  </si>
  <si>
    <t>V155 TEMPERATURA CONTROLADA MAXIMO A 22 C</t>
  </si>
  <si>
    <t>155</t>
  </si>
  <si>
    <t>V156 REDUCRACK C/TEMP CTRL</t>
  </si>
  <si>
    <t>156</t>
  </si>
  <si>
    <t>V157 DURAMAX 6427ABGOS</t>
  </si>
  <si>
    <t>157</t>
  </si>
  <si>
    <t>V58 DURAMAX 6437ABGS</t>
  </si>
  <si>
    <t>158</t>
  </si>
  <si>
    <t>V159 TEMPERATURA CONTROLADA MENOR A 27 C</t>
  </si>
  <si>
    <t>159</t>
  </si>
  <si>
    <t>V15C 10% A 10 HRS / TEMP CTRL 32°C  C/HIDRATIUM</t>
  </si>
  <si>
    <t>15C</t>
  </si>
  <si>
    <t>V15D 10% A 10 HRS C/HIDRATIUM</t>
  </si>
  <si>
    <t>15D</t>
  </si>
  <si>
    <t>V15E TEMP CTRL C/FIBRA Y COLOR PROP CLIENTE</t>
  </si>
  <si>
    <t>15E</t>
  </si>
  <si>
    <t>V15F DISTANCIA EXTRAORDINARIA C/TEMP CTR</t>
  </si>
  <si>
    <t>15F</t>
  </si>
  <si>
    <t>V15G DURAMAX 3221B</t>
  </si>
  <si>
    <t>15G</t>
  </si>
  <si>
    <t>V15H RESISTENTE A SULFATOS C/FIBRA</t>
  </si>
  <si>
    <t>15H</t>
  </si>
  <si>
    <t>V15I RESISTENTE A SULFATOS C/FIBRA E IMP</t>
  </si>
  <si>
    <t>15I</t>
  </si>
  <si>
    <t>V15J REDUCRACK C/COLOR</t>
  </si>
  <si>
    <t>15J</t>
  </si>
  <si>
    <t>V15K DURAMAX 6207M</t>
  </si>
  <si>
    <t>15K</t>
  </si>
  <si>
    <t>V15L DURAMAX 3227</t>
  </si>
  <si>
    <t>15L</t>
  </si>
  <si>
    <t>V15M COLOR C/HIDRATIUM</t>
  </si>
  <si>
    <t>15M</t>
  </si>
  <si>
    <t>V15N DURAMAX 4207S</t>
  </si>
  <si>
    <t>15N</t>
  </si>
  <si>
    <t>V15P RESISTENTE A SULFATOS C/ REDUCRACK</t>
  </si>
  <si>
    <t>15P</t>
  </si>
  <si>
    <t>V15Q DURAMAX 5201D5S</t>
  </si>
  <si>
    <t>15Q</t>
  </si>
  <si>
    <t>V15R C/IMPER Y SUPERFLUIDIZANTE</t>
  </si>
  <si>
    <t>15R</t>
  </si>
  <si>
    <t>V15S DURAMAX 6301D5S</t>
  </si>
  <si>
    <t>15S</t>
  </si>
  <si>
    <t>V15T DURAMAX 6207O</t>
  </si>
  <si>
    <t>15T</t>
  </si>
  <si>
    <t>V15U C/SUPERFLUIDIFICANTE Y TEMP CTRL</t>
  </si>
  <si>
    <t>15U</t>
  </si>
  <si>
    <t>V15V C/COLOR 3%, HIDRATIUM Y FIBRA</t>
  </si>
  <si>
    <t>15V</t>
  </si>
  <si>
    <t>V15W DURAMAX 7427AD3</t>
  </si>
  <si>
    <t>15W</t>
  </si>
  <si>
    <t>V15X DURAMAX 8927AC2</t>
  </si>
  <si>
    <t>15X</t>
  </si>
  <si>
    <t>V15Y DURAMAX 4247BGT</t>
  </si>
  <si>
    <t>15Y</t>
  </si>
  <si>
    <t>V15Z DURAMAX 8527AC2</t>
  </si>
  <si>
    <t>15Z</t>
  </si>
  <si>
    <t>V160 RESISTENTE A SULFATOS C/IMPER REL A/C 0.45</t>
  </si>
  <si>
    <t>160</t>
  </si>
  <si>
    <t>V163 RELACION A/C 0.40 C/TEMP CTRL</t>
  </si>
  <si>
    <t>163</t>
  </si>
  <si>
    <t>V164 RELACION A/C 0.50 C/IMPER Y TEMP CT</t>
  </si>
  <si>
    <t>164</t>
  </si>
  <si>
    <t>V165 DURAMAX 8507BO</t>
  </si>
  <si>
    <t>165</t>
  </si>
  <si>
    <t>V167 DURAMAX 8527C2</t>
  </si>
  <si>
    <t>167</t>
  </si>
  <si>
    <t>V168 DURAMAX 6427ABGJ2O</t>
  </si>
  <si>
    <t>168</t>
  </si>
  <si>
    <t>V16A APARENTE C/SUPERFLUID</t>
  </si>
  <si>
    <t>16A</t>
  </si>
  <si>
    <t>V16B DURAMAX 4207W</t>
  </si>
  <si>
    <t>16B</t>
  </si>
  <si>
    <t>V16C PESO VOL 1000 KG/M3 C/HID Y FIBRA</t>
  </si>
  <si>
    <t>16C</t>
  </si>
  <si>
    <t>V16D REVENIMIENTO TOTAL C/ ANTIBAC C/IMPER</t>
  </si>
  <si>
    <t>16D</t>
  </si>
  <si>
    <t>V16E C/AIRE MENOR AL 3%</t>
  </si>
  <si>
    <t>16E</t>
  </si>
  <si>
    <t>V16F AXC C/FIBRA</t>
  </si>
  <si>
    <t>16F</t>
  </si>
  <si>
    <t>V16H DURAMAX 6327S1</t>
  </si>
  <si>
    <t>16H</t>
  </si>
  <si>
    <t>V16I DURAMAX 7427S1</t>
  </si>
  <si>
    <t>16I</t>
  </si>
  <si>
    <t>V16J TEMPERATURA CTRL 28 C</t>
  </si>
  <si>
    <t>16J</t>
  </si>
  <si>
    <t>V16L LECHADA</t>
  </si>
  <si>
    <t>16L</t>
  </si>
  <si>
    <t>V16M RELACION A/C 0.85</t>
  </si>
  <si>
    <t>16M</t>
  </si>
  <si>
    <t>V16N RELACION A/C 1.00</t>
  </si>
  <si>
    <t>16N</t>
  </si>
  <si>
    <t>V16O DURAMAX 5237BG</t>
  </si>
  <si>
    <t>16O</t>
  </si>
  <si>
    <t>V16P DURAMAX 5231B</t>
  </si>
  <si>
    <t>16P</t>
  </si>
  <si>
    <t>V16Q DURAMAX 5231BG</t>
  </si>
  <si>
    <t>16Q</t>
  </si>
  <si>
    <t>V16R 10% DE CEMENTO BLANCO</t>
  </si>
  <si>
    <t>16R</t>
  </si>
  <si>
    <t>V16S C/INCLUSOR DE AIRE Y TEMP CTRL</t>
  </si>
  <si>
    <t>16S</t>
  </si>
  <si>
    <t>V16T DURAMAX 7757</t>
  </si>
  <si>
    <t>16T</t>
  </si>
  <si>
    <t>V16V DURAMAX 7427I</t>
  </si>
  <si>
    <t>16V</t>
  </si>
  <si>
    <t>V16W DURAMAX 8527B</t>
  </si>
  <si>
    <t>16W</t>
  </si>
  <si>
    <t>V16Y DURAMAX 5257I</t>
  </si>
  <si>
    <t>16Y</t>
  </si>
  <si>
    <t>V16Z DURAMAX 6307S1</t>
  </si>
  <si>
    <t>16Z</t>
  </si>
  <si>
    <t>V172 C/INCLUSOR DE AIRE</t>
  </si>
  <si>
    <t>172</t>
  </si>
  <si>
    <t>V174 RELACION A/C 0.53</t>
  </si>
  <si>
    <t>174</t>
  </si>
  <si>
    <t>V175 DURAMAX 5207S1</t>
  </si>
  <si>
    <t>175</t>
  </si>
  <si>
    <t>V176 DURAMAX 6507C2D2</t>
  </si>
  <si>
    <t>176</t>
  </si>
  <si>
    <t>V177 DURAMAX 4227BGLO</t>
  </si>
  <si>
    <t>177</t>
  </si>
  <si>
    <t>V178 DURAMAX 5401D5</t>
  </si>
  <si>
    <t>178</t>
  </si>
  <si>
    <t>V179 DURAMAX 4251E</t>
  </si>
  <si>
    <t>179</t>
  </si>
  <si>
    <t>V17A C/RETARDANTE Y TEMP CTRL</t>
  </si>
  <si>
    <t>17A</t>
  </si>
  <si>
    <t>V17C DURAMAX 7507E</t>
  </si>
  <si>
    <t>17C</t>
  </si>
  <si>
    <t>V17D DURAMAX 4257O</t>
  </si>
  <si>
    <t>17D</t>
  </si>
  <si>
    <t>V17F DURAMAX 52217OS</t>
  </si>
  <si>
    <t>17F</t>
  </si>
  <si>
    <t>V17G HIDRATIUM C/AGREGA PROP CLIENTE</t>
  </si>
  <si>
    <t>17G</t>
  </si>
  <si>
    <t>V17H DURAMAX 5227OS</t>
  </si>
  <si>
    <t>17H</t>
  </si>
  <si>
    <t>V17I DURAMAX 6227OS</t>
  </si>
  <si>
    <t>17I</t>
  </si>
  <si>
    <t>V17J C/PERLITA</t>
  </si>
  <si>
    <t>17J</t>
  </si>
  <si>
    <t>V17K 800 MILL C/TEMP CTRL Y FIBRA</t>
  </si>
  <si>
    <t>17K</t>
  </si>
  <si>
    <t>V17L DURAMAX 5407OT</t>
  </si>
  <si>
    <t>17L</t>
  </si>
  <si>
    <t>V17M MAQUILA SIN VARIANTE</t>
  </si>
  <si>
    <t>17M</t>
  </si>
  <si>
    <t>V17N DURAMAX 7427O</t>
  </si>
  <si>
    <t>17N</t>
  </si>
  <si>
    <t>V17O DURAMAX 5237T</t>
  </si>
  <si>
    <t>17O</t>
  </si>
  <si>
    <t>V17P DURAMAX 6407T</t>
  </si>
  <si>
    <t>17P</t>
  </si>
  <si>
    <t>V17R DURAMAX 42017</t>
  </si>
  <si>
    <t>17R</t>
  </si>
  <si>
    <t>V17S FRAGUADO 4 HORAS</t>
  </si>
  <si>
    <t>17S</t>
  </si>
  <si>
    <t>V17T DURAMAX 5407A</t>
  </si>
  <si>
    <t>17T</t>
  </si>
  <si>
    <t>V17V TEMP CTRL C/IMPER 1%</t>
  </si>
  <si>
    <t>17V</t>
  </si>
  <si>
    <t>V17W DURAMAX 7247G</t>
  </si>
  <si>
    <t>17W</t>
  </si>
  <si>
    <t>V17X RELACION A/C 0.45 C/IMPER</t>
  </si>
  <si>
    <t>17X</t>
  </si>
  <si>
    <t>V17Y DURAMAX 6427AC2I</t>
  </si>
  <si>
    <t>17Y</t>
  </si>
  <si>
    <t>V17Z DURAMAX 6307OS</t>
  </si>
  <si>
    <t>17Z</t>
  </si>
  <si>
    <t>V180  ANTITERMITA C/IMPER</t>
  </si>
  <si>
    <t>180</t>
  </si>
  <si>
    <t>V183 RELACION A/C 0.45</t>
  </si>
  <si>
    <t>183</t>
  </si>
  <si>
    <t>V186 C/FLUIDIZANTE E IMPER</t>
  </si>
  <si>
    <t>186</t>
  </si>
  <si>
    <t>V188 DURAMAX 5207BGL</t>
  </si>
  <si>
    <t>188</t>
  </si>
  <si>
    <t>V18B RELACION A/C 0.45 C/FIBRA E IMPER</t>
  </si>
  <si>
    <t>18B</t>
  </si>
  <si>
    <t>V18C HIDRATIUM C/CEMENTO Y AGR PROP CLIE</t>
  </si>
  <si>
    <t>18C</t>
  </si>
  <si>
    <t>V18D PUZOLANICO REL A/C 0.50</t>
  </si>
  <si>
    <t>18D</t>
  </si>
  <si>
    <t>V18E DURAMAX 5307C2</t>
  </si>
  <si>
    <t>18E</t>
  </si>
  <si>
    <t>V18F PESO VOLUMETRICO 2350KG/M3</t>
  </si>
  <si>
    <t>18F</t>
  </si>
  <si>
    <t>V18G APARENTE C/IMPER 2%</t>
  </si>
  <si>
    <t>18G</t>
  </si>
  <si>
    <t>V18H C/FIBRA E IMPER AL 1.5%</t>
  </si>
  <si>
    <t>18H</t>
  </si>
  <si>
    <t>V18I  FIBRA PROP CLIE Y TEMP CTRL</t>
  </si>
  <si>
    <t>18I</t>
  </si>
  <si>
    <t>V18J DURAMAX 6607D3S</t>
  </si>
  <si>
    <t>18J</t>
  </si>
  <si>
    <t>V18K DURAMAX 6307C2</t>
  </si>
  <si>
    <t>18K</t>
  </si>
  <si>
    <t>V18L C/COLOR Y FIB PROP CTE Y TEMP CTRL</t>
  </si>
  <si>
    <t>18L</t>
  </si>
  <si>
    <t>V18M HIDRATIUM C/CEMENTO PROP CLIE</t>
  </si>
  <si>
    <t>18M</t>
  </si>
  <si>
    <t>V18N C/FIBRA METALICA Y TEMP CTRL</t>
  </si>
  <si>
    <t>18N</t>
  </si>
  <si>
    <t>V18O DURAMAX 5307D3GO</t>
  </si>
  <si>
    <t>18O</t>
  </si>
  <si>
    <t>V18P TEMPERATURA CTRL 32</t>
  </si>
  <si>
    <t>18P</t>
  </si>
  <si>
    <t>V18O DURAMAX 5307D3GOS</t>
  </si>
  <si>
    <t>18Q</t>
  </si>
  <si>
    <t>V18R TEMPERATURA CTRL 27</t>
  </si>
  <si>
    <t>18R</t>
  </si>
  <si>
    <t>V18S TEMPERATURA CTRL 23</t>
  </si>
  <si>
    <t>18S</t>
  </si>
  <si>
    <t>V18T DURAMAX 6327AS</t>
  </si>
  <si>
    <t>18T</t>
  </si>
  <si>
    <t>V18U DURAMAX 8407GO</t>
  </si>
  <si>
    <t>18U</t>
  </si>
  <si>
    <t>V18W CONCRETO EXTRUIDO</t>
  </si>
  <si>
    <t>18W</t>
  </si>
  <si>
    <t>V18X ACELERADO Y  TEMP CTRL</t>
  </si>
  <si>
    <t>18X</t>
  </si>
  <si>
    <t>V18Y C/FIBRA, IMPER Y TEMP CTRL</t>
  </si>
  <si>
    <t>18Y</t>
  </si>
  <si>
    <t>V190 INCLUSOR DE AIRE 5%</t>
  </si>
  <si>
    <t>190</t>
  </si>
  <si>
    <t>V191 DURAMAX 6407GO</t>
  </si>
  <si>
    <t>191</t>
  </si>
  <si>
    <t>V192 DURAMAX 5327AJ2S</t>
  </si>
  <si>
    <t>192</t>
  </si>
  <si>
    <t>V193 PESO VOLUMETRICO 2350KG/M3 C/TEMP CTRL</t>
  </si>
  <si>
    <t>193</t>
  </si>
  <si>
    <t>V194 DURAMAX 5357AS</t>
  </si>
  <si>
    <t>194</t>
  </si>
  <si>
    <t>V195 DURAMAX 5357S</t>
  </si>
  <si>
    <t>195</t>
  </si>
  <si>
    <t>V196 DURAMAX 6221ST</t>
  </si>
  <si>
    <t>196</t>
  </si>
  <si>
    <t>V198 DURAMAX 43001D4</t>
  </si>
  <si>
    <t>198</t>
  </si>
  <si>
    <t>V19B C/TEMP CTRL Y RESIS. SULFATOS</t>
  </si>
  <si>
    <t>19B</t>
  </si>
  <si>
    <t>V19D ESTRUCTURAL C/FIBRA</t>
  </si>
  <si>
    <t>19D</t>
  </si>
  <si>
    <t>V19H C/ESTAB DE VOL Y FIBRA</t>
  </si>
  <si>
    <t>19H</t>
  </si>
  <si>
    <t>V19I DURAMAX 62517O</t>
  </si>
  <si>
    <t>19I</t>
  </si>
  <si>
    <t>V19J C/COLOR  PROP CLIENTE</t>
  </si>
  <si>
    <t>19J</t>
  </si>
  <si>
    <t>V19K C/ACELERANTE E IMPER</t>
  </si>
  <si>
    <t>19K</t>
  </si>
  <si>
    <t>V19L C/AGREGADOS PROP CLIENTE Y  TC</t>
  </si>
  <si>
    <t>19L</t>
  </si>
  <si>
    <t>V19M C/DOSIF Y FIBRA PROP CLIENTE</t>
  </si>
  <si>
    <t>19M</t>
  </si>
  <si>
    <t>V19N REL A/C 0.35 C/SUPERFL C/HUMO SILIC E INH CORR</t>
  </si>
  <si>
    <t>19N</t>
  </si>
  <si>
    <t>V19O REL A/C 0.4 C/IMPER 1%</t>
  </si>
  <si>
    <t>19O</t>
  </si>
  <si>
    <t>V19P DURMAX 6407D1</t>
  </si>
  <si>
    <t>19P</t>
  </si>
  <si>
    <t>V19Q  C/FIBRA METAL Y HUMO SILICE</t>
  </si>
  <si>
    <t>19Q</t>
  </si>
  <si>
    <t>V19R TEMP CTRL 31°C</t>
  </si>
  <si>
    <t>19R</t>
  </si>
  <si>
    <t>V19S TEMP CTRL 26°C</t>
  </si>
  <si>
    <t>19S</t>
  </si>
  <si>
    <t>V19T TEMP CTRL 22°C</t>
  </si>
  <si>
    <t>19T</t>
  </si>
  <si>
    <t>V19U C/CENIZA VOLANTE E INCLUSOR DE AIRE</t>
  </si>
  <si>
    <t>19U</t>
  </si>
  <si>
    <t>V19V C/PRODUCTO DE TRITURACION</t>
  </si>
  <si>
    <t>19V</t>
  </si>
  <si>
    <t>V19W 25% CEMENTO BLANCO</t>
  </si>
  <si>
    <t>19W</t>
  </si>
  <si>
    <t>V19X 0% FALLAS</t>
  </si>
  <si>
    <t>19X</t>
  </si>
  <si>
    <t>V19Y THERMAL CONCRETE</t>
  </si>
  <si>
    <t>19Y</t>
  </si>
  <si>
    <t>V19Z DURAMAX  5207OR</t>
  </si>
  <si>
    <t>19Z</t>
  </si>
  <si>
    <t>V1A0 LANZADO VIA SECA C/IMPER</t>
  </si>
  <si>
    <t>1A0</t>
  </si>
  <si>
    <t>V1A1 DURAMAX 6707</t>
  </si>
  <si>
    <t>1A1</t>
  </si>
  <si>
    <t>V1A2 DURAMAX 8507D4</t>
  </si>
  <si>
    <t>1A2</t>
  </si>
  <si>
    <t>V1A3 DURAMAX 6327BY</t>
  </si>
  <si>
    <t>1A3</t>
  </si>
  <si>
    <t>V1A4 APARENTE C/ REDUCRACK</t>
  </si>
  <si>
    <t>1A4</t>
  </si>
  <si>
    <t>V1A5 MORTERO 1:6</t>
  </si>
  <si>
    <t>1A5</t>
  </si>
  <si>
    <t>V1A6 REDUCRACK C/FIBRA</t>
  </si>
  <si>
    <t>1A6</t>
  </si>
  <si>
    <t>V1A7 DURAMAX 8807</t>
  </si>
  <si>
    <t>1A7</t>
  </si>
  <si>
    <t>V1A8 DURAMAX 6327B</t>
  </si>
  <si>
    <t>1A8</t>
  </si>
  <si>
    <t>V1A9 DURAMAX 6427AOS</t>
  </si>
  <si>
    <t>1A9</t>
  </si>
  <si>
    <t>V1AA DURAMAX 4207OT</t>
  </si>
  <si>
    <t>1AA</t>
  </si>
  <si>
    <t>V1AB DURAMAX 5407AD4</t>
  </si>
  <si>
    <t>1AB</t>
  </si>
  <si>
    <t>V1AC DURAMAX 6407ES</t>
  </si>
  <si>
    <t>1AC</t>
  </si>
  <si>
    <t>V1AD  DURAMAX 5301S</t>
  </si>
  <si>
    <t>1AD</t>
  </si>
  <si>
    <t>V1AE DURAMAX 6427OT</t>
  </si>
  <si>
    <t>1AE</t>
  </si>
  <si>
    <t>V1AF C/15KG DE FIBRA METALICA E HIDRATIUM</t>
  </si>
  <si>
    <t>1AF</t>
  </si>
  <si>
    <t>V1AG CEMENTO BLANCO Y ARENA MARMOL 1:1</t>
  </si>
  <si>
    <t>1AG</t>
  </si>
  <si>
    <t>V1AH CEMENTO BLANCO Y ARENA MARMOL 1:2</t>
  </si>
  <si>
    <t>1AH</t>
  </si>
  <si>
    <t>V1AI PESO VOLUMETRICO 1700 KG/M3 C/IMPER Y REDUCRACK</t>
  </si>
  <si>
    <t>1AI</t>
  </si>
  <si>
    <t>V1AK DURAMAX 5427AS</t>
  </si>
  <si>
    <t>1AK</t>
  </si>
  <si>
    <t>V1AL DURAMAX 7327AD4S</t>
  </si>
  <si>
    <t>1AL</t>
  </si>
  <si>
    <t>V1AM DURAMAX 7327AS</t>
  </si>
  <si>
    <t>1AM</t>
  </si>
  <si>
    <t>V1AN DURAMAX 6207D3I</t>
  </si>
  <si>
    <t>1AN</t>
  </si>
  <si>
    <t>V1AO DURAMAX 7301D4</t>
  </si>
  <si>
    <t>1AO</t>
  </si>
  <si>
    <t>V1AP DURAMAX 6207OR</t>
  </si>
  <si>
    <t>1AP</t>
  </si>
  <si>
    <t>V1AQ DURAMAX 7607</t>
  </si>
  <si>
    <t>1AQ</t>
  </si>
  <si>
    <t>V1AR DURAMAX 3301S</t>
  </si>
  <si>
    <t>1AR</t>
  </si>
  <si>
    <t>V1AS PESO VOLUMETRICO 700 KG/M3</t>
  </si>
  <si>
    <t>1AS</t>
  </si>
  <si>
    <t>V1AT DURAMAX 8227H</t>
  </si>
  <si>
    <t>1AT</t>
  </si>
  <si>
    <t>V1AU DURAMAX 6407Y</t>
  </si>
  <si>
    <t>1AU</t>
  </si>
  <si>
    <t>V1AV DENSIDAD DE EQUILIBRIO 1600 KG/M3</t>
  </si>
  <si>
    <t>1AV</t>
  </si>
  <si>
    <t>V1AW DURAMAX 6427BES</t>
  </si>
  <si>
    <t>1AW</t>
  </si>
  <si>
    <t>V1AX DURAMAX 6421E</t>
  </si>
  <si>
    <t>1AX</t>
  </si>
  <si>
    <t>V1AY DURAMAX 5207Y</t>
  </si>
  <si>
    <t>1AY</t>
  </si>
  <si>
    <t>V1AZ DURAMAX 6421O</t>
  </si>
  <si>
    <t>1AZ</t>
  </si>
  <si>
    <t>V1B1 DURAMAX 5457Y</t>
  </si>
  <si>
    <t>1B1</t>
  </si>
  <si>
    <t>V1B2 DURAMAX 5457B</t>
  </si>
  <si>
    <t>1B2</t>
  </si>
  <si>
    <t>V1B3 C/COLOR, TEMP CTRL E IMPER 2%</t>
  </si>
  <si>
    <t>1B3</t>
  </si>
  <si>
    <t>V1B4 TEMP CTRL 32° C C/IMPER 2%</t>
  </si>
  <si>
    <t>1B4</t>
  </si>
  <si>
    <t>V1B5 HIDRATIUM, IMPER Y REDUCRACK</t>
  </si>
  <si>
    <t>1B5</t>
  </si>
  <si>
    <t>V1B6 C/NEGRO 4%, HIDRATIUM Y FIBRA</t>
  </si>
  <si>
    <t>1B6</t>
  </si>
  <si>
    <t>V1B7 C/LERMA 4%, HIDRATIUM Y FIBRA</t>
  </si>
  <si>
    <t>1B7</t>
  </si>
  <si>
    <t>V1B8 C/CAMPECHE 4%, HIDRATIUM Y FIBRA</t>
  </si>
  <si>
    <t>1B8</t>
  </si>
  <si>
    <t>V1B9 DURAMAX 6327O</t>
  </si>
  <si>
    <t>1B9</t>
  </si>
  <si>
    <t>V1BA DURAMAX 4227OY</t>
  </si>
  <si>
    <t>1BA</t>
  </si>
  <si>
    <t>V1BB DURAMAX 7427Y</t>
  </si>
  <si>
    <t>1BB</t>
  </si>
  <si>
    <t>V1BC DURAMAX 6327OY</t>
  </si>
  <si>
    <t>1BC</t>
  </si>
  <si>
    <t>V1BD DURAMAX 5357C2S</t>
  </si>
  <si>
    <t>1BD</t>
  </si>
  <si>
    <t>V1BE DURAMAX 7227OS</t>
  </si>
  <si>
    <t>1BE</t>
  </si>
  <si>
    <t>V1BF DURAMAX 7457C2S</t>
  </si>
  <si>
    <t>1BF</t>
  </si>
  <si>
    <t>V1BG DURAMAX 7427C1</t>
  </si>
  <si>
    <t>1BG</t>
  </si>
  <si>
    <t>V1BH DURAMAX 7327ABI</t>
  </si>
  <si>
    <t>1BH</t>
  </si>
  <si>
    <t>V1BI DURAMAX 5457S</t>
  </si>
  <si>
    <t>1BI</t>
  </si>
  <si>
    <t>V1BJ DURAMAX 5207GY</t>
  </si>
  <si>
    <t>1BJ</t>
  </si>
  <si>
    <t>V1BK RELACION A/C 0.50 C/COLOR</t>
  </si>
  <si>
    <t>1BK</t>
  </si>
  <si>
    <t>V1BL DURAMAX 4201BD5M</t>
  </si>
  <si>
    <t>1BL</t>
  </si>
  <si>
    <t>V1BM DURAMAX 6207E</t>
  </si>
  <si>
    <t>1BM</t>
  </si>
  <si>
    <t>V1BN DURAMAX 6457BO</t>
  </si>
  <si>
    <t>1BN</t>
  </si>
  <si>
    <t>V1BO DURAMAX 5207MO</t>
  </si>
  <si>
    <t>1BO</t>
  </si>
  <si>
    <t>V1BP DURAMAX 6207ES</t>
  </si>
  <si>
    <t>1BP</t>
  </si>
  <si>
    <t>V1BQ 650 MILL C/FIBRA PROP CLIENTE</t>
  </si>
  <si>
    <t>1BQ</t>
  </si>
  <si>
    <t>V1BR DURAMAX 5307EI</t>
  </si>
  <si>
    <t>1BR</t>
  </si>
  <si>
    <t>V1BS DURAMAX 6307EI</t>
  </si>
  <si>
    <t>1BS</t>
  </si>
  <si>
    <t>V1BU C/IMPER/FIBRA/EXCLUSOR AIRE</t>
  </si>
  <si>
    <t>1BU</t>
  </si>
  <si>
    <t>V1BV DURAMAX 4227O</t>
  </si>
  <si>
    <t>1BV</t>
  </si>
  <si>
    <t>V1BW  DURAMAX 6357Y</t>
  </si>
  <si>
    <t>1BW</t>
  </si>
  <si>
    <t>V1BX DURAMAX 5227A</t>
  </si>
  <si>
    <t>1BX</t>
  </si>
  <si>
    <t>V1BY DURAMAX 5227B</t>
  </si>
  <si>
    <t>1BY</t>
  </si>
  <si>
    <t>V1BZ DURAMAX 6607ST</t>
  </si>
  <si>
    <t>1BZ</t>
  </si>
  <si>
    <t>V1C0 DURAMAX 5357O</t>
  </si>
  <si>
    <t>1C0</t>
  </si>
  <si>
    <t>V1C1 DURAMAX 7427AC2OS</t>
  </si>
  <si>
    <t>1C1</t>
  </si>
  <si>
    <t>V1C2 DURAMAX 62201S</t>
  </si>
  <si>
    <t>1C2</t>
  </si>
  <si>
    <t>V1C3 DURAMAX 7427AC2S</t>
  </si>
  <si>
    <t>1C3</t>
  </si>
  <si>
    <t>V1C4 DURAMAX 6457EM</t>
  </si>
  <si>
    <t>1C4</t>
  </si>
  <si>
    <t>V1C5 RELACION A/C 0.55 C/TEMP CTRL</t>
  </si>
  <si>
    <t>1C5</t>
  </si>
  <si>
    <t>V1C8 RELACION A/C 0.60</t>
  </si>
  <si>
    <t>1C8</t>
  </si>
  <si>
    <t>V1C9 RESISTENCIA 35 KG/CM2 A LA TENSIÓN DIAMETRAL</t>
  </si>
  <si>
    <t>1C9</t>
  </si>
  <si>
    <t>V1CB C/SUPERFLUIDIZANTE Y ANTIBACTERIANO</t>
  </si>
  <si>
    <t>1CB</t>
  </si>
  <si>
    <t>V1CD PESO VOLUMETRICO 2400 KG/M3</t>
  </si>
  <si>
    <t>1CD</t>
  </si>
  <si>
    <t>V1CE DURAMAX 7607Y</t>
  </si>
  <si>
    <t>1CE</t>
  </si>
  <si>
    <t>V1CF COLOR C/EXCLUSOR DE AIRE</t>
  </si>
  <si>
    <t>1CF</t>
  </si>
  <si>
    <t>V1CG DURAMAX 5257GO</t>
  </si>
  <si>
    <t>1CG</t>
  </si>
  <si>
    <t>V1CH DURAMAX 5247GO</t>
  </si>
  <si>
    <t>1CH</t>
  </si>
  <si>
    <t>V1CI DURAMAX 5357BO</t>
  </si>
  <si>
    <t>1CI</t>
  </si>
  <si>
    <t>V1CJ RES A SULFATOS  C/TEMP CTRL  32 °C  REL A/C  0.5</t>
  </si>
  <si>
    <t>1CJ</t>
  </si>
  <si>
    <t>V1CK DURAMAX 4327O</t>
  </si>
  <si>
    <t>1CK</t>
  </si>
  <si>
    <t>V1CL DURAMAX 4427O</t>
  </si>
  <si>
    <t>1CL</t>
  </si>
  <si>
    <t>V1CM C/COLOR, HIDRATIUM Y REDUCRACK</t>
  </si>
  <si>
    <t>1CM</t>
  </si>
  <si>
    <t>V1CN DURAMAX 3207O</t>
  </si>
  <si>
    <t>1CN</t>
  </si>
  <si>
    <t>V1CO DURAMAX 7257C2S</t>
  </si>
  <si>
    <t>1CO</t>
  </si>
  <si>
    <t>V1CP DURAMAX 5407O</t>
  </si>
  <si>
    <t>1CP</t>
  </si>
  <si>
    <t>V1CS DURAMAX 75017</t>
  </si>
  <si>
    <t>1CS</t>
  </si>
  <si>
    <t>V1CT DURAMAX 3207B</t>
  </si>
  <si>
    <t>1CT</t>
  </si>
  <si>
    <t>V1CU DURAMAX 5207IO</t>
  </si>
  <si>
    <t>1CU</t>
  </si>
  <si>
    <t>V1CV DURAMAX 5307O</t>
  </si>
  <si>
    <t>1CV</t>
  </si>
  <si>
    <t>V1CW ANTIALGA</t>
  </si>
  <si>
    <t>1CW</t>
  </si>
  <si>
    <t>V1CX AUTOCOMPACTADO ALTA RESISTENCIA C/TEMP CTRL</t>
  </si>
  <si>
    <t>1CX</t>
  </si>
  <si>
    <t>V1CY PESO VOLUMETRICO 1400 KG/M3 C/FIBRA</t>
  </si>
  <si>
    <t>1CY</t>
  </si>
  <si>
    <t>V1CZ  ESTABILIZADO 3HRS C/PESO VOLUMETRICO 1400KG/M3</t>
  </si>
  <si>
    <t>1CZ</t>
  </si>
  <si>
    <t>V1D0 C/FIBRA Y TEMP CTRL</t>
  </si>
  <si>
    <t>1D0</t>
  </si>
  <si>
    <t>V1D1 DURAMAX 6327AOS</t>
  </si>
  <si>
    <t>1D1</t>
  </si>
  <si>
    <t>V1D2 COMPACTADO C/RODILLO</t>
  </si>
  <si>
    <t>1D2</t>
  </si>
  <si>
    <t>V1D3 C/HIELO PROPORCIONADO POR EL CLIENT</t>
  </si>
  <si>
    <t>1D3</t>
  </si>
  <si>
    <t>V1D5 SUELO CEMENTO</t>
  </si>
  <si>
    <t>1D5</t>
  </si>
  <si>
    <t>V1D7 TEMPERATURA CTRL 30</t>
  </si>
  <si>
    <t>1D7</t>
  </si>
  <si>
    <t>V1D8 DURAMAX 7457B</t>
  </si>
  <si>
    <t>1D8</t>
  </si>
  <si>
    <t>V1D9 DURAMAX 7457BEF</t>
  </si>
  <si>
    <t>1D9</t>
  </si>
  <si>
    <t>V1DA TEMP CTRL C/IMPER 2%</t>
  </si>
  <si>
    <t>1DA</t>
  </si>
  <si>
    <t>V1DB DURAMAX 3207IO</t>
  </si>
  <si>
    <t>1DB</t>
  </si>
  <si>
    <t>V1DC DURAMAX 3247GO</t>
  </si>
  <si>
    <t>1DC</t>
  </si>
  <si>
    <t>V1DD DURAMAX 6407O</t>
  </si>
  <si>
    <t>1DD</t>
  </si>
  <si>
    <t>V1DE DURAMAX 4307O</t>
  </si>
  <si>
    <t>1DE</t>
  </si>
  <si>
    <t>V1DS DURAMAX 540BM</t>
  </si>
  <si>
    <t>1DS</t>
  </si>
  <si>
    <t>V1DY DURAMAX 62017</t>
  </si>
  <si>
    <t>1DY</t>
  </si>
  <si>
    <t>V1DZ DURAMAX  6207D4S</t>
  </si>
  <si>
    <t>1DZ</t>
  </si>
  <si>
    <t>V1E0 DURAMAX 5201F</t>
  </si>
  <si>
    <t>1E0</t>
  </si>
  <si>
    <t>V1E1 DURAMAX 72017</t>
  </si>
  <si>
    <t>1E1</t>
  </si>
  <si>
    <t>V1E3 C/IMPER TEMP CTRL Y AIRE INCLUIDO</t>
  </si>
  <si>
    <t>1E3</t>
  </si>
  <si>
    <t>V1E6 RELACION A/C 0.50 C/IMPER Y TC 23</t>
  </si>
  <si>
    <t>1E6</t>
  </si>
  <si>
    <t>V1E7 DURAMAX 72017S</t>
  </si>
  <si>
    <t>1E7</t>
  </si>
  <si>
    <t>V1E8 C/CENIZA</t>
  </si>
  <si>
    <t>1E8</t>
  </si>
  <si>
    <t>V1EA DURAMAX 7257AS</t>
  </si>
  <si>
    <t>1EA</t>
  </si>
  <si>
    <t>V1EB DURAMAX 5527C7O</t>
  </si>
  <si>
    <t>1EB</t>
  </si>
  <si>
    <t>V1EE DURAMAX 7427AOS</t>
  </si>
  <si>
    <t>1EE</t>
  </si>
  <si>
    <t>V1EF DURAMAX 7357AS</t>
  </si>
  <si>
    <t>1EF</t>
  </si>
  <si>
    <t>V1EG DURAMAX 6307D5S</t>
  </si>
  <si>
    <t>1EG</t>
  </si>
  <si>
    <t>V1EH DURAMAX 6307D5</t>
  </si>
  <si>
    <t>1EH</t>
  </si>
  <si>
    <t>V1EJ DURAMAX 6207D5S</t>
  </si>
  <si>
    <t>1EJ</t>
  </si>
  <si>
    <t>V1EK C/INHIBIDOR DE CORROSION,IMPER Y TC</t>
  </si>
  <si>
    <t>1EK</t>
  </si>
  <si>
    <t>V1EL DURAMAX 6207D5</t>
  </si>
  <si>
    <t>1EL</t>
  </si>
  <si>
    <t>V1EM TRAB EXT 3HR C/FIBRA PROP. CLIENTE</t>
  </si>
  <si>
    <t>1EM</t>
  </si>
  <si>
    <t>V1EN 800 MILL C/TEMP CTRL, FIBRA Y EXCLUSOR DE AIRE</t>
  </si>
  <si>
    <t>1EN</t>
  </si>
  <si>
    <t>V1EO REL A/C 0.50 C/TEMP CTRL</t>
  </si>
  <si>
    <t>1EO</t>
  </si>
  <si>
    <t>V1EP PESO VOLUMETRICO 2000 KG/M3 C/COLOR</t>
  </si>
  <si>
    <t>1EP</t>
  </si>
  <si>
    <t>V1ES DURAMAX 4257FO</t>
  </si>
  <si>
    <t>1ES</t>
  </si>
  <si>
    <t>V1ET DURAMAX 5201D4TY</t>
  </si>
  <si>
    <t>1ET</t>
  </si>
  <si>
    <t>V1EU LANZADO VIA HUMEDA C/IMPER 2%</t>
  </si>
  <si>
    <t>1EU</t>
  </si>
  <si>
    <t>V1EV C/FIBRA POLIPROPILENO 0.600 KG</t>
  </si>
  <si>
    <t>1EV</t>
  </si>
  <si>
    <t>V1EW DURAMAX 6507S</t>
  </si>
  <si>
    <t>1EW</t>
  </si>
  <si>
    <t>V1F0 C/IMPER 5%</t>
  </si>
  <si>
    <t>1F0</t>
  </si>
  <si>
    <t>V1F1 DISTANCIA EXTRAORD C/IMPER Y FIB</t>
  </si>
  <si>
    <t>1F1</t>
  </si>
  <si>
    <t>V1F2 DURAMAX 7207D5</t>
  </si>
  <si>
    <t>1F2</t>
  </si>
  <si>
    <t>V1F3 PUZOLANICO C/IMPER, INH CORR,TC Y REL A/C 0.4</t>
  </si>
  <si>
    <t>1F3</t>
  </si>
  <si>
    <t>V1F4 PESO VOLUMETRICO 1900 KG/M3 C/ADICION MAQUILA</t>
  </si>
  <si>
    <t>1F4</t>
  </si>
  <si>
    <t>V1F5 REL A/C 0.50 C/INH CORROSION E IMPER</t>
  </si>
  <si>
    <t>1F5</t>
  </si>
  <si>
    <t>V1F7 RELACION A/C 0.64 C/TEMP CTRL</t>
  </si>
  <si>
    <t>1F7</t>
  </si>
  <si>
    <t>V1F8 C/ADITIVO PROPORCIONADO POR EL CLIENTE</t>
  </si>
  <si>
    <t>1F8</t>
  </si>
  <si>
    <t>V1F9 REL A/C 0.64 C/ IMPER Y TEMP CTRL</t>
  </si>
  <si>
    <t>1F9</t>
  </si>
  <si>
    <t>V1FA REL A/C 0.55 C/ IMPER Y TEMP CTRL</t>
  </si>
  <si>
    <t>1FA</t>
  </si>
  <si>
    <t>V1FB DURAMAX 5357Y</t>
  </si>
  <si>
    <t>1FB</t>
  </si>
  <si>
    <t>V1FC 600 MILLONESIMAS C/FIBRA PROP CLIENTE</t>
  </si>
  <si>
    <t>1FC</t>
  </si>
  <si>
    <t>V1FD REL A/C 0.35 C/IMP/SUPERFL/HUM SIL</t>
  </si>
  <si>
    <t>1FD</t>
  </si>
  <si>
    <t>V1FF REL A/C 0.35 C/SUPERFL Y HUMO SILIC</t>
  </si>
  <si>
    <t>1FF</t>
  </si>
  <si>
    <t>V1FG DURAMAX 5357OY</t>
  </si>
  <si>
    <t>1FG</t>
  </si>
  <si>
    <t>V1FH C/ADICION PROP CLIENTE</t>
  </si>
  <si>
    <t>1FH</t>
  </si>
  <si>
    <t>V1FK DURAMAX 4201Y</t>
  </si>
  <si>
    <t>1FK</t>
  </si>
  <si>
    <t>V1FL 450 MILLONESIMAS C/REDUCRACK</t>
  </si>
  <si>
    <t>1FL</t>
  </si>
  <si>
    <t>V1FM DURAMAX 5307B</t>
  </si>
  <si>
    <t>1FM</t>
  </si>
  <si>
    <t>V1FN RAPIDO 45% A 8 HORAS</t>
  </si>
  <si>
    <t>1FN</t>
  </si>
  <si>
    <t>V1FO C/AGUA Y ADITIVO PROP CLIENTE</t>
  </si>
  <si>
    <t>1FO</t>
  </si>
  <si>
    <t>V1FQ INCLUSOR DE AIRE, FIBRA E HIDRATIUM</t>
  </si>
  <si>
    <t>1FQ</t>
  </si>
  <si>
    <t>V1FR RESISTENTE A SULFATOS C/TEMP CTRL</t>
  </si>
  <si>
    <t>1FR</t>
  </si>
  <si>
    <t>V1FS MAQUILA C/TEMP CTRL</t>
  </si>
  <si>
    <t>1FS</t>
  </si>
  <si>
    <t>V1FZ DURAMAX 6301BD5</t>
  </si>
  <si>
    <t>1FZ</t>
  </si>
  <si>
    <t>V1G2 RELACION A/C 0.45 C/IMPER Y TEMP CT</t>
  </si>
  <si>
    <t>1G2</t>
  </si>
  <si>
    <t>V1G3 RESISTENTE A SULFATOS C/IMPER  Y TEMP CTRL</t>
  </si>
  <si>
    <t>1G3</t>
  </si>
  <si>
    <t>V1G4 PUZOLANICO C/IMPER, INH CORR Y REL A/C 0.4</t>
  </si>
  <si>
    <t>1G4</t>
  </si>
  <si>
    <t>V1G5 HIDRATIUM C/TEMP CTRL Y AGR PROP CTE</t>
  </si>
  <si>
    <t>1G5</t>
  </si>
  <si>
    <t>V1G6 C/FIBRA/TEMP CTRL/RETARDANTE</t>
  </si>
  <si>
    <t>1G6</t>
  </si>
  <si>
    <t>V1G7 LLAVE EN MANO</t>
  </si>
  <si>
    <t>1G7</t>
  </si>
  <si>
    <t>V1G8 RELACION A/C 0.7 C/FIBRA</t>
  </si>
  <si>
    <t>1G8</t>
  </si>
  <si>
    <t>V1G9 RELACION A/C 0.7</t>
  </si>
  <si>
    <t>1G9</t>
  </si>
  <si>
    <t>V1GB DURAMAX 6301S</t>
  </si>
  <si>
    <t>1GB</t>
  </si>
  <si>
    <t>V1GC DURAMAX 5321MO</t>
  </si>
  <si>
    <t>1GC</t>
  </si>
  <si>
    <t>V1GD DURAMAX 6427MO</t>
  </si>
  <si>
    <t>1GD</t>
  </si>
  <si>
    <t>V1GE DURAMAX 7527MO</t>
  </si>
  <si>
    <t>1GE</t>
  </si>
  <si>
    <t>V1GF DURAMAX 7627MO</t>
  </si>
  <si>
    <t>1GF</t>
  </si>
  <si>
    <t>V1GG DURAMAX 6457OS</t>
  </si>
  <si>
    <t>1GG</t>
  </si>
  <si>
    <t>V1GH DURAMAX 5347BY</t>
  </si>
  <si>
    <t>1GH</t>
  </si>
  <si>
    <t>V1GI DURAMAX 8227</t>
  </si>
  <si>
    <t>1GI</t>
  </si>
  <si>
    <t>V1GJ DURAMAX 5357AJ2</t>
  </si>
  <si>
    <t>1GJ</t>
  </si>
  <si>
    <t>V1GK DURAMAX 5307I</t>
  </si>
  <si>
    <t>1GK</t>
  </si>
  <si>
    <t>V1GL DURAMAX 6257HO</t>
  </si>
  <si>
    <t>1GL</t>
  </si>
  <si>
    <t>V1GM DURAMAX 7257HO</t>
  </si>
  <si>
    <t>1GM</t>
  </si>
  <si>
    <t>V1GN DOSIFICACION CLIENTE C/FIBRA</t>
  </si>
  <si>
    <t>1GN</t>
  </si>
  <si>
    <t>V1GO DURAMAX 5257Y</t>
  </si>
  <si>
    <t>1GO</t>
  </si>
  <si>
    <t>V1GP DURAMAX 6621S</t>
  </si>
  <si>
    <t>1GP</t>
  </si>
  <si>
    <t>V1GQ DURAMAX 5447BY</t>
  </si>
  <si>
    <t>1GQ</t>
  </si>
  <si>
    <t>V1GR DURAMAX 7427ES</t>
  </si>
  <si>
    <t>1GR</t>
  </si>
  <si>
    <t>V1GS DURAMAX 6307OSW</t>
  </si>
  <si>
    <t>1GS</t>
  </si>
  <si>
    <t>V1GT DURAMAX 7557E</t>
  </si>
  <si>
    <t>1GT</t>
  </si>
  <si>
    <t>V1GU COLOR NEGRO 10%</t>
  </si>
  <si>
    <t>1GU</t>
  </si>
  <si>
    <t>V1GW DURAMAX 3207OS</t>
  </si>
  <si>
    <t>1GW</t>
  </si>
  <si>
    <t>V1GX DURAMAX 7227O</t>
  </si>
  <si>
    <t>1GX</t>
  </si>
  <si>
    <t>V1GY DURAMAX 3257O</t>
  </si>
  <si>
    <t>1GY</t>
  </si>
  <si>
    <t>V1GZ DURAMAX 6227MO</t>
  </si>
  <si>
    <t>1GZ</t>
  </si>
  <si>
    <t>V1H0 DURAMAZ 6227MOY</t>
  </si>
  <si>
    <t>1H0</t>
  </si>
  <si>
    <t>V1PA DURAMAX 7727Y</t>
  </si>
  <si>
    <t>1PA</t>
  </si>
  <si>
    <t>V1PB DURAMAX 6427Y</t>
  </si>
  <si>
    <t>1PB</t>
  </si>
  <si>
    <t>V1PC DURAMAX 5327Y</t>
  </si>
  <si>
    <t>1PC</t>
  </si>
  <si>
    <t>V1PD DURAMAX 5557C7</t>
  </si>
  <si>
    <t>1PD</t>
  </si>
  <si>
    <t>V1PE DURAMAX 5257OY</t>
  </si>
  <si>
    <t>1PE</t>
  </si>
  <si>
    <t>V1PF DURAMAX 5207BGOSY</t>
  </si>
  <si>
    <t>1PF</t>
  </si>
  <si>
    <t>V1PG DURAMAX 8607ST</t>
  </si>
  <si>
    <t>1PG</t>
  </si>
  <si>
    <t>V1PH DURAMAX 6201D5</t>
  </si>
  <si>
    <t>1PH</t>
  </si>
  <si>
    <t>V1PI DURAMAX 5307OY</t>
  </si>
  <si>
    <t>1PI</t>
  </si>
  <si>
    <t>V1PJ DURAMAX 6357OY</t>
  </si>
  <si>
    <t>1PJ</t>
  </si>
  <si>
    <t>V1PK DURAMAX 6307OY</t>
  </si>
  <si>
    <t>1PK</t>
  </si>
  <si>
    <t>V1PL DURAMAX 6357ET</t>
  </si>
  <si>
    <t>1PL</t>
  </si>
  <si>
    <t>V1PM DURAMAX 7357OY</t>
  </si>
  <si>
    <t>1PM</t>
  </si>
  <si>
    <t>V1PN DURAMAX 7427AOSY</t>
  </si>
  <si>
    <t>1PN</t>
  </si>
  <si>
    <t>V1PO DURAMAX 7457OY</t>
  </si>
  <si>
    <t>1PO</t>
  </si>
  <si>
    <t>V1PP DURAMAX 3227AMS</t>
  </si>
  <si>
    <t>1PP</t>
  </si>
  <si>
    <t>V1PQ DURAMAX 7407C2HT</t>
  </si>
  <si>
    <t>1PQ</t>
  </si>
  <si>
    <t>V1PR DURAMAX 5457O</t>
  </si>
  <si>
    <t>1PR</t>
  </si>
  <si>
    <t>V1PS DURAMAX 5307Y</t>
  </si>
  <si>
    <t>1PS</t>
  </si>
  <si>
    <t>V1PT PESO VOLUMETRICO 1300 KG/M3 C/FIBRA E HIDRATIUM</t>
  </si>
  <si>
    <t>1PT</t>
  </si>
  <si>
    <t>V1PV DURAMAX 7457O</t>
  </si>
  <si>
    <t>1PV</t>
  </si>
  <si>
    <t>V1PW DURAMAX 5201D4Y</t>
  </si>
  <si>
    <t>1PW</t>
  </si>
  <si>
    <t>V1PX DURAMAX 5201Y</t>
  </si>
  <si>
    <t>1PX</t>
  </si>
  <si>
    <t>V1PY DURAMAX 4201BD6I</t>
  </si>
  <si>
    <t>1PY</t>
  </si>
  <si>
    <t xml:space="preserve"> V1PZ DURAMAX 6407BGOS</t>
  </si>
  <si>
    <t>1PZ</t>
  </si>
  <si>
    <t>V201 450 MILL</t>
  </si>
  <si>
    <t>201</t>
  </si>
  <si>
    <t>V202 450 MILL 7-85%</t>
  </si>
  <si>
    <t>202</t>
  </si>
  <si>
    <t>V203 450 MILL C/COLOR</t>
  </si>
  <si>
    <t>203</t>
  </si>
  <si>
    <t>V204 450 MILL C/FIBRA</t>
  </si>
  <si>
    <t>204</t>
  </si>
  <si>
    <t>V205 450 MILL C/FIBRA METAL</t>
  </si>
  <si>
    <t>205</t>
  </si>
  <si>
    <t>V206 450 MILL C/FIBRA POL</t>
  </si>
  <si>
    <t>206</t>
  </si>
  <si>
    <t>V207 450 MILL C/FIBRA Y COLOR</t>
  </si>
  <si>
    <t>207</t>
  </si>
  <si>
    <t>V208 450 MILL C/FIBRA Y TEMP CTRL</t>
  </si>
  <si>
    <t>208</t>
  </si>
  <si>
    <t>V209 450 MILL C/TEMP CTRL</t>
  </si>
  <si>
    <t>209</t>
  </si>
  <si>
    <t>V20A 600 MILLONESIMAS</t>
  </si>
  <si>
    <t>20A</t>
  </si>
  <si>
    <t>V20B C/RETARDANTE</t>
  </si>
  <si>
    <t>20B</t>
  </si>
  <si>
    <t>V20D CALIDAD BASE</t>
  </si>
  <si>
    <t>20D</t>
  </si>
  <si>
    <t>V20E CALIDAD SUB-BASE</t>
  </si>
  <si>
    <t>20E</t>
  </si>
  <si>
    <t>V20G DURAMAX 4201BD3</t>
  </si>
  <si>
    <t>20G</t>
  </si>
  <si>
    <t>V20H COLOR ANTIQUE CORK C/FIBRA</t>
  </si>
  <si>
    <t>20H</t>
  </si>
  <si>
    <t>V20K CONTRACCION COMPENSADA</t>
  </si>
  <si>
    <t>20K</t>
  </si>
  <si>
    <t>V20N DURAMAX 3221I</t>
  </si>
  <si>
    <t>20N</t>
  </si>
  <si>
    <t>V20O ESTABILIZADO 12HRS</t>
  </si>
  <si>
    <t>20O</t>
  </si>
  <si>
    <t>V20P DURAMAX 6257BIO</t>
  </si>
  <si>
    <t>20P</t>
  </si>
  <si>
    <t>V20Q ESTABILIZADO 24HRS</t>
  </si>
  <si>
    <t>20Q</t>
  </si>
  <si>
    <t>V20R ESTABILIZADO 3HRS</t>
  </si>
  <si>
    <t>20R</t>
  </si>
  <si>
    <t>V20S ESTABILIZADO 3HRS C/AIRE INCLUIDO</t>
  </si>
  <si>
    <t>20S</t>
  </si>
  <si>
    <t>V20T ESTABILIZADO 4HRS</t>
  </si>
  <si>
    <t>20T</t>
  </si>
  <si>
    <t>V20U DURAMAX 52517GO</t>
  </si>
  <si>
    <t>20U</t>
  </si>
  <si>
    <t>V20V DURAMAX 7257BIO</t>
  </si>
  <si>
    <t>20V</t>
  </si>
  <si>
    <t>V20W ESTABILIZADO 5HRS</t>
  </si>
  <si>
    <t>20W</t>
  </si>
  <si>
    <t>V20X ESTABILIZADO 6HRS</t>
  </si>
  <si>
    <t>20X</t>
  </si>
  <si>
    <t>V20Y ESTABILIZADO 8HRS</t>
  </si>
  <si>
    <t>20Y</t>
  </si>
  <si>
    <t>V20Z DURAMAX 5227AFT</t>
  </si>
  <si>
    <t>20Z</t>
  </si>
  <si>
    <t>V210 ESTABILIZADO 8HRS C/COL 3%</t>
  </si>
  <si>
    <t>210</t>
  </si>
  <si>
    <t>V213 DURAMAX  6201S</t>
  </si>
  <si>
    <t>213</t>
  </si>
  <si>
    <t>V214 C/FIBRA METAL Y POLIPROP</t>
  </si>
  <si>
    <t>214</t>
  </si>
  <si>
    <t>V216 C/FIBRA Y COLOR</t>
  </si>
  <si>
    <t>216</t>
  </si>
  <si>
    <t>V21B 600 MILL C/FIBRA</t>
  </si>
  <si>
    <t>21B</t>
  </si>
  <si>
    <t>V21C 600 MILL C/FIBRA Y TEMP CTRL</t>
  </si>
  <si>
    <t>21C</t>
  </si>
  <si>
    <t>V21E ANTIBAC</t>
  </si>
  <si>
    <t>21E</t>
  </si>
  <si>
    <t>V21I DURAMAX 5307D4S</t>
  </si>
  <si>
    <t>21I</t>
  </si>
  <si>
    <t>V21J ANTIBAC ESTABILIZADO</t>
  </si>
  <si>
    <t>21J</t>
  </si>
  <si>
    <t>V21P DURAMAX 9357HOT</t>
  </si>
  <si>
    <t>21P</t>
  </si>
  <si>
    <t>V21Q ANTIDESLAVE</t>
  </si>
  <si>
    <t>21Q</t>
  </si>
  <si>
    <t>V21S APARENTE CCAV</t>
  </si>
  <si>
    <t>21S</t>
  </si>
  <si>
    <t>V21W C/20KG DE FIBRA METALICA</t>
  </si>
  <si>
    <t>21W</t>
  </si>
  <si>
    <t>V21X C/20KG FIBRA MET Y TEMP CTRL</t>
  </si>
  <si>
    <t>21X</t>
  </si>
  <si>
    <t>V21Y C/AIRE</t>
  </si>
  <si>
    <t>21Y</t>
  </si>
  <si>
    <t>V221 DURAMAX 9457O</t>
  </si>
  <si>
    <t>221</t>
  </si>
  <si>
    <t>V222 ESTABILIZADO 8HRS C/FIB POLIPRO</t>
  </si>
  <si>
    <t>222</t>
  </si>
  <si>
    <t>V22E LANZADO VIA HUMEDA</t>
  </si>
  <si>
    <t>22E</t>
  </si>
  <si>
    <t>V22F LANZADO VIA SECA</t>
  </si>
  <si>
    <t>22F</t>
  </si>
  <si>
    <t>V22G LANZADO VIA SECA C/FIBRA</t>
  </si>
  <si>
    <t>22G</t>
  </si>
  <si>
    <t>V22I MORTERO 1:3 C/IMPER</t>
  </si>
  <si>
    <t>22I</t>
  </si>
  <si>
    <t>V22K PESO VOLUMETRICO 2500 KG/M3</t>
  </si>
  <si>
    <t>22K</t>
  </si>
  <si>
    <t>V22O REVENIMIENTO TOTAL</t>
  </si>
  <si>
    <t>22O</t>
  </si>
  <si>
    <t>V22T REVENIMIENTO TOTAL C/IMPER</t>
  </si>
  <si>
    <t>22T</t>
  </si>
  <si>
    <t>V22W DURAMAX 7427AJ1S</t>
  </si>
  <si>
    <t>22W</t>
  </si>
  <si>
    <t>V23F TRAB EXTENDIDA 6HRS</t>
  </si>
  <si>
    <t>23F</t>
  </si>
  <si>
    <t>V23G TRAB EXTENDIDA 8HRS</t>
  </si>
  <si>
    <t>23G</t>
  </si>
  <si>
    <t>V23H DURAMAX 4207I</t>
  </si>
  <si>
    <t>23H</t>
  </si>
  <si>
    <t>V23I DURAMAX 4207O</t>
  </si>
  <si>
    <t>23I</t>
  </si>
  <si>
    <t>V23K  DURAMAX 3207D5</t>
  </si>
  <si>
    <t>23K</t>
  </si>
  <si>
    <t>V23L MORTERO 1:8</t>
  </si>
  <si>
    <t>23L</t>
  </si>
  <si>
    <t>V23M MORTERO 1:4</t>
  </si>
  <si>
    <t>23M</t>
  </si>
  <si>
    <t>V23N DURAMAX 5307D5</t>
  </si>
  <si>
    <t>23N</t>
  </si>
  <si>
    <t>V23O MORTERO 1:3</t>
  </si>
  <si>
    <t>23O</t>
  </si>
  <si>
    <t>V23P MORTERO 1:3 C/FIBRA</t>
  </si>
  <si>
    <t>23P</t>
  </si>
  <si>
    <t>V23R DURAMAX 3207D5S</t>
  </si>
  <si>
    <t>23R</t>
  </si>
  <si>
    <t>V23S DURAMAX 5307D5S</t>
  </si>
  <si>
    <t>23S</t>
  </si>
  <si>
    <t>V23U DURAMAX 8457O</t>
  </si>
  <si>
    <t>23U</t>
  </si>
  <si>
    <t>V23V MORTERO 1:5 ESTABILIZADO 12HR</t>
  </si>
  <si>
    <t>23V</t>
  </si>
  <si>
    <t>V23W MORTERO 1:5 ESTABILIZADO 8HR</t>
  </si>
  <si>
    <t>23W</t>
  </si>
  <si>
    <t>V23X DURAMAX 6407AB</t>
  </si>
  <si>
    <t>23X</t>
  </si>
  <si>
    <t>V241 DURAMAX 7427AS</t>
  </si>
  <si>
    <t>241</t>
  </si>
  <si>
    <t>V242 DURAMAX 42501</t>
  </si>
  <si>
    <t>242</t>
  </si>
  <si>
    <t>V244 REVENIMIENTO TOTAL 36HR-70%</t>
  </si>
  <si>
    <t>244</t>
  </si>
  <si>
    <t>V245 DURAMAX 5227S</t>
  </si>
  <si>
    <t>245</t>
  </si>
  <si>
    <t>V246 LANZADO VIA HUMEDA A/C 0.45</t>
  </si>
  <si>
    <t>246</t>
  </si>
  <si>
    <t>V247 DURAMAX 6357D5</t>
  </si>
  <si>
    <t>247</t>
  </si>
  <si>
    <t>V24A DURAMAX 6357D5S</t>
  </si>
  <si>
    <t>24A</t>
  </si>
  <si>
    <t>V24B ANTIBAC RELACION A/C 0.45</t>
  </si>
  <si>
    <t>24B</t>
  </si>
  <si>
    <t>V24C ANTIBAC C/AIRE INCLUIDO Y FIBRA</t>
  </si>
  <si>
    <t>24C</t>
  </si>
  <si>
    <t>V24D  DURAMAX 6407A</t>
  </si>
  <si>
    <t>24D</t>
  </si>
  <si>
    <t>V24G DURAMAX 6351OS</t>
  </si>
  <si>
    <t>24G</t>
  </si>
  <si>
    <t>V24I ANTIBAC BLANCO</t>
  </si>
  <si>
    <t>24I</t>
  </si>
  <si>
    <t>V24L DURAMAX 7451OS</t>
  </si>
  <si>
    <t>24L</t>
  </si>
  <si>
    <t>V24M DURAMAX 6457AC1</t>
  </si>
  <si>
    <t>24M</t>
  </si>
  <si>
    <t>V24N DURAMAX 6437A</t>
  </si>
  <si>
    <t>24N</t>
  </si>
  <si>
    <t>V24O REDUCRACK C/HIDRATIUM</t>
  </si>
  <si>
    <t>24O</t>
  </si>
  <si>
    <t>V24Q DURAMAX 6427S</t>
  </si>
  <si>
    <t>24Q</t>
  </si>
  <si>
    <t>V24R DURAMAX 42001</t>
  </si>
  <si>
    <t>24R</t>
  </si>
  <si>
    <t>V24T DURAMAX 6301D4EF</t>
  </si>
  <si>
    <t>24T</t>
  </si>
  <si>
    <t>V24U PERVIA C/COLOR</t>
  </si>
  <si>
    <t>24U</t>
  </si>
  <si>
    <t>V24V DURAMAX 4257I</t>
  </si>
  <si>
    <t>24V</t>
  </si>
  <si>
    <t>V24Z DURAMAX 63517IO</t>
  </si>
  <si>
    <t>24Z</t>
  </si>
  <si>
    <t>V250 DURAMAX 5257OS</t>
  </si>
  <si>
    <t>250</t>
  </si>
  <si>
    <t>V251 DURAMAX 7407D5S</t>
  </si>
  <si>
    <t>251</t>
  </si>
  <si>
    <t>V252 500 MILL</t>
  </si>
  <si>
    <t>252</t>
  </si>
  <si>
    <t>V253 DISTANCIA EXTRAORDINARIA C/FIBRA</t>
  </si>
  <si>
    <t>253</t>
  </si>
  <si>
    <t>V255 C/15KG DE FIBRA METALICA</t>
  </si>
  <si>
    <t>255</t>
  </si>
  <si>
    <t>V256 C/40KG DE FIBRA METALICA</t>
  </si>
  <si>
    <t>256</t>
  </si>
  <si>
    <t>V257 DURAMAX 5401AB</t>
  </si>
  <si>
    <t>257</t>
  </si>
  <si>
    <t>V258 DURAMAX 7427A</t>
  </si>
  <si>
    <t>258</t>
  </si>
  <si>
    <t>V259 DURAMAX 5357GO</t>
  </si>
  <si>
    <t>259</t>
  </si>
  <si>
    <t>V25A DURAMX 52417</t>
  </si>
  <si>
    <t>25A</t>
  </si>
  <si>
    <t>V25C 450 MILL C/COLOR, FIBRA Y TEMP CTRL</t>
  </si>
  <si>
    <t>25C</t>
  </si>
  <si>
    <t>V25D DURAMAX 6221S</t>
  </si>
  <si>
    <t>25D</t>
  </si>
  <si>
    <t>V25F DURAMAX 8907D3</t>
  </si>
  <si>
    <t>25F</t>
  </si>
  <si>
    <t>V25H DURAMAX 5301AD4</t>
  </si>
  <si>
    <t>25H</t>
  </si>
  <si>
    <t>V25K DURAMAX 5301A</t>
  </si>
  <si>
    <t>25K</t>
  </si>
  <si>
    <t>V25L DURAMAX 5241</t>
  </si>
  <si>
    <t>25L</t>
  </si>
  <si>
    <t>V25M ESTABILIZADO 3HRS C/IMPER</t>
  </si>
  <si>
    <t>25M</t>
  </si>
  <si>
    <t>V25N DURAMAX 4207C2N</t>
  </si>
  <si>
    <t>25N</t>
  </si>
  <si>
    <t>V25O DURAMAX 5201D5</t>
  </si>
  <si>
    <t>25O</t>
  </si>
  <si>
    <t>V25P 650 MILL</t>
  </si>
  <si>
    <t>25P</t>
  </si>
  <si>
    <t>V25Q DURAMAX 7421S</t>
  </si>
  <si>
    <t>25Q</t>
  </si>
  <si>
    <t>V25R DURAMAX 9907D3</t>
  </si>
  <si>
    <t>25R</t>
  </si>
  <si>
    <t>V25S DURAMAX 6207D1</t>
  </si>
  <si>
    <t>25S</t>
  </si>
  <si>
    <t>V25T DURAMAX 7527BT</t>
  </si>
  <si>
    <t>25T</t>
  </si>
  <si>
    <t>V25U DURAMAX 7527BC2</t>
  </si>
  <si>
    <t>25U</t>
  </si>
  <si>
    <t>V25V C/COLOR FIBRA Y TEMP CTRL</t>
  </si>
  <si>
    <t>25V</t>
  </si>
  <si>
    <t>V25X DURAMAX 5251I</t>
  </si>
  <si>
    <t>25X</t>
  </si>
  <si>
    <t>V25Y 500 MILL C/FIBRA</t>
  </si>
  <si>
    <t>25Y</t>
  </si>
  <si>
    <t>V25Z 450 MILL C/COLOR Y FIBRA POLIPROP</t>
  </si>
  <si>
    <t>25Z</t>
  </si>
  <si>
    <t>V260 DURAMAX 8457C2OY</t>
  </si>
  <si>
    <t>V261 DURAMAX 6357O</t>
  </si>
  <si>
    <t>261</t>
  </si>
  <si>
    <t>V262 600 MILL REL A/C 0.60</t>
  </si>
  <si>
    <t>262</t>
  </si>
  <si>
    <t>V263 DURAMAX 5251OT</t>
  </si>
  <si>
    <t>263</t>
  </si>
  <si>
    <t>V265 DURAMAX 6457EF</t>
  </si>
  <si>
    <t>265</t>
  </si>
  <si>
    <t>V266 DURAMAX 6457T</t>
  </si>
  <si>
    <t>266</t>
  </si>
  <si>
    <t>V267 DURAMAX 3201C2S</t>
  </si>
  <si>
    <t>267</t>
  </si>
  <si>
    <t>V268 DURAMAX 7327AD2EJ4</t>
  </si>
  <si>
    <t>268</t>
  </si>
  <si>
    <t>V269 DURAMAX 7227D2EJ4</t>
  </si>
  <si>
    <t>269</t>
  </si>
  <si>
    <t>V26A DURAMAX 6327J4</t>
  </si>
  <si>
    <t>26A</t>
  </si>
  <si>
    <t>V26B DURAMAX 7327AD4EJ4</t>
  </si>
  <si>
    <t>26B</t>
  </si>
  <si>
    <t>V26C DURAMAX 6327J4O</t>
  </si>
  <si>
    <t>26C</t>
  </si>
  <si>
    <t>V26D 450 MILL A DISTANCIA EXTRAORDINARIA</t>
  </si>
  <si>
    <t>26D</t>
  </si>
  <si>
    <t>V26E DURAMAX 5221A</t>
  </si>
  <si>
    <t>26E</t>
  </si>
  <si>
    <t>V26G 450 MILL C/HIDRATIUM</t>
  </si>
  <si>
    <t>26G</t>
  </si>
  <si>
    <t>V26I 1850 KG/M3 EDO SECO</t>
  </si>
  <si>
    <t>26I</t>
  </si>
  <si>
    <t>V26K 600 MILL REL A/C 0.60 C/FIBRA</t>
  </si>
  <si>
    <t>26K</t>
  </si>
  <si>
    <t>V26L DURAMAX 9327</t>
  </si>
  <si>
    <t>26L</t>
  </si>
  <si>
    <t>V26M 450 MILL A/C 0.50</t>
  </si>
  <si>
    <t>26M</t>
  </si>
  <si>
    <t>V26N 600 MILL C/TEMP CTRL</t>
  </si>
  <si>
    <t>26N</t>
  </si>
  <si>
    <t>V26O ANTIBAC C/AIRE INCLUIDO 6%</t>
  </si>
  <si>
    <t>26O</t>
  </si>
  <si>
    <t>V26S DURAMAX 8327T</t>
  </si>
  <si>
    <t>26S</t>
  </si>
  <si>
    <t>V26T  DURAMAX 8327</t>
  </si>
  <si>
    <t>26T</t>
  </si>
  <si>
    <t>V26V DURAMAX 52201</t>
  </si>
  <si>
    <t>26V</t>
  </si>
  <si>
    <t>V26W DURAMAX 52201S</t>
  </si>
  <si>
    <t>26W</t>
  </si>
  <si>
    <t>V26X DURAMAX 53201</t>
  </si>
  <si>
    <t>26X</t>
  </si>
  <si>
    <t>V26Y DURAMX 53201S</t>
  </si>
  <si>
    <t>26Y</t>
  </si>
  <si>
    <t>V270 DURAMAX 54201</t>
  </si>
  <si>
    <t>270</t>
  </si>
  <si>
    <t>V271 DURAMAX 54201S</t>
  </si>
  <si>
    <t>271</t>
  </si>
  <si>
    <t>V272 DURAMAX 64517</t>
  </si>
  <si>
    <t>272</t>
  </si>
  <si>
    <t>V274 DURAMAX 4251ST</t>
  </si>
  <si>
    <t>274</t>
  </si>
  <si>
    <t>V275 DURAMAX 7407E</t>
  </si>
  <si>
    <t>275</t>
  </si>
  <si>
    <t>V276 DURAMAX 7301</t>
  </si>
  <si>
    <t>276</t>
  </si>
  <si>
    <t>V277 AUTONIVELANTE</t>
  </si>
  <si>
    <t>277</t>
  </si>
  <si>
    <t>V278 DURAMAX 4407O</t>
  </si>
  <si>
    <t>278</t>
  </si>
  <si>
    <t>V279 DURAMAX  7207S</t>
  </si>
  <si>
    <t>279</t>
  </si>
  <si>
    <t>V27A DURAMAX 5351S</t>
  </si>
  <si>
    <t>27A</t>
  </si>
  <si>
    <t>V27B DURAMAX 9357ABOS</t>
  </si>
  <si>
    <t>27B</t>
  </si>
  <si>
    <t>V27C DURAMAX 6457IO</t>
  </si>
  <si>
    <t>27C</t>
  </si>
  <si>
    <t>V27D DURAMAX 5227BO</t>
  </si>
  <si>
    <t>27D</t>
  </si>
  <si>
    <t>V27G C/POLIESTIRENO</t>
  </si>
  <si>
    <t>27G</t>
  </si>
  <si>
    <t>V27I DURAMAX 52217</t>
  </si>
  <si>
    <t>27I</t>
  </si>
  <si>
    <t>V27J DURAMAX 4251OT</t>
  </si>
  <si>
    <t>27J</t>
  </si>
  <si>
    <t>V27K DURAMAX 5327OST</t>
  </si>
  <si>
    <t>27K</t>
  </si>
  <si>
    <t>V27L DURAMAX 6457CT</t>
  </si>
  <si>
    <t>27L</t>
  </si>
  <si>
    <t>V27M DURAMAX 5307S</t>
  </si>
  <si>
    <t>27M</t>
  </si>
  <si>
    <t>V27N DURAMAX 6557</t>
  </si>
  <si>
    <t>27N</t>
  </si>
  <si>
    <t>V27P ESTABILIZADO 8HRS C/IMPER</t>
  </si>
  <si>
    <t>27P</t>
  </si>
  <si>
    <t>V27Q DURAMAX 6607S</t>
  </si>
  <si>
    <t>27Q</t>
  </si>
  <si>
    <t>V27R REL A/C 0.64</t>
  </si>
  <si>
    <t>27R</t>
  </si>
  <si>
    <t>V27S REL A/C 0.47</t>
  </si>
  <si>
    <t>27S</t>
  </si>
  <si>
    <t>V27T REL A/C 0.47 C/TEMP CTRL</t>
  </si>
  <si>
    <t>27T</t>
  </si>
  <si>
    <t>V27U DURAMAX 5207D5S</t>
  </si>
  <si>
    <t>27U</t>
  </si>
  <si>
    <t>V27V ESTABILIZADO C/COLOR</t>
  </si>
  <si>
    <t>27V</t>
  </si>
  <si>
    <t>V27W DURAMAX 5207D5</t>
  </si>
  <si>
    <t>27W</t>
  </si>
  <si>
    <t>V27X DURAMAX 5201D6</t>
  </si>
  <si>
    <t>27X</t>
  </si>
  <si>
    <t>V281 DURAMAX 6201D6</t>
  </si>
  <si>
    <t>281</t>
  </si>
  <si>
    <t>V282 MODULO ELÁSTICO 11000</t>
  </si>
  <si>
    <t>282</t>
  </si>
  <si>
    <t>V283 450 MILL C/REDUCRACK E HIDRATIUM</t>
  </si>
  <si>
    <t>283</t>
  </si>
  <si>
    <t>V285 C/FIBRA Y EXCLUSOR DE AIRE</t>
  </si>
  <si>
    <t>285</t>
  </si>
  <si>
    <t>V286 DURAMAX 6407C2O</t>
  </si>
  <si>
    <t>286</t>
  </si>
  <si>
    <t>V288 DURAMAX 5207O</t>
  </si>
  <si>
    <t>288</t>
  </si>
  <si>
    <t>V28B PESO VOLUMETRICO 1600 KG/M3 C/FIBRA</t>
  </si>
  <si>
    <t>28B</t>
  </si>
  <si>
    <t>V28C DURAMAX 7251</t>
  </si>
  <si>
    <t>28C</t>
  </si>
  <si>
    <t>V28D SUMINISTRADO PLANTA CLIENTE</t>
  </si>
  <si>
    <t>28D</t>
  </si>
  <si>
    <t>V28E MORTERO 1:2</t>
  </si>
  <si>
    <t>28E</t>
  </si>
  <si>
    <t>V28F RAPIDO, 75% A 12 HORAS</t>
  </si>
  <si>
    <t>28F</t>
  </si>
  <si>
    <t>V28G DURAMAX 5357G</t>
  </si>
  <si>
    <t>28G</t>
  </si>
  <si>
    <t>V28H ESTABILIZADO 10HRS</t>
  </si>
  <si>
    <t>28H</t>
  </si>
  <si>
    <t>V28L ANTIBAC ESTABILIZADO 4HR</t>
  </si>
  <si>
    <t>28L</t>
  </si>
  <si>
    <t>V28M DURAMAX 5351AJ2</t>
  </si>
  <si>
    <t>28M</t>
  </si>
  <si>
    <t>V28P ANTIBAC C/COLOR</t>
  </si>
  <si>
    <t>28P</t>
  </si>
  <si>
    <t>V28Q ANTIBAC APARENTE</t>
  </si>
  <si>
    <t>28Q</t>
  </si>
  <si>
    <t>V28R ANTIBAC DISTANCIA EXTRAORDINARIA</t>
  </si>
  <si>
    <t>28R</t>
  </si>
  <si>
    <t>V28S BLANCO C/HIDRATIUM</t>
  </si>
  <si>
    <t>28S</t>
  </si>
  <si>
    <t>V28T ANTIDESLAVE C/SUPERFLUIDIZANTE</t>
  </si>
  <si>
    <t>28T</t>
  </si>
  <si>
    <t>V28V REDUCRACK C/ANTITERMITA</t>
  </si>
  <si>
    <t>28V</t>
  </si>
  <si>
    <t>V28X LANZADO VIA HUMEDA C/MICROSILICA 5%</t>
  </si>
  <si>
    <t>28X</t>
  </si>
  <si>
    <t>V28Y 650  MILL C/REL A/C 0.50</t>
  </si>
  <si>
    <t>28Y</t>
  </si>
  <si>
    <t>V293 DURAMAX 7407O</t>
  </si>
  <si>
    <t>293</t>
  </si>
  <si>
    <t>V294 TRAB EXTENDIDA 6HRS APARENTE</t>
  </si>
  <si>
    <t>294</t>
  </si>
  <si>
    <t>V296 DURAMAX 7427C2T</t>
  </si>
  <si>
    <t>296</t>
  </si>
  <si>
    <t>V29E INCLUSOR DE AIRE /ANTITERMITA/ HID</t>
  </si>
  <si>
    <t>29E</t>
  </si>
  <si>
    <t>V29N ANTIBAC C/IMPER Y AIRE INCLUIDO</t>
  </si>
  <si>
    <t>29N</t>
  </si>
  <si>
    <t>V29Q CREA</t>
  </si>
  <si>
    <t>29Q</t>
  </si>
  <si>
    <t>V29R CREA C/FIBRA</t>
  </si>
  <si>
    <t>29R</t>
  </si>
  <si>
    <t>V2AB  ANTIBAC C/FIBRA E IMPER</t>
  </si>
  <si>
    <t>2AB</t>
  </si>
  <si>
    <t>V2AI LANZADO VIA HUMEDA C/TEMP CTRL</t>
  </si>
  <si>
    <t>2AI</t>
  </si>
  <si>
    <t>V2AJ DURAMAX 5327B</t>
  </si>
  <si>
    <t>2AJ</t>
  </si>
  <si>
    <t>V2AL DIST EXT 2HRS C/IMP Y POLIPROPILENO</t>
  </si>
  <si>
    <t>2AL</t>
  </si>
  <si>
    <t>V2AN DURAMAX 5327BS</t>
  </si>
  <si>
    <t>2AN</t>
  </si>
  <si>
    <t>V2AO ANTIDERRAPANTE CON ARENA SILICA</t>
  </si>
  <si>
    <t>2AO</t>
  </si>
  <si>
    <t>V2AP 500 MILL C/COLOR Y FIBRA</t>
  </si>
  <si>
    <t>2AP</t>
  </si>
  <si>
    <t>V2AT DURAMAX 5227BS</t>
  </si>
  <si>
    <t>2AT</t>
  </si>
  <si>
    <t>V2AV ANTIDESLAVE C/ESTAB. DE VOLUMEN</t>
  </si>
  <si>
    <t>2AV</t>
  </si>
  <si>
    <t>2AW TRABAJABILIDAD EXT 6HRS C/IMPER</t>
  </si>
  <si>
    <t>2AW</t>
  </si>
  <si>
    <t>V2B0 DURAMAX 4357O</t>
  </si>
  <si>
    <t>2B0</t>
  </si>
  <si>
    <t>V2B1 CREA C/HIDRATIUM</t>
  </si>
  <si>
    <t>2B1</t>
  </si>
  <si>
    <t>V2B4 600 MILL C/REDUCRACK</t>
  </si>
  <si>
    <t>2B4</t>
  </si>
  <si>
    <t>V2B5 650 MILL C/FIBRA</t>
  </si>
  <si>
    <t>2B5</t>
  </si>
  <si>
    <t>V2B6 AXC</t>
  </si>
  <si>
    <t>2B6</t>
  </si>
  <si>
    <t>V2B7 AXC C/HIDRATIUM</t>
  </si>
  <si>
    <t>2B7</t>
  </si>
  <si>
    <t>V2B8 C/ACELERANTE SIN CLORUROS</t>
  </si>
  <si>
    <t>2B8</t>
  </si>
  <si>
    <t>V2B9 AXC C/TEMP CTRL</t>
  </si>
  <si>
    <t>2B9</t>
  </si>
  <si>
    <t>V2BA ANTIHONGO</t>
  </si>
  <si>
    <t>2BA</t>
  </si>
  <si>
    <t>V2BB AXC C/FIBRA E HIDRATIUM</t>
  </si>
  <si>
    <t>2BB</t>
  </si>
  <si>
    <t>V2BD DURAMAX 5227O</t>
  </si>
  <si>
    <t>2BD</t>
  </si>
  <si>
    <t>V2BE DURAMAX 4221ST</t>
  </si>
  <si>
    <t>2BE</t>
  </si>
  <si>
    <t>V2BF DURAMAX  3321</t>
  </si>
  <si>
    <t>2BF</t>
  </si>
  <si>
    <t>V2BG  DURAMAX 6427A</t>
  </si>
  <si>
    <t>2BG</t>
  </si>
  <si>
    <t>V2BH DURAMAX 5327O</t>
  </si>
  <si>
    <t>2BH</t>
  </si>
  <si>
    <t>V2BI DURAMAX 6351O</t>
  </si>
  <si>
    <t>2BI</t>
  </si>
  <si>
    <t>V2BJ DURAMAX 7537C2</t>
  </si>
  <si>
    <t>2BJ</t>
  </si>
  <si>
    <t>V2BK DURAMAX 7451O</t>
  </si>
  <si>
    <t>2BK</t>
  </si>
  <si>
    <t>V2BL DURAMAX 6457BEF</t>
  </si>
  <si>
    <t>2BL</t>
  </si>
  <si>
    <t>V2BM REDUCRACK/HID/HIELO</t>
  </si>
  <si>
    <t>2BM</t>
  </si>
  <si>
    <t>V2BN DURAMAX 7327A</t>
  </si>
  <si>
    <t>2BN</t>
  </si>
  <si>
    <t>V2BP GROUT</t>
  </si>
  <si>
    <t>2BP</t>
  </si>
  <si>
    <t>V2BQ DURAMAX 6227O</t>
  </si>
  <si>
    <t>2BQ</t>
  </si>
  <si>
    <t>V2BS DURAMAX 4250F</t>
  </si>
  <si>
    <t>2BS</t>
  </si>
  <si>
    <t>V2BT DURAMAX 5350</t>
  </si>
  <si>
    <t>2BT</t>
  </si>
  <si>
    <t>V2BU DURAMAX  6257AT</t>
  </si>
  <si>
    <t>2BU</t>
  </si>
  <si>
    <t>V2BV ANTITERMITA</t>
  </si>
  <si>
    <t>2BV</t>
  </si>
  <si>
    <t>DURAMAX 6407AC2OY</t>
  </si>
  <si>
    <t>2BZ</t>
  </si>
  <si>
    <t>V2C2 AUTONIVELANTE ESTABILIZADO 4HRS</t>
  </si>
  <si>
    <t>2C2</t>
  </si>
  <si>
    <t>V2C5 DURAMAX  7207F</t>
  </si>
  <si>
    <t>2C5</t>
  </si>
  <si>
    <t>V2C6 DURAMAX 5301T</t>
  </si>
  <si>
    <t>2C6</t>
  </si>
  <si>
    <t>V2C7 DURAMAX 5301D4T</t>
  </si>
  <si>
    <t>2C7</t>
  </si>
  <si>
    <t>V2C8 DURAMAX 3201D4T</t>
  </si>
  <si>
    <t>2C8</t>
  </si>
  <si>
    <t>V2CA LANZADO VIA HUMEDA C/FIBRA</t>
  </si>
  <si>
    <t>2CA</t>
  </si>
  <si>
    <t>V2CB DURAMAX 8427AS</t>
  </si>
  <si>
    <t>2CB</t>
  </si>
  <si>
    <t>V2CC DURAMAX 8427A</t>
  </si>
  <si>
    <t>2CC</t>
  </si>
  <si>
    <t>V2CD DURAMAX 3247</t>
  </si>
  <si>
    <t>2CD</t>
  </si>
  <si>
    <t>V2CF DURAMAX 6207ST</t>
  </si>
  <si>
    <t>2CF</t>
  </si>
  <si>
    <t>V2CG DURAMAX 6307ST</t>
  </si>
  <si>
    <t>2CG</t>
  </si>
  <si>
    <t>V2CH DURAMAX 6407ST</t>
  </si>
  <si>
    <t>2CH</t>
  </si>
  <si>
    <t>V2CI DURAMAX 5207G</t>
  </si>
  <si>
    <t>2CI</t>
  </si>
  <si>
    <t>V2CK DURAMAX 8407AS</t>
  </si>
  <si>
    <t>2CK</t>
  </si>
  <si>
    <t>V2CL DURAMAX 8407A</t>
  </si>
  <si>
    <t>2CL</t>
  </si>
  <si>
    <t>V2CM PESO VOLUMETRICO 3000 KG/M3 C/FIBRA</t>
  </si>
  <si>
    <t>2CM</t>
  </si>
  <si>
    <t>V2CN MODULO ELASTICO 14000</t>
  </si>
  <si>
    <t>2CN</t>
  </si>
  <si>
    <t>V2CR  450 MILL C/IMPER</t>
  </si>
  <si>
    <t>2CR</t>
  </si>
  <si>
    <t>V2CS 450 MILL C/IMPER Y FIBRA</t>
  </si>
  <si>
    <t>2CS</t>
  </si>
  <si>
    <t>V2CT ESTABILIZADO 8HRS C/AGREG ESPECIAL</t>
  </si>
  <si>
    <t>2CT</t>
  </si>
  <si>
    <t>V2CU PESO VOLUMETRICO 1700 KG/M3 C/IMPER</t>
  </si>
  <si>
    <t>2CU</t>
  </si>
  <si>
    <t>V2CV DURAMAX 7507I</t>
  </si>
  <si>
    <t>2CV</t>
  </si>
  <si>
    <t>V2CW DURAMAX 5207I</t>
  </si>
  <si>
    <t>2CW</t>
  </si>
  <si>
    <t>V2CX REL A/C 0.50 C/TEMP CTRL 32 C</t>
  </si>
  <si>
    <t>2CX</t>
  </si>
  <si>
    <t>V2D0 PESO VOLUMETRICO 1800 KG/M3 C/PERLITA</t>
  </si>
  <si>
    <t>2D0</t>
  </si>
  <si>
    <t>V2DB DURAMAX 6207C1S</t>
  </si>
  <si>
    <t>2DB</t>
  </si>
  <si>
    <t>V2DE DURAMAX 7427AIS</t>
  </si>
  <si>
    <t>2DE</t>
  </si>
  <si>
    <t>V2DH TRAB EXTENDIDA 7HRS</t>
  </si>
  <si>
    <t>2DH</t>
  </si>
  <si>
    <t>V2DI ANTITERMITA ESTABILIZADO A 3 HRS</t>
  </si>
  <si>
    <t>2DI</t>
  </si>
  <si>
    <t>V2DJ 400 MILLONESIMAS</t>
  </si>
  <si>
    <t>2DJ</t>
  </si>
  <si>
    <t>V2DK ESTABILIZADO C/COLOR E IMPER</t>
  </si>
  <si>
    <t>2DK</t>
  </si>
  <si>
    <t>V2DL DURAMAX 5251O</t>
  </si>
  <si>
    <t>2DL</t>
  </si>
  <si>
    <t>V2DM HIDRATIUM C/IMPER</t>
  </si>
  <si>
    <t>2DM</t>
  </si>
  <si>
    <t>V2DN DURAMAX 7407D5</t>
  </si>
  <si>
    <t>2DN</t>
  </si>
  <si>
    <t>DURAMAX 7327AD4 2DP</t>
  </si>
  <si>
    <t>2DP</t>
  </si>
  <si>
    <t>V2DQ DURAMAX 7227A</t>
  </si>
  <si>
    <t>2DQ</t>
  </si>
  <si>
    <t>DURAMAX 8307FO</t>
  </si>
  <si>
    <t>2DR</t>
  </si>
  <si>
    <t>V2DS DURAMAX 7527C2S</t>
  </si>
  <si>
    <t>2DS</t>
  </si>
  <si>
    <t>V2DT TEMP CTRL, REL A/C 0.50 E HIDRATIUM</t>
  </si>
  <si>
    <t>2DT</t>
  </si>
  <si>
    <t>V2DU DURAMAX 5427AJ2Y</t>
  </si>
  <si>
    <t>2DU</t>
  </si>
  <si>
    <t>V2DV DURAMAX 8607S</t>
  </si>
  <si>
    <t>2DV</t>
  </si>
  <si>
    <t>V2E0 DURAMAX 7427HO</t>
  </si>
  <si>
    <t>2E0</t>
  </si>
  <si>
    <t>V2E1 C/ 1.5% DE AIRE</t>
  </si>
  <si>
    <t>2E1</t>
  </si>
  <si>
    <t>V2E3 650 MILL C/IMPER</t>
  </si>
  <si>
    <t>2E3</t>
  </si>
  <si>
    <t>V2E5 CREA C/IMPER</t>
  </si>
  <si>
    <t>2E5</t>
  </si>
  <si>
    <t>V2E7 MORTERO 1:5</t>
  </si>
  <si>
    <t>2E7</t>
  </si>
  <si>
    <t>V2E8 LANZADO VIA HUMEDA A/C 0.40</t>
  </si>
  <si>
    <t>2E8</t>
  </si>
  <si>
    <t>V2E9 TRAB EXTENDIDA 6HR C/FIBRA</t>
  </si>
  <si>
    <t>2E9</t>
  </si>
  <si>
    <t>V2EC INHIBIDOR DE CORROSION E IMPER</t>
  </si>
  <si>
    <t>2EC</t>
  </si>
  <si>
    <t>V2ED HIDRATIUM RELACION A/C 0.45</t>
  </si>
  <si>
    <t>2ED</t>
  </si>
  <si>
    <t>V2EE CONCRETO SD-40</t>
  </si>
  <si>
    <t>2EE</t>
  </si>
  <si>
    <t>V2EF CONCRETO SD-20</t>
  </si>
  <si>
    <t>2EF</t>
  </si>
  <si>
    <t>V2EG CONCRETO SD-40L</t>
  </si>
  <si>
    <t>2EG</t>
  </si>
  <si>
    <t>V2EM ESTABILIZADO 4HRS C/YESO</t>
  </si>
  <si>
    <t>2EM</t>
  </si>
  <si>
    <t>V2ES 600 MILLONESIMAS C/HIDRATIUM</t>
  </si>
  <si>
    <t>2ES</t>
  </si>
  <si>
    <t>V2ET ESTABILIZADO 12HRS C/COL CAFÉ</t>
  </si>
  <si>
    <t>2ET</t>
  </si>
  <si>
    <t>V2EU ESTABILIZADO 12HRS C/COL AMARILLO</t>
  </si>
  <si>
    <t>2EU</t>
  </si>
  <si>
    <t>V2EY COLOR NARANJA OXIDO C/FIBRA</t>
  </si>
  <si>
    <t>2EY</t>
  </si>
  <si>
    <t>V2F5 CREA C/HIDRATIUM Y FIB</t>
  </si>
  <si>
    <t>2F5</t>
  </si>
  <si>
    <t>V2F6 650 MILL C/CTRL TEMP Y FIB METAL</t>
  </si>
  <si>
    <t>2F6</t>
  </si>
  <si>
    <t>V2F7 DURAMAX 6407AOS</t>
  </si>
  <si>
    <t>2F7</t>
  </si>
  <si>
    <t>V2FI TRAB EXTENDIDA 6HRS C/FIBRA Y TEMP CTRL</t>
  </si>
  <si>
    <t>2FI</t>
  </si>
  <si>
    <t>V2FJ HIDRATIUM C/ANTITERMITA</t>
  </si>
  <si>
    <t>2FJ</t>
  </si>
  <si>
    <t>V2FK HIDRATIUM C/ANTITERMITA Y FIB</t>
  </si>
  <si>
    <t>2FK</t>
  </si>
  <si>
    <t>V2FO ANTITERMITA C/IMER</t>
  </si>
  <si>
    <t>2FO</t>
  </si>
  <si>
    <t>V2FX ESTABILIZADO 3HRS C/COLOR</t>
  </si>
  <si>
    <t>2FX</t>
  </si>
  <si>
    <t>V2G2 C/FIBRA, IMPER Y CENIZA VOL</t>
  </si>
  <si>
    <t>2G2</t>
  </si>
  <si>
    <t>V2G7 ANTIDESLAVE T EXT 5HRS</t>
  </si>
  <si>
    <t>2G7</t>
  </si>
  <si>
    <t>V2GB</t>
  </si>
  <si>
    <t>2GB</t>
  </si>
  <si>
    <t>V2GC TRAB EXT 5 HRS C/TEMP CTRL,RESIST A SULFATOS</t>
  </si>
  <si>
    <t>2GC</t>
  </si>
  <si>
    <t>V2GD TRAB EXT 3 HRS C/REV TOTAL</t>
  </si>
  <si>
    <t>2GD</t>
  </si>
  <si>
    <t>V2GF 600 MILL REL A/C 0.50</t>
  </si>
  <si>
    <t>2GF</t>
  </si>
  <si>
    <t>V2GI 650 MILL C/FIBRA E HIDRATIUM</t>
  </si>
  <si>
    <t>2GI</t>
  </si>
  <si>
    <t>V2GK 600 MILL 90DIAS C/FIB, DIST EXT 2HRS</t>
  </si>
  <si>
    <t>2GK</t>
  </si>
  <si>
    <t>V2GM TRAB EXT 3HRS TEMP CTRL 23</t>
  </si>
  <si>
    <t>2GM</t>
  </si>
  <si>
    <t>V2GN TRAB EXT 3HRS TEMP CTRL 27</t>
  </si>
  <si>
    <t>2GN</t>
  </si>
  <si>
    <t>V2GO TRAB EXT 3HRS TEMP CTRL 32</t>
  </si>
  <si>
    <t>2GO</t>
  </si>
  <si>
    <t>V2GP TRAB EXT 3HRS C/IMPER Y TEMP CTRL 23</t>
  </si>
  <si>
    <t>2GP</t>
  </si>
  <si>
    <t>V2GQ TRAB EXT 3HRS C/IMPER Y TEMP CTRL 27</t>
  </si>
  <si>
    <t>2GQ</t>
  </si>
  <si>
    <t>V2GR TRAB EXT 3HRS C/IMPER Y TEMP CTRL 32</t>
  </si>
  <si>
    <t>2GR</t>
  </si>
  <si>
    <t>V2GV C/MICROSILICA E IMPER</t>
  </si>
  <si>
    <t>2GV</t>
  </si>
  <si>
    <t>V2GX 800 MILLONESIMAS</t>
  </si>
  <si>
    <t>2GX</t>
  </si>
  <si>
    <t>V2GZ RELACION A/C 0.50 C/FIBRA</t>
  </si>
  <si>
    <t>2GZ</t>
  </si>
  <si>
    <t>V2H0 RELACION A/C 0.45 C/FIBRA</t>
  </si>
  <si>
    <t>2H0</t>
  </si>
  <si>
    <t>V2H2 PESO VOLUMETRICO 2800 kg/M3</t>
  </si>
  <si>
    <t>2H2</t>
  </si>
  <si>
    <t>V2H3 MORTERO 1:4 C/IMPER</t>
  </si>
  <si>
    <t>2H3</t>
  </si>
  <si>
    <t>V2H4 DURAMAX 4557S</t>
  </si>
  <si>
    <t>2H4</t>
  </si>
  <si>
    <t>V2H5 DURAMAX 4257OY</t>
  </si>
  <si>
    <t>2H5</t>
  </si>
  <si>
    <t>V2H6 DURAMAX 4207OY</t>
  </si>
  <si>
    <t>2H6</t>
  </si>
  <si>
    <t>V2H7 DURAMAX 5207OY</t>
  </si>
  <si>
    <t>2H7</t>
  </si>
  <si>
    <t>V2H8 DURAMAX 4207Y</t>
  </si>
  <si>
    <t>2H8</t>
  </si>
  <si>
    <t>V2H9 RESISTENTE A SULFATOS A/C 0.50</t>
  </si>
  <si>
    <t>2H9</t>
  </si>
  <si>
    <t>V2PV DURAMAX 7207O</t>
  </si>
  <si>
    <t>2PV</t>
  </si>
  <si>
    <t>V304 ANTIDERRAPANTE C/ARENA SILICA</t>
  </si>
  <si>
    <t>304</t>
  </si>
  <si>
    <t>V306 APARENTE C/ARENA LAVADA</t>
  </si>
  <si>
    <t>306</t>
  </si>
  <si>
    <t>V309 ARQUITECTONICO BLANCO</t>
  </si>
  <si>
    <t>309</t>
  </si>
  <si>
    <t>V30C ART 10HRS-14KG C/FIBRA</t>
  </si>
  <si>
    <t>30C</t>
  </si>
  <si>
    <t>V30E DURAMAX 5407S</t>
  </si>
  <si>
    <t>30E</t>
  </si>
  <si>
    <t>V30F DURAMAX 3251BI</t>
  </si>
  <si>
    <t>30F</t>
  </si>
  <si>
    <t>V30G DURAMAX 72517A</t>
  </si>
  <si>
    <t>30G</t>
  </si>
  <si>
    <t>V30H ART 36HRS-70%</t>
  </si>
  <si>
    <t>30H</t>
  </si>
  <si>
    <t>V30I DURAMAX 73517A</t>
  </si>
  <si>
    <t>30I</t>
  </si>
  <si>
    <t>V30J DURAMAX 5301FO</t>
  </si>
  <si>
    <t>30J</t>
  </si>
  <si>
    <t>V30O AUTOCOMPACTADO ALTA RESISTENCIA</t>
  </si>
  <si>
    <t>30O</t>
  </si>
  <si>
    <t>V30P AUTOCOMPACTADO ANTIBAC</t>
  </si>
  <si>
    <t>30P</t>
  </si>
  <si>
    <t>V30Q DURAMAX 5221S</t>
  </si>
  <si>
    <t>30Q</t>
  </si>
  <si>
    <t>V30Z AUTOCOMPACTADO C/PUZOLANA Y FIBRA</t>
  </si>
  <si>
    <t>30Z</t>
  </si>
  <si>
    <t>V311 AUTOCOMPACTADO ESP P/VIVIENDA</t>
  </si>
  <si>
    <t>311</t>
  </si>
  <si>
    <t>V312 AUTOCOMPACTADO ESPECIAL</t>
  </si>
  <si>
    <t>312</t>
  </si>
  <si>
    <t>V313 AUTOCOMPACTADO PIZOLANICO C/IMPER</t>
  </si>
  <si>
    <t>313</t>
  </si>
  <si>
    <t>V315 AUTOCOMPACTADO SMI</t>
  </si>
  <si>
    <t>315</t>
  </si>
  <si>
    <t>V317 BLANCO APARENTE</t>
  </si>
  <si>
    <t>317</t>
  </si>
  <si>
    <t>V318 BLANCO APARENTE C/IMPER</t>
  </si>
  <si>
    <t>318</t>
  </si>
  <si>
    <t>V319 C/ACELERANTE</t>
  </si>
  <si>
    <t>319</t>
  </si>
  <si>
    <t>V31A C/COLOR</t>
  </si>
  <si>
    <t>31A</t>
  </si>
  <si>
    <t>V31B C/COLOR 1.5%</t>
  </si>
  <si>
    <t>31B</t>
  </si>
  <si>
    <t>V31C C/COLOR 10%</t>
  </si>
  <si>
    <t>31C</t>
  </si>
  <si>
    <t>V31D C/COLOR 10% Y FIBRA</t>
  </si>
  <si>
    <t>31D</t>
  </si>
  <si>
    <t>V31E C/COLOR 2.5%</t>
  </si>
  <si>
    <t>31E</t>
  </si>
  <si>
    <t>V31F C/COLOR 3%</t>
  </si>
  <si>
    <t>31F</t>
  </si>
  <si>
    <t>V31G C/COLOR 3% Y FIBRA</t>
  </si>
  <si>
    <t>31G</t>
  </si>
  <si>
    <t>V31H C/COLOR 4%</t>
  </si>
  <si>
    <t>31H</t>
  </si>
  <si>
    <t>V31I C/COLOR 5%</t>
  </si>
  <si>
    <t>31I</t>
  </si>
  <si>
    <t>V31J C/COLOR 6% Y FIBRA</t>
  </si>
  <si>
    <t>31J</t>
  </si>
  <si>
    <t>V31K C/COLOR 8%</t>
  </si>
  <si>
    <t>31K</t>
  </si>
  <si>
    <t>V31L C/COLOR CAFE CLARO</t>
  </si>
  <si>
    <t>31L</t>
  </si>
  <si>
    <t>V31M C/COLOR E HIDRATIUM</t>
  </si>
  <si>
    <t>31M</t>
  </si>
  <si>
    <t>V31N C/COLOR E IMPERMEABILIZANTE</t>
  </si>
  <si>
    <t>31N</t>
  </si>
  <si>
    <t>V31O C/COLOR ROJO</t>
  </si>
  <si>
    <t>31O</t>
  </si>
  <si>
    <t>V31P C/COLOR Y FIBRA</t>
  </si>
  <si>
    <t>31P</t>
  </si>
  <si>
    <t>V31Q C/COLOR, HIDRATIUM Y FIBRA</t>
  </si>
  <si>
    <t>31Q</t>
  </si>
  <si>
    <t>V31R C/ESTAB DE VOLUMEN</t>
  </si>
  <si>
    <t>31R</t>
  </si>
  <si>
    <t>V31Y C/GRAVA Y ARENA DE MARMOL</t>
  </si>
  <si>
    <t>31Y</t>
  </si>
  <si>
    <t>V31Z C/HIELO</t>
  </si>
  <si>
    <t>31Z</t>
  </si>
  <si>
    <t>V320 C/HUMO DE SILICE</t>
  </si>
  <si>
    <t>320</t>
  </si>
  <si>
    <t>V321 C/IMPER</t>
  </si>
  <si>
    <t>321</t>
  </si>
  <si>
    <t>V322 C/SUPERFLUIDIZANTE</t>
  </si>
  <si>
    <t>322</t>
  </si>
  <si>
    <t>V323 C/SUPERFLUIDIZANTE Y TEMP CTRL</t>
  </si>
  <si>
    <t>323</t>
  </si>
  <si>
    <t>V327 CAE ESP SELLO FIDE NO. 4460 LIGERO</t>
  </si>
  <si>
    <t>327</t>
  </si>
  <si>
    <t>V32B COLOR AMARILLO</t>
  </si>
  <si>
    <t>32B</t>
  </si>
  <si>
    <t>V32C COLOR AMARILLO 3%</t>
  </si>
  <si>
    <t>32C</t>
  </si>
  <si>
    <t>V32D COLOR AMARILLO C/HIDRATIUM</t>
  </si>
  <si>
    <t>32D</t>
  </si>
  <si>
    <t>V32G COLOR AMARILLO C/FIBRA</t>
  </si>
  <si>
    <t>32G</t>
  </si>
  <si>
    <t>V32H COLOR ANTIQUE CORK</t>
  </si>
  <si>
    <t>32H</t>
  </si>
  <si>
    <t>V32K COLOR AZUL</t>
  </si>
  <si>
    <t>32K</t>
  </si>
  <si>
    <t>V32L COLOR BARCELONA BROWN</t>
  </si>
  <si>
    <t>32L</t>
  </si>
  <si>
    <t>V32M COLOR BEIGE</t>
  </si>
  <si>
    <t>32M</t>
  </si>
  <si>
    <t>V32N COLOR CAFE</t>
  </si>
  <si>
    <t>32N</t>
  </si>
  <si>
    <t>V32O COLOR CAFE 3%</t>
  </si>
  <si>
    <t>32O</t>
  </si>
  <si>
    <t>V32P COLOR CAFE 4%</t>
  </si>
  <si>
    <t>32P</t>
  </si>
  <si>
    <t>V32Q COLOR CAFE CHOCOLATE</t>
  </si>
  <si>
    <t>32Q</t>
  </si>
  <si>
    <t>V32R COLOR CAFE OSCURO</t>
  </si>
  <si>
    <t>32R</t>
  </si>
  <si>
    <t>V32S COLOR CANTERA</t>
  </si>
  <si>
    <t>32S</t>
  </si>
  <si>
    <t>V331 COLOR NEGRO</t>
  </si>
  <si>
    <t>331</t>
  </si>
  <si>
    <t>V332 COLOR NEGRO 2%</t>
  </si>
  <si>
    <t>332</t>
  </si>
  <si>
    <t>V333 COLOR NEGRO 4%</t>
  </si>
  <si>
    <t>333</t>
  </si>
  <si>
    <t>V334 COLOR NEGRO 5%</t>
  </si>
  <si>
    <t>334</t>
  </si>
  <si>
    <t>V335 COLOR NEGRO OXIDO 3%</t>
  </si>
  <si>
    <t>335</t>
  </si>
  <si>
    <t>V337 COLOR ROJO 4%</t>
  </si>
  <si>
    <t>337</t>
  </si>
  <si>
    <t>V338 COLOR ROJO C/FIBRA</t>
  </si>
  <si>
    <t>338</t>
  </si>
  <si>
    <t>V339 COLOR ROJO C/HIDRATIUM</t>
  </si>
  <si>
    <t>339</t>
  </si>
  <si>
    <t>V33B COLOR ROJO MEDIO</t>
  </si>
  <si>
    <t>33B</t>
  </si>
  <si>
    <t>V33D COLOR ROJO OXIDO</t>
  </si>
  <si>
    <t>33D</t>
  </si>
  <si>
    <t>V33J CREA 4HRS-6KG</t>
  </si>
  <si>
    <t>33J</t>
  </si>
  <si>
    <t>V33M DURAMAX 3101 16HRS-40%</t>
  </si>
  <si>
    <t>33M</t>
  </si>
  <si>
    <t>V33O DURAMAX 3101 TRAB EXT 3HRS</t>
  </si>
  <si>
    <t>33O</t>
  </si>
  <si>
    <t>V33P DURAMAX 3107</t>
  </si>
  <si>
    <t>33P</t>
  </si>
  <si>
    <t>V33Q DURAMAX 3107B</t>
  </si>
  <si>
    <t>33Q</t>
  </si>
  <si>
    <t>V33R DURAMAX 3121</t>
  </si>
  <si>
    <t>33R</t>
  </si>
  <si>
    <t>V33T DURAMAX 3151</t>
  </si>
  <si>
    <t>33T</t>
  </si>
  <si>
    <t>V33V DURAMAX 3201</t>
  </si>
  <si>
    <t>33V</t>
  </si>
  <si>
    <t>V33Y DURAMAX 3201 TRAB EXT 3HRS A1204</t>
  </si>
  <si>
    <t>33Y</t>
  </si>
  <si>
    <t>V33Z DURAMAX 3201B</t>
  </si>
  <si>
    <t>33Z</t>
  </si>
  <si>
    <t>V340 DURAMAX 3201BF</t>
  </si>
  <si>
    <t>340</t>
  </si>
  <si>
    <t>V341 DURAMAX 3201F</t>
  </si>
  <si>
    <t>341</t>
  </si>
  <si>
    <t>V343 DURAMAX 3201M</t>
  </si>
  <si>
    <t>343</t>
  </si>
  <si>
    <t>V344 DURAMAX 3207</t>
  </si>
  <si>
    <t>344</t>
  </si>
  <si>
    <t>V345 DURAMAX 3231</t>
  </si>
  <si>
    <t>345</t>
  </si>
  <si>
    <t>V346 DURAMAX 3251</t>
  </si>
  <si>
    <t>346</t>
  </si>
  <si>
    <t>V348 DURAMAX 4201</t>
  </si>
  <si>
    <t>348</t>
  </si>
  <si>
    <t>V34B DURAMAX 4201DM</t>
  </si>
  <si>
    <t>34B</t>
  </si>
  <si>
    <t>V34C DURAMAX 4201F</t>
  </si>
  <si>
    <t>34C</t>
  </si>
  <si>
    <t>V34D DURAMAX 4201I</t>
  </si>
  <si>
    <t>34D</t>
  </si>
  <si>
    <t>V34E DURAMAX 4201M</t>
  </si>
  <si>
    <t>34E</t>
  </si>
  <si>
    <t>V34F DURAMAX 4207DM</t>
  </si>
  <si>
    <t>34F</t>
  </si>
  <si>
    <t>V34H DURAMAX 4251</t>
  </si>
  <si>
    <t>34H</t>
  </si>
  <si>
    <t>V34I DURAMAX 4251 C/TEMP CTRL 20°</t>
  </si>
  <si>
    <t>34I</t>
  </si>
  <si>
    <t>V34J DURAMAX 4251B</t>
  </si>
  <si>
    <t>34J</t>
  </si>
  <si>
    <t>V34L DURAMAX 4257</t>
  </si>
  <si>
    <t>34L</t>
  </si>
  <si>
    <t>V34N DURAMAX 4301</t>
  </si>
  <si>
    <t>34N</t>
  </si>
  <si>
    <t>V34Q DURAMAX 4351</t>
  </si>
  <si>
    <t>34Q</t>
  </si>
  <si>
    <t>V34T DURAMAX 5201</t>
  </si>
  <si>
    <t>34T</t>
  </si>
  <si>
    <t>V34W DURAMAX 5201FE</t>
  </si>
  <si>
    <t>34W</t>
  </si>
  <si>
    <t>V34X DURAMAX 5207</t>
  </si>
  <si>
    <t>34X</t>
  </si>
  <si>
    <t>V34Y DURAMAX 5221</t>
  </si>
  <si>
    <t>34Y</t>
  </si>
  <si>
    <t>V34Z DURAMAX 5227</t>
  </si>
  <si>
    <t>34Z</t>
  </si>
  <si>
    <t>V351 DURAMAX 5231</t>
  </si>
  <si>
    <t>351</t>
  </si>
  <si>
    <t>V352 DURAMAX 5251F</t>
  </si>
  <si>
    <t>352</t>
  </si>
  <si>
    <t>V354 DURAMAX 5257M</t>
  </si>
  <si>
    <t>354</t>
  </si>
  <si>
    <t>V355 DURAMAX 5301</t>
  </si>
  <si>
    <t>355</t>
  </si>
  <si>
    <t>V358 DURAMAX 5301B</t>
  </si>
  <si>
    <t>358</t>
  </si>
  <si>
    <t>V359 DURAMAX 5301D3</t>
  </si>
  <si>
    <t>359</t>
  </si>
  <si>
    <t>V35A DURAMAX 5321</t>
  </si>
  <si>
    <t>35A</t>
  </si>
  <si>
    <t>V35C DURAMAX 5331</t>
  </si>
  <si>
    <t>35C</t>
  </si>
  <si>
    <t>V35E DURAMAX 5351</t>
  </si>
  <si>
    <t>35E</t>
  </si>
  <si>
    <t>V35F DURAMAX 5351F</t>
  </si>
  <si>
    <t>35F</t>
  </si>
  <si>
    <t>V35G DURAMAX 5357</t>
  </si>
  <si>
    <t>35G</t>
  </si>
  <si>
    <t>V35H DURAMAX 5401EF</t>
  </si>
  <si>
    <t>35H</t>
  </si>
  <si>
    <t>V35I DURAMAX 5421</t>
  </si>
  <si>
    <t>35I</t>
  </si>
  <si>
    <t>V35L DURAMAX 6201</t>
  </si>
  <si>
    <t>35L</t>
  </si>
  <si>
    <t>V35M DURAMAX 6307</t>
  </si>
  <si>
    <t>35M</t>
  </si>
  <si>
    <t>V35P DURAMAX 6327</t>
  </si>
  <si>
    <t>35P</t>
  </si>
  <si>
    <t>V35Q DURAMAX 6331</t>
  </si>
  <si>
    <t>35Q</t>
  </si>
  <si>
    <t>V35S DURAMAX 6357</t>
  </si>
  <si>
    <t>35S</t>
  </si>
  <si>
    <t>V35T DURAMAX 6357M</t>
  </si>
  <si>
    <t>35T</t>
  </si>
  <si>
    <t>V35U DURAMAX 6407</t>
  </si>
  <si>
    <t>35U</t>
  </si>
  <si>
    <t>V35W DURAMAX 6427</t>
  </si>
  <si>
    <t>35W</t>
  </si>
  <si>
    <t>V35X DURAMAX 6431</t>
  </si>
  <si>
    <t>35X</t>
  </si>
  <si>
    <t>V35Y DURAMAX 6431F</t>
  </si>
  <si>
    <t>35Y</t>
  </si>
  <si>
    <t>V35Z DURAMAX 6437</t>
  </si>
  <si>
    <t>35Z</t>
  </si>
  <si>
    <t>V360 DURAMAX 6437AJ1</t>
  </si>
  <si>
    <t>360</t>
  </si>
  <si>
    <t>V361 DURAMAX 6451</t>
  </si>
  <si>
    <t>361</t>
  </si>
  <si>
    <t>V363 DURAMAX 6457AJ1</t>
  </si>
  <si>
    <t>363</t>
  </si>
  <si>
    <t>V366 DURAMAX 6457M</t>
  </si>
  <si>
    <t>366</t>
  </si>
  <si>
    <t>V369 DURAMAX 7407DM</t>
  </si>
  <si>
    <t>369</t>
  </si>
  <si>
    <t>V36A DURAMAX 7437</t>
  </si>
  <si>
    <t>36A</t>
  </si>
  <si>
    <t>V36C DURAMAX 7437AC1J2</t>
  </si>
  <si>
    <t>36C</t>
  </si>
  <si>
    <t>V36D DURAMAX 7437AJ2</t>
  </si>
  <si>
    <t>36D</t>
  </si>
  <si>
    <t>V36F DURAMAX 7437C2</t>
  </si>
  <si>
    <t>36F</t>
  </si>
  <si>
    <t>V36H DURAMAX 7457C1</t>
  </si>
  <si>
    <t>36H</t>
  </si>
  <si>
    <t>V36I DURAMAX 7457M</t>
  </si>
  <si>
    <t>36I</t>
  </si>
  <si>
    <t>V36J DURAMAX 8237</t>
  </si>
  <si>
    <t>36J</t>
  </si>
  <si>
    <t>V36K DURAMAX 8357EM</t>
  </si>
  <si>
    <t>36K</t>
  </si>
  <si>
    <t>V36M DURAMAX 7427AJ2</t>
  </si>
  <si>
    <t>36M</t>
  </si>
  <si>
    <t>V36Q GORICRETO AUTOCOMPACTADO</t>
  </si>
  <si>
    <t>36Q</t>
  </si>
  <si>
    <t>V36R GRIS C/GRAVA DE MARMOL</t>
  </si>
  <si>
    <t>36R</t>
  </si>
  <si>
    <t>V36T HIDRATIUM</t>
  </si>
  <si>
    <t>36T</t>
  </si>
  <si>
    <t>V36U HIDRATIUM 72HRS-70%</t>
  </si>
  <si>
    <t>36U</t>
  </si>
  <si>
    <t>V36V HIDRATIUM A DISTANCIA EXTRAORD</t>
  </si>
  <si>
    <t>36V</t>
  </si>
  <si>
    <t>V36W HIDRATIUM ANTIDERRAPANTE C/ARENA SIL</t>
  </si>
  <si>
    <t>36W</t>
  </si>
  <si>
    <t>V36X HIDRATIUM APARENTE</t>
  </si>
  <si>
    <t>36X</t>
  </si>
  <si>
    <t>V36Y HIDRATIUM C/ARENA LAVADA</t>
  </si>
  <si>
    <t>36Y</t>
  </si>
  <si>
    <t>V370 HIDRATIUM C/FIBRA E IMPER</t>
  </si>
  <si>
    <t>370</t>
  </si>
  <si>
    <t>V371 HIDRATIUM C/FIBRA Y TEMP CTRL</t>
  </si>
  <si>
    <t>371</t>
  </si>
  <si>
    <t>V373 HIDRATIUM C/RETARDANTE</t>
  </si>
  <si>
    <t>373</t>
  </si>
  <si>
    <t>V374 HIDRATIUM C/TEMP CTRL</t>
  </si>
  <si>
    <t>374</t>
  </si>
  <si>
    <t>V375 HIDRATIUM ESTAMPADO</t>
  </si>
  <si>
    <t>375</t>
  </si>
  <si>
    <t>V376 HIDRATIUM P/VIVIENDA</t>
  </si>
  <si>
    <t>376</t>
  </si>
  <si>
    <t>V377 HIDRATIUM PROYECTO LINEA 3</t>
  </si>
  <si>
    <t>377</t>
  </si>
  <si>
    <t>V378 HIDRATIUM RELACION A/C 0.459</t>
  </si>
  <si>
    <t>378</t>
  </si>
  <si>
    <t>V379 HIDRATIUM RELACION G/A ESPECIAL</t>
  </si>
  <si>
    <t>379</t>
  </si>
  <si>
    <t>V37A IMPERCEM</t>
  </si>
  <si>
    <t>37A</t>
  </si>
  <si>
    <t>V37B IMPERCEM C/FIBRA TRAB EXTEN 3HRS</t>
  </si>
  <si>
    <t>37B</t>
  </si>
  <si>
    <t>V37D IMPERCEM C/HIDRATIUM</t>
  </si>
  <si>
    <t>37D</t>
  </si>
  <si>
    <t>V37E IMPERCEM C/HIDRATIUM Y FIBRA</t>
  </si>
  <si>
    <t>37E</t>
  </si>
  <si>
    <t>V37F IMPERCEM P/VIVIENDA</t>
  </si>
  <si>
    <t>37F</t>
  </si>
  <si>
    <t>V37G IMPERCEM P/VIVIENDA C/HIDRATIUM</t>
  </si>
  <si>
    <t>37G</t>
  </si>
  <si>
    <t>V37K MORTERO LIGERO</t>
  </si>
  <si>
    <t>37K</t>
  </si>
  <si>
    <t>V37P PESO VOLUMETRICO 1000 KG/M3</t>
  </si>
  <si>
    <t>37P</t>
  </si>
  <si>
    <t>V37Q PESO VOLUMETRICO 1200 KG/M3</t>
  </si>
  <si>
    <t>37Q</t>
  </si>
  <si>
    <t>V37R PESO VOLUMETRICO 1300 KG/M3</t>
  </si>
  <si>
    <t>37R</t>
  </si>
  <si>
    <t>V37S PESO VOLUMETRICO 1400 KG/M3</t>
  </si>
  <si>
    <t>37S</t>
  </si>
  <si>
    <t>V37T PESO VOLUMETRICO 1450 KG/M3</t>
  </si>
  <si>
    <t>37T</t>
  </si>
  <si>
    <t>V37U PESO VOLUMETRICO 1500 KG/M3</t>
  </si>
  <si>
    <t>37U</t>
  </si>
  <si>
    <t>V37V PESO VOLUMETRICO 1500 KG/M3 C/FIB POLI</t>
  </si>
  <si>
    <t>37V</t>
  </si>
  <si>
    <t>V37W PESO VOLUMETRICO 1600 KG/M3</t>
  </si>
  <si>
    <t>37W</t>
  </si>
  <si>
    <t>V37X PESO VOLUMETRICO 1600 KG/M3 C/IMPER</t>
  </si>
  <si>
    <t>37X</t>
  </si>
  <si>
    <t>V37Y PESO VOLUMETRICO 1700 KG/M3</t>
  </si>
  <si>
    <t>37Y</t>
  </si>
  <si>
    <t>V380 PESO VOLUMETRICO 1700 KG/M3 C/FIBRA</t>
  </si>
  <si>
    <t>380</t>
  </si>
  <si>
    <t>V381 PESO VOLUMETRICO 1800 KG/M3</t>
  </si>
  <si>
    <t>381</t>
  </si>
  <si>
    <t>V382 PESO VOLUMETRICO 1800 KG/M3 C/FIBRA</t>
  </si>
  <si>
    <t>382</t>
  </si>
  <si>
    <t>V383 PESO VOLUMETRICO 1850 KG/M3</t>
  </si>
  <si>
    <t>383</t>
  </si>
  <si>
    <t>V384 PESO VOLUMETRICO 1850 KG/M3 TRA EX 3H</t>
  </si>
  <si>
    <t>384</t>
  </si>
  <si>
    <t>V385 PESO VOLUMETRICO 1900 KG/M3</t>
  </si>
  <si>
    <t>385</t>
  </si>
  <si>
    <t>V386 PESO VOLUMETRICO 1900 KG/M3 C/FIBRA</t>
  </si>
  <si>
    <t>386</t>
  </si>
  <si>
    <t>V387 PESO VOLUMETRICO 1900 KG/M3 C/IMPER</t>
  </si>
  <si>
    <t>387</t>
  </si>
  <si>
    <t>V388 PESO VOLUMETRICO 1800 KG/M3 C/FIBRA E IMPER</t>
  </si>
  <si>
    <t>388</t>
  </si>
  <si>
    <t>V38A PUZOLANICO C/COLOR E IMPER</t>
  </si>
  <si>
    <t>38A</t>
  </si>
  <si>
    <t>V38D RAPIDO C/FIBRA</t>
  </si>
  <si>
    <t>38D</t>
  </si>
  <si>
    <t>V38E RELACION A/C 0.40 C/TEMP CTRL 32°C MAX</t>
  </si>
  <si>
    <t>38E</t>
  </si>
  <si>
    <t>V38J RELLENO FLUIDO LIGERO</t>
  </si>
  <si>
    <t>38J</t>
  </si>
  <si>
    <t>V38L SIN CLORUROS</t>
  </si>
  <si>
    <t>38L</t>
  </si>
  <si>
    <t>V38M SMO</t>
  </si>
  <si>
    <t>38M</t>
  </si>
  <si>
    <t>V38R SMO C/ESTAB VOL</t>
  </si>
  <si>
    <t>38R</t>
  </si>
  <si>
    <t>V38S TRAB EXTENDIDA 3HR</t>
  </si>
  <si>
    <t>38S</t>
  </si>
  <si>
    <t>V38T URBANO</t>
  </si>
  <si>
    <t>38T</t>
  </si>
  <si>
    <t>V38W DURAMAX 4201B</t>
  </si>
  <si>
    <t>38W</t>
  </si>
  <si>
    <t>V38Y DURAMAX 5301E</t>
  </si>
  <si>
    <t>38Y</t>
  </si>
  <si>
    <t>V392 IMPERCEM C/FIBRA</t>
  </si>
  <si>
    <t>392</t>
  </si>
  <si>
    <t>V393 DURAMAX 4207</t>
  </si>
  <si>
    <t>393</t>
  </si>
  <si>
    <t>V396 COLOR CAFE MEDIO</t>
  </si>
  <si>
    <t>396</t>
  </si>
  <si>
    <t>V397 COLOR BEIGE CLARO</t>
  </si>
  <si>
    <t>397</t>
  </si>
  <si>
    <t>V398 C/COLOR 8% Y FIBRA</t>
  </si>
  <si>
    <t>398</t>
  </si>
  <si>
    <t>V399 COLOR TERRACOTA</t>
  </si>
  <si>
    <t>399</t>
  </si>
  <si>
    <t>V39B COLOR TERRACOTA C/FIBRA</t>
  </si>
  <si>
    <t>39B</t>
  </si>
  <si>
    <t>V39C COLOR GRIS C/ FIBRA</t>
  </si>
  <si>
    <t>39C</t>
  </si>
  <si>
    <t>V39D C/COLOR 6% E IMPER</t>
  </si>
  <si>
    <t>39D</t>
  </si>
  <si>
    <t>V39E C/ARENA DE MARMOL</t>
  </si>
  <si>
    <t>39E</t>
  </si>
  <si>
    <t>V39F COLOR ROSA C/ FIBRA</t>
  </si>
  <si>
    <t>39F</t>
  </si>
  <si>
    <t>V39H C/COLOR 6%</t>
  </si>
  <si>
    <t>39H</t>
  </si>
  <si>
    <t>V39J COLOR AZUL 3%</t>
  </si>
  <si>
    <t>39J</t>
  </si>
  <si>
    <t>V39K COLOR CAFE C/FIBRA</t>
  </si>
  <si>
    <t>39K</t>
  </si>
  <si>
    <t>V39M C/COLOR 3.5%</t>
  </si>
  <si>
    <t>39M</t>
  </si>
  <si>
    <t>V39N COLOR NARANJA</t>
  </si>
  <si>
    <t>39N</t>
  </si>
  <si>
    <t>V39P HIDRATIUM PUZOLANICO</t>
  </si>
  <si>
    <t>39P</t>
  </si>
  <si>
    <t>V39Q IMPERCEM TRAB EXTENDIDA 4HR</t>
  </si>
  <si>
    <t>39Q</t>
  </si>
  <si>
    <t>V39R COLOR BEIGE CLARO C/FIBRA</t>
  </si>
  <si>
    <t>39R</t>
  </si>
  <si>
    <t>V39S COLOR ROSA</t>
  </si>
  <si>
    <t>39S</t>
  </si>
  <si>
    <t>V39T COLOR NEGRO 7%</t>
  </si>
  <si>
    <t>39T</t>
  </si>
  <si>
    <t>V39U COL. MORADO.</t>
  </si>
  <si>
    <t>39U</t>
  </si>
  <si>
    <t>V3A1 COLOR 8% CNP</t>
  </si>
  <si>
    <t>3A1</t>
  </si>
  <si>
    <t>V3A5 COLOR VERDE MEDIO</t>
  </si>
  <si>
    <t>3A5</t>
  </si>
  <si>
    <t>V3A6 COLOR VERDE</t>
  </si>
  <si>
    <t>3A6</t>
  </si>
  <si>
    <t>V3A9 COLOR VERDE C/FIBRA</t>
  </si>
  <si>
    <t>3A9</t>
  </si>
  <si>
    <t>V3AD DURAMAX 3307O</t>
  </si>
  <si>
    <t>3AD</t>
  </si>
  <si>
    <t>V3AG HIDRATIUM  C/TEMP CTRL 32°</t>
  </si>
  <si>
    <t>3AG</t>
  </si>
  <si>
    <t>V3AI CURADO A VAPOR</t>
  </si>
  <si>
    <t>3AI</t>
  </si>
  <si>
    <t>V3AK ART 1-200KG</t>
  </si>
  <si>
    <t>3AK</t>
  </si>
  <si>
    <t>V3AO C/RETARDANTE DE FRAG Y SUPERFLUID</t>
  </si>
  <si>
    <t>3AO</t>
  </si>
  <si>
    <t>V3AR ART 1-90%</t>
  </si>
  <si>
    <t>3AR</t>
  </si>
  <si>
    <t>V3AU SEMIMASIVO C/TEMP CTRL</t>
  </si>
  <si>
    <t>3AU</t>
  </si>
  <si>
    <t>V3BA C/20KG DE FIBRA METALIC</t>
  </si>
  <si>
    <t>3BA</t>
  </si>
  <si>
    <t>V3BF COLOR NEGRO C/FIBRA</t>
  </si>
  <si>
    <t>3BF</t>
  </si>
  <si>
    <t>V3BH C/COLOR Y TEMP CTRL</t>
  </si>
  <si>
    <t>3BH</t>
  </si>
  <si>
    <t>V3BI COLOR BRIDGEPORT BEIGE</t>
  </si>
  <si>
    <t>3BI</t>
  </si>
  <si>
    <t>V3BR COLOR SONORA</t>
  </si>
  <si>
    <t>3BR</t>
  </si>
  <si>
    <t>V3BU HIDRATIUM P/PAVIMENTADORA ESP</t>
  </si>
  <si>
    <t>3BU</t>
  </si>
  <si>
    <t>V3CJ RELACION A/C 0.46</t>
  </si>
  <si>
    <t>3CJ</t>
  </si>
  <si>
    <t>V3CL P/TEMPERATURAS BAJAS</t>
  </si>
  <si>
    <t>3CL</t>
  </si>
  <si>
    <t>V3CR C/15KG DE FIBRA METAL</t>
  </si>
  <si>
    <t>3CR</t>
  </si>
  <si>
    <t>V3CT A LA FLEXION</t>
  </si>
  <si>
    <t>3CT</t>
  </si>
  <si>
    <t>V3CU COLOR LADRILLO</t>
  </si>
  <si>
    <t>3CU</t>
  </si>
  <si>
    <t>V3CV PESO VOLUMETRICO 1100 KG/M3</t>
  </si>
  <si>
    <t>3CV</t>
  </si>
  <si>
    <t>V3CZ PESO VOL 1900 KG/M3 TRAB EX 3H</t>
  </si>
  <si>
    <t>3CZ</t>
  </si>
  <si>
    <t>V3D0 PESO VOL 1800 KG/M3 C/HIDRATIUM</t>
  </si>
  <si>
    <t>3D0</t>
  </si>
  <si>
    <t>V3D1 PESO VOL 800 KG/M3 C/COLOR 4%</t>
  </si>
  <si>
    <t>3D1</t>
  </si>
  <si>
    <t>V3D3 PESO VOL 1800 KG/M3 C/IMPER</t>
  </si>
  <si>
    <t>3D3</t>
  </si>
  <si>
    <t>V3DE C/ACELERANTE Y FIBRA</t>
  </si>
  <si>
    <t>3DE</t>
  </si>
  <si>
    <t>V3DH C/ARENA SILICA</t>
  </si>
  <si>
    <t>3DH</t>
  </si>
  <si>
    <t>V3DJ ESTAMPADO C/FIBRA</t>
  </si>
  <si>
    <t>3DJ</t>
  </si>
  <si>
    <t>V3DM ANTIDERRAPANTE</t>
  </si>
  <si>
    <t>3DM</t>
  </si>
  <si>
    <t>V3E3 DURAMAX 7327AC1O</t>
  </si>
  <si>
    <t>3E3</t>
  </si>
  <si>
    <t>V3E4 COLOR CAFE 6%</t>
  </si>
  <si>
    <t>3E4</t>
  </si>
  <si>
    <t>V3E5 DURAMAX 7427AC1O</t>
  </si>
  <si>
    <t>3E5</t>
  </si>
  <si>
    <t>V3E6 DURAMAX 7257O</t>
  </si>
  <si>
    <t>3E6</t>
  </si>
  <si>
    <t>V3E7 COLOR AMARILLO 2%</t>
  </si>
  <si>
    <t>3E7</t>
  </si>
  <si>
    <t>V3EA DURAMAX 6427ES</t>
  </si>
  <si>
    <t>3EA</t>
  </si>
  <si>
    <t>V3EB TEMP CTRL 26°C REL A/C 0.45</t>
  </si>
  <si>
    <t>3EB</t>
  </si>
  <si>
    <t>V3EC DURAMAX 5207BGOS</t>
  </si>
  <si>
    <t>3EC</t>
  </si>
  <si>
    <t>V3ED COLOR QUARRY RED</t>
  </si>
  <si>
    <t>3ED</t>
  </si>
  <si>
    <t>V3EG DURAMAX 6401S</t>
  </si>
  <si>
    <t>3EG</t>
  </si>
  <si>
    <t>V3EH SD-40 Y REDUCRACK</t>
  </si>
  <si>
    <t>3EH</t>
  </si>
  <si>
    <t>V3EI DURAMAX 6407BS</t>
  </si>
  <si>
    <t>3EI</t>
  </si>
  <si>
    <t>V3EJ DURAMAX 6401AC2</t>
  </si>
  <si>
    <t>3EJ</t>
  </si>
  <si>
    <t>V 3EL REL A/C 0.50 C/TEMP CTRL 28°</t>
  </si>
  <si>
    <t>3EL</t>
  </si>
  <si>
    <t>V3EM DURAMAX 7457C2OS</t>
  </si>
  <si>
    <t>3EM</t>
  </si>
  <si>
    <t>V3EN DURAMAX 7427OW</t>
  </si>
  <si>
    <t>3EN</t>
  </si>
  <si>
    <t>V3EP DURAMAX 7427OSW</t>
  </si>
  <si>
    <t>3EP</t>
  </si>
  <si>
    <t>V3ER DURAMAX 5207OR</t>
  </si>
  <si>
    <t>3ER</t>
  </si>
  <si>
    <t>V3ES C/COLOR 2%</t>
  </si>
  <si>
    <t>3ES</t>
  </si>
  <si>
    <t>V3ET COLOR ADOBE</t>
  </si>
  <si>
    <t>3ET</t>
  </si>
  <si>
    <t>V3EX C/COLOR 2% C/FIBRA</t>
  </si>
  <si>
    <t>3EX</t>
  </si>
  <si>
    <t>V3EZ BLANCO C/IMPER</t>
  </si>
  <si>
    <t>3EZ</t>
  </si>
  <si>
    <t>V3F0 BLANCO C/COLOR</t>
  </si>
  <si>
    <t>3F0</t>
  </si>
  <si>
    <t>V3F3 LANZADO VÍA HUMEDA C/ TEMP CTRL E HIDRATIUM</t>
  </si>
  <si>
    <t>3F3</t>
  </si>
  <si>
    <t>V3F4 DURAMAX 6201I</t>
  </si>
  <si>
    <t>3F4</t>
  </si>
  <si>
    <t>V3F5 COLOR NEGRO C/IMPER</t>
  </si>
  <si>
    <t>3F5</t>
  </si>
  <si>
    <t>V3F6 COLOR STETSON BUFF</t>
  </si>
  <si>
    <t>3F6</t>
  </si>
  <si>
    <t>V3FB C/COLOR 1%</t>
  </si>
  <si>
    <t>3FB</t>
  </si>
  <si>
    <t>V3FC COLOR CAFE 8%</t>
  </si>
  <si>
    <t>3FC</t>
  </si>
  <si>
    <t>V3FD COLOR ROJO OXIDO 6%</t>
  </si>
  <si>
    <t>3FD</t>
  </si>
  <si>
    <t>V3FE COLOR ROJO OXIDO 8%</t>
  </si>
  <si>
    <t>3FE</t>
  </si>
  <si>
    <t>V3FF COLOR ADOBE C/FIBRA E IMPER</t>
  </si>
  <si>
    <t>3FF</t>
  </si>
  <si>
    <t>V3FG COLOR AMARILLO 8%</t>
  </si>
  <si>
    <t>3FG</t>
  </si>
  <si>
    <t>V3FH COLOR ROJO 8%</t>
  </si>
  <si>
    <t>3FH</t>
  </si>
  <si>
    <t>V3FI COLOR VERDE 3%</t>
  </si>
  <si>
    <t>3FI</t>
  </si>
  <si>
    <t>V3FJ COLOR ROJO 6%</t>
  </si>
  <si>
    <t>3FJ</t>
  </si>
  <si>
    <t>V3FP COLOR NARANJA OXIDO</t>
  </si>
  <si>
    <t>3FP</t>
  </si>
  <si>
    <t>V3FQ C/CEMENTO BLANCO</t>
  </si>
  <si>
    <t>3FQ</t>
  </si>
  <si>
    <t>V3FT COLOR NARANJA C/FIBRA</t>
  </si>
  <si>
    <t>3FT</t>
  </si>
  <si>
    <t>V3FU LLANCRETO</t>
  </si>
  <si>
    <t>3FU</t>
  </si>
  <si>
    <t>V3FX CONCRETO GRIS</t>
  </si>
  <si>
    <t>3FX</t>
  </si>
  <si>
    <t>V3FY C/COLOR, IMPER Y TEMP CTRL</t>
  </si>
  <si>
    <t>3FY</t>
  </si>
  <si>
    <t>V3G1 PESO VOL 1800 KG/M3 C/FIBRA</t>
  </si>
  <si>
    <t>3G1</t>
  </si>
  <si>
    <t>V3G3 DURAMAX 3301</t>
  </si>
  <si>
    <t>3G3</t>
  </si>
  <si>
    <t>V3G4 DURAMAX 5331AJ2</t>
  </si>
  <si>
    <t>3G4</t>
  </si>
  <si>
    <t>V3G5 DURAMAX 6421</t>
  </si>
  <si>
    <t>3G5</t>
  </si>
  <si>
    <t>V3G6 DURAMAX 6457..</t>
  </si>
  <si>
    <t>3G6</t>
  </si>
  <si>
    <t>V3G7 DURAMAX 3251M</t>
  </si>
  <si>
    <t>3G7</t>
  </si>
  <si>
    <t>V3G8 DURAMAX 3257</t>
  </si>
  <si>
    <t>3G8</t>
  </si>
  <si>
    <t>V3G9 DURAMAX 7457</t>
  </si>
  <si>
    <t>3G9</t>
  </si>
  <si>
    <t>V3GA DURAMAX 5251</t>
  </si>
  <si>
    <t>3GA</t>
  </si>
  <si>
    <t>V3GB DURAMAX 6227</t>
  </si>
  <si>
    <t>3GB</t>
  </si>
  <si>
    <t>V3GE DURAMAX 6351</t>
  </si>
  <si>
    <t>3GE</t>
  </si>
  <si>
    <t>V3GF DURAMAX REL A/C 0.38 TEM CTRL 30°C</t>
  </si>
  <si>
    <t>3GF</t>
  </si>
  <si>
    <t>V3GG DURAMAX 6321</t>
  </si>
  <si>
    <t>3GG</t>
  </si>
  <si>
    <t>V3GI DURAMAX 5327</t>
  </si>
  <si>
    <t>3GI</t>
  </si>
  <si>
    <t>V3GK DURAMAX 7307</t>
  </si>
  <si>
    <t>3GK</t>
  </si>
  <si>
    <t>V3GN DURAMAX 6307E</t>
  </si>
  <si>
    <t>3GN</t>
  </si>
  <si>
    <t>V3GO DURAMAX 5451</t>
  </si>
  <si>
    <t>3GO</t>
  </si>
  <si>
    <t>V3GQ DURAMAX 7507</t>
  </si>
  <si>
    <t>3GQ</t>
  </si>
  <si>
    <t>V3GS DURAMAX 5301D3 C/TEMP CTRL MASIVO</t>
  </si>
  <si>
    <t>3GS</t>
  </si>
  <si>
    <t>V3GX DURAMAX 5337</t>
  </si>
  <si>
    <t>3GX</t>
  </si>
  <si>
    <t>V3GY DURAMAX 7327</t>
  </si>
  <si>
    <t>3GY</t>
  </si>
  <si>
    <t>V3GZ DURAMAX 5201 TRAB EXT 3HRS</t>
  </si>
  <si>
    <t>3GZ</t>
  </si>
  <si>
    <t>V3H1 DURAMAX 7257 TRAB EXT 3HRS</t>
  </si>
  <si>
    <t>3H1</t>
  </si>
  <si>
    <t>V3H2 DURAMAX 6231</t>
  </si>
  <si>
    <t>3H2</t>
  </si>
  <si>
    <t>V3H5 DURAMAX 3207F</t>
  </si>
  <si>
    <t>3H5</t>
  </si>
  <si>
    <t>V3H6 DURAMAX 4357</t>
  </si>
  <si>
    <t>3H6</t>
  </si>
  <si>
    <t>V3H8 DURAMAX 3201 TRAB EXT 5HRS</t>
  </si>
  <si>
    <t>3H8</t>
  </si>
  <si>
    <t>V3HB DURAMAX 5457</t>
  </si>
  <si>
    <t>3HB</t>
  </si>
  <si>
    <t>V3HF DURAMAX 7201D4</t>
  </si>
  <si>
    <t>3HF</t>
  </si>
  <si>
    <t>V3HG DURAMAX 6251</t>
  </si>
  <si>
    <t>3HG</t>
  </si>
  <si>
    <t>V3HI DURAMAX 8427</t>
  </si>
  <si>
    <t>3HI</t>
  </si>
  <si>
    <t>V3HK DURAMAX 6451EF</t>
  </si>
  <si>
    <t>3HK</t>
  </si>
  <si>
    <t>V3HN DURAMAX 5407</t>
  </si>
  <si>
    <t>3HN</t>
  </si>
  <si>
    <t>V3HO DURAMAX 5257</t>
  </si>
  <si>
    <t>3HO</t>
  </si>
  <si>
    <t>V3HP DURAMAX 4251M</t>
  </si>
  <si>
    <t>3HP</t>
  </si>
  <si>
    <t>V3HS SMO 20HR-80%</t>
  </si>
  <si>
    <t>3HS</t>
  </si>
  <si>
    <t>V3HU COLOR ROJO 7%</t>
  </si>
  <si>
    <t>3HU</t>
  </si>
  <si>
    <t>V3HY C/FIBRA POLIPROP 0.9 KG</t>
  </si>
  <si>
    <t>3HY</t>
  </si>
  <si>
    <t>V3I1 DURAMAX 7457C2</t>
  </si>
  <si>
    <t>3I1</t>
  </si>
  <si>
    <t>V3I4 DURAMAX 6347</t>
  </si>
  <si>
    <t>3I4</t>
  </si>
  <si>
    <t>V3I7 DURAMAX 6247</t>
  </si>
  <si>
    <t>3I7</t>
  </si>
  <si>
    <t>V3I9 CONCRETOS SIN FINOS C/COLOR  4%</t>
  </si>
  <si>
    <t>3I9</t>
  </si>
  <si>
    <t>V3IA CONCRETOS SIN FINOS C/COLOR  6%</t>
  </si>
  <si>
    <t>3IA</t>
  </si>
  <si>
    <t>V3IB CONCRETOS SIN FINOS C/COLOR  8%</t>
  </si>
  <si>
    <t>3IB</t>
  </si>
  <si>
    <t>V3IC CONCRETOS SIN FINOS C/COLOR</t>
  </si>
  <si>
    <t>3IC</t>
  </si>
  <si>
    <t>V3IF DURAMAX 1101</t>
  </si>
  <si>
    <t>3IF</t>
  </si>
  <si>
    <t>V3IJ PESO VOLUMETRICO 1950 KG/M3</t>
  </si>
  <si>
    <t>3IJ</t>
  </si>
  <si>
    <t>V3IL DURAMAX 7357M</t>
  </si>
  <si>
    <t>3IL</t>
  </si>
  <si>
    <t>V3IM DURAMAX 5201C C/IMPER Y CEM TIPO II</t>
  </si>
  <si>
    <t>3IM</t>
  </si>
  <si>
    <t>V3IO ART 16H-70%</t>
  </si>
  <si>
    <t>3IQ</t>
  </si>
  <si>
    <t>V3IR TRABAJABILIDAD EXT 5HR C/FIBRA</t>
  </si>
  <si>
    <t>3IR</t>
  </si>
  <si>
    <t>V3IU DURAMAX 7337</t>
  </si>
  <si>
    <t>3IU</t>
  </si>
  <si>
    <t>V3IW DURAMAX 7137</t>
  </si>
  <si>
    <t>3IW</t>
  </si>
  <si>
    <t>V3IY DURAMAX 7437A</t>
  </si>
  <si>
    <t>3IY</t>
  </si>
  <si>
    <t>V3JA DURAMAX 5207M</t>
  </si>
  <si>
    <t>3JA</t>
  </si>
  <si>
    <t>V3JB AUTOCOMPACTADO BLANCO</t>
  </si>
  <si>
    <t>3JB</t>
  </si>
  <si>
    <t>V3JC DURAMAX 7427</t>
  </si>
  <si>
    <t>3JC</t>
  </si>
  <si>
    <t>V3JF DURAMAX 5401</t>
  </si>
  <si>
    <t>3JF</t>
  </si>
  <si>
    <t>V3JG DURAMAX 4221</t>
  </si>
  <si>
    <t>3JG</t>
  </si>
  <si>
    <t>V3JH DURAMAX 7437AC2J3</t>
  </si>
  <si>
    <t>3JH</t>
  </si>
  <si>
    <t>V3JJ DURAMAX 6401</t>
  </si>
  <si>
    <t>3JJ</t>
  </si>
  <si>
    <t>V3JK DURAMAX 5451 TRA EXT 10H</t>
  </si>
  <si>
    <t>3JK</t>
  </si>
  <si>
    <t>V3JL DURAMAX 4307</t>
  </si>
  <si>
    <t>3JL</t>
  </si>
  <si>
    <t>V3JM DURAMAX 6357OS</t>
  </si>
  <si>
    <t>3JM</t>
  </si>
  <si>
    <t>V3JN C/COLOR NEGRO AL 8%</t>
  </si>
  <si>
    <t>3JN</t>
  </si>
  <si>
    <t>V3JO DURAMAX 6457O</t>
  </si>
  <si>
    <t>3JO</t>
  </si>
  <si>
    <t>V3JQ DURAMAX 5401E</t>
  </si>
  <si>
    <t>3JQ</t>
  </si>
  <si>
    <t>V3JR DURAMAX 6237</t>
  </si>
  <si>
    <t>3JR</t>
  </si>
  <si>
    <t>V3JS DURAMAX 4401</t>
  </si>
  <si>
    <t>3JS</t>
  </si>
  <si>
    <t>V3JU DURAMAX 6407C1</t>
  </si>
  <si>
    <t>3JU</t>
  </si>
  <si>
    <t>V3JV DURAMAX 5427</t>
  </si>
  <si>
    <t>3JV</t>
  </si>
  <si>
    <t>V3JW DURAMAX 7407H</t>
  </si>
  <si>
    <t>3JW</t>
  </si>
  <si>
    <t>V3JX DURAMAX 7427C2</t>
  </si>
  <si>
    <t>3JX</t>
  </si>
  <si>
    <t>V3JY COLOR NEGRO 3%</t>
  </si>
  <si>
    <t>3JY</t>
  </si>
  <si>
    <t>V3JZ DURAMAX 6301</t>
  </si>
  <si>
    <t>3JZ</t>
  </si>
  <si>
    <t>V3K1 DURAMAX 5201G</t>
  </si>
  <si>
    <t>3K1</t>
  </si>
  <si>
    <t>V3K2 DURAMAX 5307</t>
  </si>
  <si>
    <t>3K2</t>
  </si>
  <si>
    <t>V3K3 DURAMAX 7357</t>
  </si>
  <si>
    <t>3K3</t>
  </si>
  <si>
    <t>V3K5 HOMOCRETO C/HIDRATIUM</t>
  </si>
  <si>
    <t>3K5</t>
  </si>
  <si>
    <t>V3K8 DURAMAX 8507D3</t>
  </si>
  <si>
    <t>3K8</t>
  </si>
  <si>
    <t>V3K9 DURAMAX 4257M</t>
  </si>
  <si>
    <t>3K9</t>
  </si>
  <si>
    <t>V3KE DURAMAX 8457</t>
  </si>
  <si>
    <t>3KE</t>
  </si>
  <si>
    <t>V3KH DURAMAX 3201D4G</t>
  </si>
  <si>
    <t>3KH</t>
  </si>
  <si>
    <t>V3KP DURAMAX 5201B</t>
  </si>
  <si>
    <t>3KP</t>
  </si>
  <si>
    <t>V3KT DURAMAX 5237</t>
  </si>
  <si>
    <t>3KT</t>
  </si>
  <si>
    <t>V3KU COLOR CAFE TEPETATE</t>
  </si>
  <si>
    <t>3KU</t>
  </si>
  <si>
    <t>V3L2 VIALIDAD</t>
  </si>
  <si>
    <t>3L2</t>
  </si>
  <si>
    <t>V3L7 DURAMAX 6457E</t>
  </si>
  <si>
    <t>3L7</t>
  </si>
  <si>
    <t>V3LG DURAMAX 5307 C/TEMP CTRL 22C</t>
  </si>
  <si>
    <t>3LG</t>
  </si>
  <si>
    <t>V3LI DURAMAX 5307 C/TEMP CTRL 32C</t>
  </si>
  <si>
    <t>3LI</t>
  </si>
  <si>
    <t>V3LJ DURAMAX 6337</t>
  </si>
  <si>
    <t>3LJ</t>
  </si>
  <si>
    <t>V3LK DURAMAX 9357</t>
  </si>
  <si>
    <t>3LK</t>
  </si>
  <si>
    <t>V3LL DURAMAX 3351</t>
  </si>
  <si>
    <t>3LL</t>
  </si>
  <si>
    <t>V3LM DURAMAX 6257</t>
  </si>
  <si>
    <t>3LM</t>
  </si>
  <si>
    <t>V3LN DURAMAX 5437</t>
  </si>
  <si>
    <t>3LN</t>
  </si>
  <si>
    <t>V3LO DURAMAX 4337</t>
  </si>
  <si>
    <t>3LO</t>
  </si>
  <si>
    <t>V3LS DURAMAX 5201EF</t>
  </si>
  <si>
    <t>3LS</t>
  </si>
  <si>
    <t>V3LT HIDRATIUM PROYECTO GDL</t>
  </si>
  <si>
    <t>3LT</t>
  </si>
  <si>
    <t>V3LW DURAMAX 6507</t>
  </si>
  <si>
    <t>3LW</t>
  </si>
  <si>
    <t>V3LZ DURAMAX 5201 C/TEMP CTRL 27C</t>
  </si>
  <si>
    <t>3LZ</t>
  </si>
  <si>
    <t>V3M0 C/COLOR DISTANCIA EXTRAORDINARIA</t>
  </si>
  <si>
    <t>3M0</t>
  </si>
  <si>
    <t>V3M4 HIDRATIUM ACELERADO</t>
  </si>
  <si>
    <t>3M4</t>
  </si>
  <si>
    <t>V3M6 C/TEMPERATURA CTRL 31°C</t>
  </si>
  <si>
    <t>3M6</t>
  </si>
  <si>
    <t>V3MB DURAMAX 4201D3M</t>
  </si>
  <si>
    <t>3MB</t>
  </si>
  <si>
    <t>V3MC DURAMAX 6351E C/TEMP CTRL 32</t>
  </si>
  <si>
    <t>3MC</t>
  </si>
  <si>
    <t>V3MF DURAMAX 6351E C/TEMP CTRL 23</t>
  </si>
  <si>
    <t>3MF</t>
  </si>
  <si>
    <t>V3MG DURAMAX 5237B</t>
  </si>
  <si>
    <t>3MG</t>
  </si>
  <si>
    <t>V3MH COLOR NEGRO 6%</t>
  </si>
  <si>
    <t>3MH</t>
  </si>
  <si>
    <t>V3MI DURAMAX 4231B</t>
  </si>
  <si>
    <t>3MI</t>
  </si>
  <si>
    <t>V3MK DURAMAX 5401D3</t>
  </si>
  <si>
    <t>3MK</t>
  </si>
  <si>
    <t>V3ML  DURAMAX 7457AC1</t>
  </si>
  <si>
    <t>3ML</t>
  </si>
  <si>
    <t>V3MM PUZOLANICO C/COLOR, IMPER Y TEMP CT</t>
  </si>
  <si>
    <t>3MM</t>
  </si>
  <si>
    <t>V3MO DURAMAX 4201D3</t>
  </si>
  <si>
    <t>3MO</t>
  </si>
  <si>
    <t>V3MP DURAMAX 3210D3</t>
  </si>
  <si>
    <t>3MP</t>
  </si>
  <si>
    <t>V3MR DURAMAX 8257</t>
  </si>
  <si>
    <t>3MR</t>
  </si>
  <si>
    <t>V3MS DURAMAX 7257</t>
  </si>
  <si>
    <t>3MS</t>
  </si>
  <si>
    <t>V3MT DURAMAX 4251F</t>
  </si>
  <si>
    <t>3MT</t>
  </si>
  <si>
    <t>V3MX DURAMAX 3201D4</t>
  </si>
  <si>
    <t>3MX</t>
  </si>
  <si>
    <t>V3N0 DURAMAX 7457AJ2</t>
  </si>
  <si>
    <t>3N0</t>
  </si>
  <si>
    <t>V3N1 DURAMAX 3221</t>
  </si>
  <si>
    <t>3N1</t>
  </si>
  <si>
    <t>V3N2 APARENTE C/ARENA LAVADA E HIDRATIUM</t>
  </si>
  <si>
    <t>3N2</t>
  </si>
  <si>
    <t>V3N3 DURAMAX 6451M</t>
  </si>
  <si>
    <t>3N3</t>
  </si>
  <si>
    <t>V3N7 DURAMAX 7427K</t>
  </si>
  <si>
    <t>3N7</t>
  </si>
  <si>
    <t>V3NB DURAMAX 5457 C/TEMP CTRL 23</t>
  </si>
  <si>
    <t>3NB</t>
  </si>
  <si>
    <t>V3NF REL A/C 0.50 C/TEMP CTRL 23</t>
  </si>
  <si>
    <t>3NF</t>
  </si>
  <si>
    <t>V3NG COLOR SORRENTO RED</t>
  </si>
  <si>
    <t>3NG</t>
  </si>
  <si>
    <t>V3NI DURAMAX 5301F</t>
  </si>
  <si>
    <t>3NI</t>
  </si>
  <si>
    <t>V3NJ DURAMAX 3407</t>
  </si>
  <si>
    <t>3NJ</t>
  </si>
  <si>
    <t>V3NM DURAMAX 6207D3M</t>
  </si>
  <si>
    <t>3NM</t>
  </si>
  <si>
    <t>V3NN DENSIDAD EQUILIBRIO 1800 KG/M3</t>
  </si>
  <si>
    <t>3NN</t>
  </si>
  <si>
    <t>V3NO DURAMAX 3357</t>
  </si>
  <si>
    <t>3NO</t>
  </si>
  <si>
    <t>V3NQ C/RETARDANTE 6HRS Y A/C 0.40</t>
  </si>
  <si>
    <t>3NQ</t>
  </si>
  <si>
    <t>V3NS DURAMAX 3007</t>
  </si>
  <si>
    <t>3NS</t>
  </si>
  <si>
    <t>V3NT DURAMAX 3107M</t>
  </si>
  <si>
    <t>3NT</t>
  </si>
  <si>
    <t>V3NU DURAMAX 5157</t>
  </si>
  <si>
    <t>3NU</t>
  </si>
  <si>
    <t>V3NX MB CON COLOR NEGRO</t>
  </si>
  <si>
    <t>3NX</t>
  </si>
  <si>
    <t>V3NY MB CON COLOR NEGRO Y FIBRA</t>
  </si>
  <si>
    <t>3NY</t>
  </si>
  <si>
    <t>V3NZ DURAMAX 6257E</t>
  </si>
  <si>
    <t>3NZ</t>
  </si>
  <si>
    <t>V3O4 TRABAJABILIDAD EXT 5HR C/COLOR 5%</t>
  </si>
  <si>
    <t>3O4</t>
  </si>
  <si>
    <t>V3O6 DURAMAX 6357E</t>
  </si>
  <si>
    <t>3O6</t>
  </si>
  <si>
    <t>V3O7 DURAMAX 7437 C/TEMP CTRL 27</t>
  </si>
  <si>
    <t>3O7</t>
  </si>
  <si>
    <t>V3O9 DURAMAX 7437 C/TEMP CTRL 23</t>
  </si>
  <si>
    <t>3O9</t>
  </si>
  <si>
    <t>V3OC DURAMAX 5451D3</t>
  </si>
  <si>
    <t>3OC</t>
  </si>
  <si>
    <t>V3OD DURAMAX 5351D3</t>
  </si>
  <si>
    <t>3OD</t>
  </si>
  <si>
    <t>V3OE PESO VOL 1850 KG/M3 EDO SECO C/FIB</t>
  </si>
  <si>
    <t>3OE</t>
  </si>
  <si>
    <t>V3OH PESO VOL 1800KG C/HIDRATIUM Y FIBRA</t>
  </si>
  <si>
    <t>3OH</t>
  </si>
  <si>
    <t>V3OI COLOR AZUL C/FIBRA</t>
  </si>
  <si>
    <t>3OI</t>
  </si>
  <si>
    <t>V3OJ DURAMAX 6357F</t>
  </si>
  <si>
    <t>3OJ</t>
  </si>
  <si>
    <t>V3OK DURAMAX 6207</t>
  </si>
  <si>
    <t>3OK</t>
  </si>
  <si>
    <t>V3ON DURAMAX 5357C1</t>
  </si>
  <si>
    <t>3ON</t>
  </si>
  <si>
    <t>V3OP DURAMAX 5201D3</t>
  </si>
  <si>
    <t>3OP</t>
  </si>
  <si>
    <t>V3OR DURAMAX 5241BL</t>
  </si>
  <si>
    <t>3OR</t>
  </si>
  <si>
    <t>V3OT DURAMAX 3327</t>
  </si>
  <si>
    <t>3OT</t>
  </si>
  <si>
    <t>V3OV DURAMAX 3257B</t>
  </si>
  <si>
    <t>3OV</t>
  </si>
  <si>
    <t>V3OX DURAMAX 6557B</t>
  </si>
  <si>
    <t>3OX</t>
  </si>
  <si>
    <t>V3OY DURAMAX  6457C1</t>
  </si>
  <si>
    <t>3OY</t>
  </si>
  <si>
    <t>V3OZ GORICRETO AUTOCOMPACTADO C/FIBRA</t>
  </si>
  <si>
    <t>3OZ</t>
  </si>
  <si>
    <t>V3P1 DURAMAX 5307D3</t>
  </si>
  <si>
    <t>3P1</t>
  </si>
  <si>
    <t>V3P2 DURAMAX 6407D3</t>
  </si>
  <si>
    <t>3P2</t>
  </si>
  <si>
    <t>V3P7 DURAMAX 8757AC2E C/TEMP CTRL 27</t>
  </si>
  <si>
    <t>3P7</t>
  </si>
  <si>
    <t>V3PA DURAMAX 8757AC3E C/TEMP CTRL 32</t>
  </si>
  <si>
    <t>3PA</t>
  </si>
  <si>
    <t>V3PB DURAMAX 8757AC3E C/TEMP CTRL 27</t>
  </si>
  <si>
    <t>3PB</t>
  </si>
  <si>
    <t>V3PM DURAMAX 7437AC2</t>
  </si>
  <si>
    <t>3PM</t>
  </si>
  <si>
    <t>V3PN DURAMAX 7457AC2</t>
  </si>
  <si>
    <t>3PN</t>
  </si>
  <si>
    <t>V3PP C/COLOR NEGRO E HIDRATIUM</t>
  </si>
  <si>
    <t>3PP</t>
  </si>
  <si>
    <t>V3PQ DURAMAX 5201A</t>
  </si>
  <si>
    <t>3PQ</t>
  </si>
  <si>
    <t>V3PT DURAMAX 5207B</t>
  </si>
  <si>
    <t>3PT</t>
  </si>
  <si>
    <t>V3PZ CONTRA 450 MILL A 28 DIAS C/FIBRA</t>
  </si>
  <si>
    <t>3PZ</t>
  </si>
  <si>
    <t>V3Q1 BLANCO C/FIBRA</t>
  </si>
  <si>
    <t>3Q1</t>
  </si>
  <si>
    <t>V3QA DURAMAX 7457A</t>
  </si>
  <si>
    <t>3QA</t>
  </si>
  <si>
    <t>V3QB DURAMAX 8437</t>
  </si>
  <si>
    <t>3QB</t>
  </si>
  <si>
    <t>V3QE DURAMAX 4231</t>
  </si>
  <si>
    <t>3QE</t>
  </si>
  <si>
    <t>V3QF DURAMAX 7257M</t>
  </si>
  <si>
    <t>3QF</t>
  </si>
  <si>
    <t>V3QH DURAMAX 5357EM</t>
  </si>
  <si>
    <t>3QH</t>
  </si>
  <si>
    <t>V3QL DURAMAX 6457C2</t>
  </si>
  <si>
    <t>3QL</t>
  </si>
  <si>
    <t>V3QM DURAMAX 4301D4</t>
  </si>
  <si>
    <t>3QM</t>
  </si>
  <si>
    <t>V3QO DURAMAX 6207D4</t>
  </si>
  <si>
    <t>3QO</t>
  </si>
  <si>
    <t>V3QP DURAMAX 6207L</t>
  </si>
  <si>
    <t>3QP</t>
  </si>
  <si>
    <t>V3QR DURAMAX 7437C1</t>
  </si>
  <si>
    <t>3QR</t>
  </si>
  <si>
    <t>V3QS DURAMAX 7307AC2</t>
  </si>
  <si>
    <t>3QS</t>
  </si>
  <si>
    <t>V3QU DURAMAX 5257D3M</t>
  </si>
  <si>
    <t>3QU</t>
  </si>
  <si>
    <t>V3QY DURAMAX 740</t>
  </si>
  <si>
    <t>3QY</t>
  </si>
  <si>
    <t>V3R0 DURAMAX 5307D1O</t>
  </si>
  <si>
    <t>3R0</t>
  </si>
  <si>
    <t>V3R1 DURAMAX 6401EM</t>
  </si>
  <si>
    <t>3R1</t>
  </si>
  <si>
    <t>V3R2 DURAMAX 5307D1</t>
  </si>
  <si>
    <t>3R2</t>
  </si>
  <si>
    <t>V3R3 DURAMAX 3201D3</t>
  </si>
  <si>
    <t>3R3</t>
  </si>
  <si>
    <t>V3R4 DURAMAX 4407D3</t>
  </si>
  <si>
    <t>3R4</t>
  </si>
  <si>
    <t>V3R7 CONCRETO HIDRATIUM PREMIUM</t>
  </si>
  <si>
    <t>3R7</t>
  </si>
  <si>
    <t>V3R8 DURAMAX 3257M</t>
  </si>
  <si>
    <t>3R8</t>
  </si>
  <si>
    <t>V3RA C/CENIZA Y TEMP CTRL</t>
  </si>
  <si>
    <t>3RA</t>
  </si>
  <si>
    <t>V3RC DURAMAX 5407E</t>
  </si>
  <si>
    <t>3RC</t>
  </si>
  <si>
    <t>V3RD DURAMAX 5407EM</t>
  </si>
  <si>
    <t>3RD</t>
  </si>
  <si>
    <t>V3RE DURAMAX 6407E</t>
  </si>
  <si>
    <t>3RE</t>
  </si>
  <si>
    <t>V3RF DURAMAX 6407EM</t>
  </si>
  <si>
    <t>3RF</t>
  </si>
  <si>
    <t>V3RG DURAMAX 3207D3</t>
  </si>
  <si>
    <t>3RG</t>
  </si>
  <si>
    <t>V3RH COLOR ADOBE E HIDRATIUM</t>
  </si>
  <si>
    <t>3RH</t>
  </si>
  <si>
    <t>V3RJ DURAMAX 8707B</t>
  </si>
  <si>
    <t>3RJ</t>
  </si>
  <si>
    <t>V3RK PESO VOLUMETRICO 1500 KG/M3 C/IMPER Y FIB</t>
  </si>
  <si>
    <t>3RK</t>
  </si>
  <si>
    <t>V3RL DURAMAX 7307C1</t>
  </si>
  <si>
    <t>3RL</t>
  </si>
  <si>
    <t>V3RM DURAMAX 3207D3M</t>
  </si>
  <si>
    <t>3RM</t>
  </si>
  <si>
    <t>V3RN C/COLOR 9%</t>
  </si>
  <si>
    <t>3RN</t>
  </si>
  <si>
    <t>V3RO DURAMAX 7457C1EF</t>
  </si>
  <si>
    <t>3RO</t>
  </si>
  <si>
    <t>V3RR DURAMAX 4227F</t>
  </si>
  <si>
    <t>3RR</t>
  </si>
  <si>
    <t>V3RW DURAMAX 5207D3</t>
  </si>
  <si>
    <t>3RW</t>
  </si>
  <si>
    <t>V3RY DURAMAX 5257G</t>
  </si>
  <si>
    <t>3RY</t>
  </si>
  <si>
    <t>V3RZ C/COLOR ROJO E INCLUSOR DE AIRE</t>
  </si>
  <si>
    <t>3RZ</t>
  </si>
  <si>
    <t>V3S0 DURAMAX 5357B</t>
  </si>
  <si>
    <t>3S0</t>
  </si>
  <si>
    <t>V3S1 DURAMAX 7437B</t>
  </si>
  <si>
    <t>3S1</t>
  </si>
  <si>
    <t>V3S2 SMO C/TEMP CTRL</t>
  </si>
  <si>
    <t>3S2</t>
  </si>
  <si>
    <t>V3S5 DURAMAX 5257S</t>
  </si>
  <si>
    <t>3S5</t>
  </si>
  <si>
    <t>V3S9 CURADO A VAPOR 12HRS</t>
  </si>
  <si>
    <t>3S9</t>
  </si>
  <si>
    <t>V3SA DURAMAX 4351 TRAB EXT 4H</t>
  </si>
  <si>
    <t>3SA</t>
  </si>
  <si>
    <t>V3SF DURAMAX 5201ABS.</t>
  </si>
  <si>
    <t>3SF</t>
  </si>
  <si>
    <t>V3SG ANTIDERRAPANTE C/HIDRATIUM</t>
  </si>
  <si>
    <t>3SG</t>
  </si>
  <si>
    <t>V3SJ DURAMAX 7457AJ2M</t>
  </si>
  <si>
    <t>3SJ</t>
  </si>
  <si>
    <t>V3SK HIDRATIUM C/FIBRA METALICA</t>
  </si>
  <si>
    <t>3SK</t>
  </si>
  <si>
    <t>V3SL  DURAMAX 5301U</t>
  </si>
  <si>
    <t>3SL</t>
  </si>
  <si>
    <t>V3ST DURAMAX 5351 TRAB EXT 4 HRS</t>
  </si>
  <si>
    <t>3ST</t>
  </si>
  <si>
    <t>V3SV DURAMAX 3307D4</t>
  </si>
  <si>
    <t>3SV</t>
  </si>
  <si>
    <t>V3T0 HIDRATIUM, IMPER Y TEMP CTRL</t>
  </si>
  <si>
    <t>3T0</t>
  </si>
  <si>
    <t>V3T2 PESO VOLUMETRICO 1750 KG/M3</t>
  </si>
  <si>
    <t>3T2</t>
  </si>
  <si>
    <t>V3T3 C/COLOR, HIDRATIUM E IMPER</t>
  </si>
  <si>
    <t>3T3</t>
  </si>
  <si>
    <t>V3T4 DURAMAX 7327AD</t>
  </si>
  <si>
    <t>3T4</t>
  </si>
  <si>
    <t>V3T5 DURAMAX 7227AD</t>
  </si>
  <si>
    <t>3T5</t>
  </si>
  <si>
    <t>V3T7 MODULO ELASTICO ESPECIAL</t>
  </si>
  <si>
    <t>3T7</t>
  </si>
  <si>
    <t>V3T9 DURAMAX 4157</t>
  </si>
  <si>
    <t>3T9</t>
  </si>
  <si>
    <t>V3TA DURAMAX 5307AS</t>
  </si>
  <si>
    <t>3TA</t>
  </si>
  <si>
    <t>V3TB DURAMAX 6437C2</t>
  </si>
  <si>
    <t>3TB</t>
  </si>
  <si>
    <t>V3TD DURAMAX 6407D4</t>
  </si>
  <si>
    <t>3TD</t>
  </si>
  <si>
    <t>V3TE DURAMAX 8757AC2</t>
  </si>
  <si>
    <t>3TE</t>
  </si>
  <si>
    <t>V3TG C/SUPERFLUID, IMPER Y HUMO DE SILICE</t>
  </si>
  <si>
    <t>3TG</t>
  </si>
  <si>
    <t>V3TH C/COLOR NEGRO 1%</t>
  </si>
  <si>
    <t>3TH</t>
  </si>
  <si>
    <t>V3TI DURAMAX 9557BM</t>
  </si>
  <si>
    <t>3TI</t>
  </si>
  <si>
    <t>V3TJ HOMOCRETO OPTIMIZADO</t>
  </si>
  <si>
    <t>3TJ</t>
  </si>
  <si>
    <t>V3TL DURAMAX 7427M</t>
  </si>
  <si>
    <t>3TL</t>
  </si>
  <si>
    <t>V3TO DURAMAX 7227</t>
  </si>
  <si>
    <t>3TO</t>
  </si>
  <si>
    <t>V3TQ DURAMAX 8757AC1EK C/TEMP CTRL  27</t>
  </si>
  <si>
    <t>3TQ</t>
  </si>
  <si>
    <t>V3TS DURAMAX 6357C1</t>
  </si>
  <si>
    <t>3TS</t>
  </si>
  <si>
    <t>V3TT PROYECTO ACABUS</t>
  </si>
  <si>
    <t>3TT</t>
  </si>
  <si>
    <t>V3TU DURAMAX 7407C1</t>
  </si>
  <si>
    <t>3TU</t>
  </si>
  <si>
    <t>V3TV DURAMAX 8537BOMZ</t>
  </si>
  <si>
    <t>3TV</t>
  </si>
  <si>
    <t>V3TW REL A/C 0.5 C/IMPER, TC Y COLOR</t>
  </si>
  <si>
    <t>3TW</t>
  </si>
  <si>
    <t>V3TX DURAMAX 6337AC1</t>
  </si>
  <si>
    <t>3TX</t>
  </si>
  <si>
    <t>V3TY DURAMAX 6337C1</t>
  </si>
  <si>
    <t>3TY</t>
  </si>
  <si>
    <t>V3U4 DURAMAX 4257 TRAB EXT 4HRS</t>
  </si>
  <si>
    <t>3U4</t>
  </si>
  <si>
    <t>V3U5 DURAMAX 8407D3E</t>
  </si>
  <si>
    <t>3U5</t>
  </si>
  <si>
    <t>V3U6 DURAMAX 5407D3</t>
  </si>
  <si>
    <t>3U6</t>
  </si>
  <si>
    <t>V3U8 DURAMAX 7357AC2</t>
  </si>
  <si>
    <t>3U8</t>
  </si>
  <si>
    <t>V3UB DURAMAX 6457A</t>
  </si>
  <si>
    <t>3UB</t>
  </si>
  <si>
    <t>V3UG DURAMAX 4201D4</t>
  </si>
  <si>
    <t>3UG</t>
  </si>
  <si>
    <t>V3UH DURAMAX 7127</t>
  </si>
  <si>
    <t>3UH</t>
  </si>
  <si>
    <t>V3UI RESISTENTE A SULFATOS C/HIDRATIUM</t>
  </si>
  <si>
    <t>3UI</t>
  </si>
  <si>
    <t>V3UJ DURAMAX 7457BM</t>
  </si>
  <si>
    <t>3UJ</t>
  </si>
  <si>
    <t>V3UK DURAMAX 7407M</t>
  </si>
  <si>
    <t>3UK</t>
  </si>
  <si>
    <t>V3UL DURAMAX 4107</t>
  </si>
  <si>
    <t>3UL</t>
  </si>
  <si>
    <t>V3UM ARQUITECTONICO BLANCO C/TEMP CTRL</t>
  </si>
  <si>
    <t>3UM</t>
  </si>
  <si>
    <t>V3UQ DURAMAX 5307E</t>
  </si>
  <si>
    <t>3UQ</t>
  </si>
  <si>
    <t>V3UR DENSIDAD DE EQUILIBRIO 1900 KG/M3</t>
  </si>
  <si>
    <t>3UR</t>
  </si>
  <si>
    <t>V3UT DURAMAX 5337C1</t>
  </si>
  <si>
    <t>3UT</t>
  </si>
  <si>
    <t>V3UV COLOR BEIGE 3%</t>
  </si>
  <si>
    <t>3UV</t>
  </si>
  <si>
    <t>V3UW COLOR BEIGE 6%</t>
  </si>
  <si>
    <t>3UW</t>
  </si>
  <si>
    <t>V3UX COLOR ROJO 3%</t>
  </si>
  <si>
    <t>3UX</t>
  </si>
  <si>
    <t>V3UY COLOR VERDE 6%</t>
  </si>
  <si>
    <t>3UY</t>
  </si>
  <si>
    <t>V3UZ COLOR AMARILLO 6%</t>
  </si>
  <si>
    <t>3UZ</t>
  </si>
  <si>
    <t>V3V1 DENSIDAD EQUILIBRIO 1800 KG C/FIBRA</t>
  </si>
  <si>
    <t>3V1</t>
  </si>
  <si>
    <t>V3V6</t>
  </si>
  <si>
    <t>3V6</t>
  </si>
  <si>
    <t>V3V7 DURAMAX 4207M</t>
  </si>
  <si>
    <t>3V7</t>
  </si>
  <si>
    <t>V3V8 DURAMAX 6407M</t>
  </si>
  <si>
    <t>3V8</t>
  </si>
  <si>
    <t>V3VA DURAMAX 5357A</t>
  </si>
  <si>
    <t>3VA</t>
  </si>
  <si>
    <t>V3VB DURAMAX 5237M</t>
  </si>
  <si>
    <t>3VB</t>
  </si>
  <si>
    <t>3VC DURAMAX 5157M</t>
  </si>
  <si>
    <t>3VC</t>
  </si>
  <si>
    <t>V3VG DURAMAX 8757AC2K</t>
  </si>
  <si>
    <t>3VG</t>
  </si>
  <si>
    <t>V3VH DURAMAX 8757AC1K</t>
  </si>
  <si>
    <t>3VH</t>
  </si>
  <si>
    <t>V3VI DURAMAX 4207D2M</t>
  </si>
  <si>
    <t>3VI</t>
  </si>
  <si>
    <t>V3VK DURAMAX 3207BD1</t>
  </si>
  <si>
    <t>3VK</t>
  </si>
  <si>
    <t>V3VL DURAMAX 8301</t>
  </si>
  <si>
    <t>3VL</t>
  </si>
  <si>
    <t>V3VM DURAMAX 5451A.</t>
  </si>
  <si>
    <t>3VM</t>
  </si>
  <si>
    <t>V3VP DURAMAX 6407AD4</t>
  </si>
  <si>
    <t>3VP</t>
  </si>
  <si>
    <t>V3VQ DURAMAX 5357M</t>
  </si>
  <si>
    <t>3VQ</t>
  </si>
  <si>
    <t>V3VR W/C=0.70 - 1.5 LBS FIBER</t>
  </si>
  <si>
    <t>3VR</t>
  </si>
  <si>
    <t>V3VV DURAMAX  6307M</t>
  </si>
  <si>
    <t>3VV</t>
  </si>
  <si>
    <t>V3VY DURAMAX 6357A</t>
  </si>
  <si>
    <t>3VY</t>
  </si>
  <si>
    <t>V3VZ APARENTE BLANCO C/TEMP CTRL</t>
  </si>
  <si>
    <t>3VZ</t>
  </si>
  <si>
    <t>V3W0 DURAMAX  7407D3</t>
  </si>
  <si>
    <t>3W0</t>
  </si>
  <si>
    <t>V3W3 COLOR VALLARTA 3%</t>
  </si>
  <si>
    <t>3W3</t>
  </si>
  <si>
    <t>V3W4 COLOR VALLARTA 5%</t>
  </si>
  <si>
    <t>3W4</t>
  </si>
  <si>
    <t>V3W7 DURAMAX 6427C1 C/TEMP CTRL 30</t>
  </si>
  <si>
    <t>3W7</t>
  </si>
  <si>
    <t>V3W9 DURAMAX 4407D2</t>
  </si>
  <si>
    <t>3W9</t>
  </si>
  <si>
    <t>V3WA  DURAMAX 5257C1</t>
  </si>
  <si>
    <t>3WA</t>
  </si>
  <si>
    <t>V3WB  DURAMAX 7307D5</t>
  </si>
  <si>
    <t>3WB</t>
  </si>
  <si>
    <t>V3WD DURAMAX 3201BD1</t>
  </si>
  <si>
    <t>3WD</t>
  </si>
  <si>
    <t>V3WH DURAMAX 3257E</t>
  </si>
  <si>
    <t>3WH</t>
  </si>
  <si>
    <t>V3WJ DURAMAX 3201D3M.</t>
  </si>
  <si>
    <t>3WJ</t>
  </si>
  <si>
    <t>V3WK DURAMAX 3201D2M.</t>
  </si>
  <si>
    <t>3WK</t>
  </si>
  <si>
    <t>V3WM DURAMAX 5307M</t>
  </si>
  <si>
    <t>3WM</t>
  </si>
  <si>
    <t>V3WO DURAMAX 6301EF</t>
  </si>
  <si>
    <t>3WO</t>
  </si>
  <si>
    <t>V3WP DURAMAX 7251M</t>
  </si>
  <si>
    <t>3WP</t>
  </si>
  <si>
    <t>V3WQ DURAMAX 5107C2</t>
  </si>
  <si>
    <t>3WQ</t>
  </si>
  <si>
    <t>V3WR DURAMAX 7451</t>
  </si>
  <si>
    <t>3WR</t>
  </si>
  <si>
    <t>V3WT DURAMAX 4301D3</t>
  </si>
  <si>
    <t>3WT</t>
  </si>
  <si>
    <t>V3WV DURAMAX 5101</t>
  </si>
  <si>
    <t>3WV</t>
  </si>
  <si>
    <t>V3WY DURAMAX 5351A</t>
  </si>
  <si>
    <t>3WY</t>
  </si>
  <si>
    <t>V3X0 DURAMAX 6201M</t>
  </si>
  <si>
    <t>3X0</t>
  </si>
  <si>
    <t>V3X2 DURAMAX 7237</t>
  </si>
  <si>
    <t>3X2</t>
  </si>
  <si>
    <t>V3X4 DURAMAX 8507BMZ</t>
  </si>
  <si>
    <t>3X4</t>
  </si>
  <si>
    <t>V3X5 DURAMAX 7457AC2F</t>
  </si>
  <si>
    <t>3X5</t>
  </si>
  <si>
    <t>V3X8 DURAMAX 6457F</t>
  </si>
  <si>
    <t>3X8</t>
  </si>
  <si>
    <t>V3X9 HIDRATIUM APARENTE C/IMPER</t>
  </si>
  <si>
    <t>3X9</t>
  </si>
  <si>
    <t>V3XA HIDRATIUM ESTRUCTURAL APARENTE</t>
  </si>
  <si>
    <t>3XA</t>
  </si>
  <si>
    <t>V3XB  HIDRATIUM ESTRUCTURAL APARENTE C/IMPER</t>
  </si>
  <si>
    <t>3XB</t>
  </si>
  <si>
    <t>V3XC HIDRATIUM A/C 0.5</t>
  </si>
  <si>
    <t>3XC</t>
  </si>
  <si>
    <t>V3XD HIDRATIUM A/C 0.5 PUZOLANICO</t>
  </si>
  <si>
    <t>3XD</t>
  </si>
  <si>
    <t>V3XE DURAMAX 5251M</t>
  </si>
  <si>
    <t>3XE</t>
  </si>
  <si>
    <t>V3XF DURAMAX 4251A</t>
  </si>
  <si>
    <t>3XF</t>
  </si>
  <si>
    <t>V3XG DURAMAX 5151C2</t>
  </si>
  <si>
    <t>3XG</t>
  </si>
  <si>
    <t>V3XJ HIDRATIUM C/FIBRA A DISTANCIA EXTRAORD</t>
  </si>
  <si>
    <t>3XJ</t>
  </si>
  <si>
    <t>V3XK DURAMAX 6301D4</t>
  </si>
  <si>
    <t>3XK</t>
  </si>
  <si>
    <t>V3XM DURAMAX 5257A</t>
  </si>
  <si>
    <t>3XM</t>
  </si>
  <si>
    <t>V3XN DURAMAX 5451B</t>
  </si>
  <si>
    <t>3XN</t>
  </si>
  <si>
    <t>V3XO DURAMAX 6551B</t>
  </si>
  <si>
    <t>3XO</t>
  </si>
  <si>
    <t>V3XP DURAMAX 3407D3M</t>
  </si>
  <si>
    <t>3XP</t>
  </si>
  <si>
    <t>V3XQ DURAMAX 7407AD4</t>
  </si>
  <si>
    <t>3XQ</t>
  </si>
  <si>
    <t>V3XR DURAMAX 9457E</t>
  </si>
  <si>
    <t>3XR</t>
  </si>
  <si>
    <t>V3XT DURAMAX 4251EF</t>
  </si>
  <si>
    <t>3XT</t>
  </si>
  <si>
    <t>V3XU DURAMAX 5221D4 C/TEMP CTRL 23</t>
  </si>
  <si>
    <t>3XU</t>
  </si>
  <si>
    <t>V3XV DURAMAX 5221D4 C/TEMP CTRL 27</t>
  </si>
  <si>
    <t>3XV</t>
  </si>
  <si>
    <t>V3XW DURAMAX 5221D4 C/TEMP CTRL 32</t>
  </si>
  <si>
    <t>3XW</t>
  </si>
  <si>
    <t>V3Y5 DURAMAX 5151</t>
  </si>
  <si>
    <t>3Y5</t>
  </si>
  <si>
    <t>V3Y8 DURAMAX 6401D3</t>
  </si>
  <si>
    <t>3Y8</t>
  </si>
  <si>
    <t>V3Y9 DURAMAX 5427A</t>
  </si>
  <si>
    <t>3Y9</t>
  </si>
  <si>
    <t>V3YA DURAMAX 5257B</t>
  </si>
  <si>
    <t>3YA</t>
  </si>
  <si>
    <t>V3YF C/COLOR 4% E HIDRATIUM</t>
  </si>
  <si>
    <t>3YF</t>
  </si>
  <si>
    <t>V3YG DURAMAX 6301E</t>
  </si>
  <si>
    <t>3YG</t>
  </si>
  <si>
    <t>V3YH DURAMAX 6457C1M</t>
  </si>
  <si>
    <t>3YH</t>
  </si>
  <si>
    <t>V3YK DURAMAX 3401BD1</t>
  </si>
  <si>
    <t>3YK</t>
  </si>
  <si>
    <t>V3YL DURAMAX 8257M</t>
  </si>
  <si>
    <t>3YL</t>
  </si>
  <si>
    <t>V3YO DURAMAX 4451</t>
  </si>
  <si>
    <t>3YO</t>
  </si>
  <si>
    <t>V3YP DURAMAX 7207C2</t>
  </si>
  <si>
    <t>3YP</t>
  </si>
  <si>
    <t>V3YR DURAMAX 7327C1 TEMP CTRL 23</t>
  </si>
  <si>
    <t>3YR</t>
  </si>
  <si>
    <t>V3YS DURAMAX 7327C1 TEMP CTRL 27</t>
  </si>
  <si>
    <t>3YS</t>
  </si>
  <si>
    <t>V3YT DURAMAX 7327C1 TEMP CTRL 31</t>
  </si>
  <si>
    <t>3YT</t>
  </si>
  <si>
    <t>V3YU DURAMAX 7421</t>
  </si>
  <si>
    <t>3YU</t>
  </si>
  <si>
    <t>V3YV DURAMAX 4251G</t>
  </si>
  <si>
    <t>3YV</t>
  </si>
  <si>
    <t>V3YW DURAMAX 3101B</t>
  </si>
  <si>
    <t>3YW</t>
  </si>
  <si>
    <t>V3YX DURAMAX 4301D4M</t>
  </si>
  <si>
    <t>3YX</t>
  </si>
  <si>
    <t>V3YZ DURAMAX 4227</t>
  </si>
  <si>
    <t>3YZ</t>
  </si>
  <si>
    <t>V3Z2 DURAMAX 7427AC2J4</t>
  </si>
  <si>
    <t>3Z2</t>
  </si>
  <si>
    <t>V3Z3 DURAMAX 5351E</t>
  </si>
  <si>
    <t>3Z3</t>
  </si>
  <si>
    <t>V3Z4 DURAMAX 8607E</t>
  </si>
  <si>
    <t>3Z4</t>
  </si>
  <si>
    <t>V3Z6 DURAMAX 6151</t>
  </si>
  <si>
    <t>3Z6</t>
  </si>
  <si>
    <t>DURAMAX 4407</t>
  </si>
  <si>
    <t>3Z9</t>
  </si>
  <si>
    <t>V3ZA AUTOCOMPACTADO C/TEMP CTRL, MICROSILICE Y TE 5HRS</t>
  </si>
  <si>
    <t>3ZA</t>
  </si>
  <si>
    <t>V3ZC DURAMAX 7457BS</t>
  </si>
  <si>
    <t>3ZC</t>
  </si>
  <si>
    <t>V3ZD DURAMAX 5351C1E</t>
  </si>
  <si>
    <t>3ZD</t>
  </si>
  <si>
    <t>V3ZE DURAMAX 3251T</t>
  </si>
  <si>
    <t>3ZE</t>
  </si>
  <si>
    <t>V3ZF COLOR ROJO 5%</t>
  </si>
  <si>
    <t>3ZF</t>
  </si>
  <si>
    <t>V3ZG COLOR AMARILLO 5%</t>
  </si>
  <si>
    <t>3ZG</t>
  </si>
  <si>
    <t>V3ZH COLOR VERDE MILITAR 5%</t>
  </si>
  <si>
    <t>3ZH</t>
  </si>
  <si>
    <t>V3ZI COLOR SALMON 5%</t>
  </si>
  <si>
    <t>3ZI</t>
  </si>
  <si>
    <t>V3ZJ COLOR AQUA 5%</t>
  </si>
  <si>
    <t>3ZJ</t>
  </si>
  <si>
    <t>V3ZK COLOR FUCSIA 5%</t>
  </si>
  <si>
    <t>3ZK</t>
  </si>
  <si>
    <t>V3ZL DURAMAX 7407T</t>
  </si>
  <si>
    <t>3ZL</t>
  </si>
  <si>
    <t>V3ZM DURAMAX 5401EM</t>
  </si>
  <si>
    <t>3ZM</t>
  </si>
  <si>
    <t>V3ZN DURAMAX 4151C1</t>
  </si>
  <si>
    <t>3ZN</t>
  </si>
  <si>
    <t>V3ZP DURAMAX 3107RS</t>
  </si>
  <si>
    <t>3ZP</t>
  </si>
  <si>
    <t>V3ZQ DURAMAX 4107RS</t>
  </si>
  <si>
    <t>3ZQ</t>
  </si>
  <si>
    <t>V3ZR DURAMAX 5207RS</t>
  </si>
  <si>
    <t>3ZR</t>
  </si>
  <si>
    <t>V3ZS DURAMAX 5307RST</t>
  </si>
  <si>
    <t>3ZS</t>
  </si>
  <si>
    <t>V3ZT DURAMAX 3107S</t>
  </si>
  <si>
    <t>3ZT</t>
  </si>
  <si>
    <t>V3ZU DURAMAX 4107S</t>
  </si>
  <si>
    <t>3ZU</t>
  </si>
  <si>
    <t>V3ZV DURAMAX 5207S</t>
  </si>
  <si>
    <t>3ZV</t>
  </si>
  <si>
    <t>V3ZW DURAMAX 5307ST</t>
  </si>
  <si>
    <t>3ZW</t>
  </si>
  <si>
    <t>V400 DURAMAX 6357H</t>
  </si>
  <si>
    <t>400</t>
  </si>
  <si>
    <t>V401 DURAMAX 5351R</t>
  </si>
  <si>
    <t>401</t>
  </si>
  <si>
    <t>V402 DURAMAX 6457AB</t>
  </si>
  <si>
    <t>402</t>
  </si>
  <si>
    <t>V403 DURAMAX 6223.</t>
  </si>
  <si>
    <t>403</t>
  </si>
  <si>
    <t>V404 DURAMAX 7507C1M</t>
  </si>
  <si>
    <t>404</t>
  </si>
  <si>
    <t>V405 DURAMAX 7457C2M</t>
  </si>
  <si>
    <t>405</t>
  </si>
  <si>
    <t>V409 DURAMAX 5251T</t>
  </si>
  <si>
    <t>409</t>
  </si>
  <si>
    <t>V40B DURAMAX 3151B</t>
  </si>
  <si>
    <t>40B</t>
  </si>
  <si>
    <t>V40C DURAMAX  6337AJ1</t>
  </si>
  <si>
    <t>40C</t>
  </si>
  <si>
    <t>V40D SIN FINOS C/HIDRATIUM</t>
  </si>
  <si>
    <t>40D</t>
  </si>
  <si>
    <t>V40E DURAMAX 6357C2</t>
  </si>
  <si>
    <t>40E</t>
  </si>
  <si>
    <t>V40F DURAMAX 7427T</t>
  </si>
  <si>
    <t>40F</t>
  </si>
  <si>
    <t>V40G DURAMAX 6257A</t>
  </si>
  <si>
    <t>40G</t>
  </si>
  <si>
    <t>V40H DURAMAX 5351T</t>
  </si>
  <si>
    <t>40H</t>
  </si>
  <si>
    <t>V40I DURAMAX  6437BM</t>
  </si>
  <si>
    <t>40I</t>
  </si>
  <si>
    <t>V40J DURAMAX  3301D3M</t>
  </si>
  <si>
    <t>40J</t>
  </si>
  <si>
    <t>V40K DURAMAX  3401D3M</t>
  </si>
  <si>
    <t>40K</t>
  </si>
  <si>
    <t>V40L DURAMAX  3201D3</t>
  </si>
  <si>
    <t>40L</t>
  </si>
  <si>
    <t>V40M DURAMAX  5327T</t>
  </si>
  <si>
    <t>40M</t>
  </si>
  <si>
    <t>V40N C/EXCLUSOR DE AIRE, FIB Y TC</t>
  </si>
  <si>
    <t>40N</t>
  </si>
  <si>
    <t>V40O DURAMAX 5357 TE 4HRS</t>
  </si>
  <si>
    <t>40O</t>
  </si>
  <si>
    <t>V40P DURAMAX 6357 TE 4HRS</t>
  </si>
  <si>
    <t>40P</t>
  </si>
  <si>
    <t>V40R DURAMAX 7457AC2J3</t>
  </si>
  <si>
    <t>40R</t>
  </si>
  <si>
    <t>V40S COLOR IXTAPA</t>
  </si>
  <si>
    <t>40S</t>
  </si>
  <si>
    <t>V40T CONCRETO ECOLOGICO ALTO DESEMPEÑO</t>
  </si>
  <si>
    <t>40T</t>
  </si>
  <si>
    <t>V40U DURAMAX 7407ST</t>
  </si>
  <si>
    <t>40U</t>
  </si>
  <si>
    <t>V40X DURAMAX 7427AC2J1</t>
  </si>
  <si>
    <t>40X</t>
  </si>
  <si>
    <t>V40Y DURAMAX 6357D3M</t>
  </si>
  <si>
    <t>40Y</t>
  </si>
  <si>
    <t>V40Z DURAMAX 6257D3M</t>
  </si>
  <si>
    <t>40Z</t>
  </si>
  <si>
    <t>V410 DURAMAX 6257D3</t>
  </si>
  <si>
    <t>410</t>
  </si>
  <si>
    <t>V411 DURAMAX 7557</t>
  </si>
  <si>
    <t>411</t>
  </si>
  <si>
    <t>V415 DURAMAX 7407D3S C/TEMP CTRL 31.</t>
  </si>
  <si>
    <t>415</t>
  </si>
  <si>
    <t>V416 DURAMAX 7407D3S C/TEMP CTRL 27.</t>
  </si>
  <si>
    <t>416</t>
  </si>
  <si>
    <t>V417 DURAMAX 7407D3S C/TEMP CTRL 22.</t>
  </si>
  <si>
    <t>417</t>
  </si>
  <si>
    <t>V419 DURAMAX 8357B</t>
  </si>
  <si>
    <t>419</t>
  </si>
  <si>
    <t>V41A DURAMAX REL A/C 0.38 C/TC E INH CORROSION</t>
  </si>
  <si>
    <t>41A</t>
  </si>
  <si>
    <t>V41B DURAMAX 7537AJ2</t>
  </si>
  <si>
    <t>41B</t>
  </si>
  <si>
    <t>V41C DURAMAX 3101D4S</t>
  </si>
  <si>
    <t>41C</t>
  </si>
  <si>
    <t>V41D DURAMAX 6207D3</t>
  </si>
  <si>
    <t>41D</t>
  </si>
  <si>
    <t>V41E DURAMAX 6307D3M</t>
  </si>
  <si>
    <t>41E</t>
  </si>
  <si>
    <t>V41F DENSIDAD EQUILIBRIO 1200 KG/M3</t>
  </si>
  <si>
    <t>41F</t>
  </si>
  <si>
    <t>V41G DURAMAX 7537A</t>
  </si>
  <si>
    <t>41G</t>
  </si>
  <si>
    <t>V41H DURAMAX 7227S</t>
  </si>
  <si>
    <t>41H</t>
  </si>
  <si>
    <t>V41I DURAMAX 6457ES</t>
  </si>
  <si>
    <t>41I</t>
  </si>
  <si>
    <t>V41K DURAMX 3221S</t>
  </si>
  <si>
    <t>41K</t>
  </si>
  <si>
    <t>V41L DURAMAX 6207AC2</t>
  </si>
  <si>
    <t>41L</t>
  </si>
  <si>
    <t>V41M DURAMAX 5207D6</t>
  </si>
  <si>
    <t>41M</t>
  </si>
  <si>
    <t>V41N DURAMAX 6307D6</t>
  </si>
  <si>
    <t>41N</t>
  </si>
  <si>
    <t>V41O DURAMAX 7407D6</t>
  </si>
  <si>
    <t>41O</t>
  </si>
  <si>
    <t>V41P DURAMAX 5207D6S</t>
  </si>
  <si>
    <t>41P</t>
  </si>
  <si>
    <t>V41Q DURAMAX 6307D6S</t>
  </si>
  <si>
    <t>41Q</t>
  </si>
  <si>
    <t>V41R DURAMAX 7407D6S</t>
  </si>
  <si>
    <t>41R</t>
  </si>
  <si>
    <t>V41S DURAMAX 2351S</t>
  </si>
  <si>
    <t>41S</t>
  </si>
  <si>
    <t>V41T DURAMAX 2351</t>
  </si>
  <si>
    <t>41T</t>
  </si>
  <si>
    <t>V41V DURAMAX 6107C1</t>
  </si>
  <si>
    <t>41V</t>
  </si>
  <si>
    <t>V41W DURAMAX 6107C1M</t>
  </si>
  <si>
    <t>41W</t>
  </si>
  <si>
    <t>V41X DURAMAX 7507C1</t>
  </si>
  <si>
    <t>41X</t>
  </si>
  <si>
    <t>V41Y DURAMAX 5207D4S</t>
  </si>
  <si>
    <t>41Y</t>
  </si>
  <si>
    <t>V420 DURAMAX 5201D4</t>
  </si>
  <si>
    <t>420</t>
  </si>
  <si>
    <t>V421 DURAMAX 5301D4</t>
  </si>
  <si>
    <t>421</t>
  </si>
  <si>
    <t>V422 DURAMAX 6227AC2</t>
  </si>
  <si>
    <t>422</t>
  </si>
  <si>
    <t>V423 SUELO CEMENTO C/HIDRATIUM</t>
  </si>
  <si>
    <t>423</t>
  </si>
  <si>
    <t>V425 DURAMAX 7457E</t>
  </si>
  <si>
    <t>425</t>
  </si>
  <si>
    <t>V426 HIDRATIUM ESTAMPADO C/FIBRA</t>
  </si>
  <si>
    <t>426</t>
  </si>
  <si>
    <t>V427 DURAMAX 7657</t>
  </si>
  <si>
    <t>427</t>
  </si>
  <si>
    <t>V428 DURAMAX 4307D3</t>
  </si>
  <si>
    <t>428</t>
  </si>
  <si>
    <t>V429 DURAMAX 8757</t>
  </si>
  <si>
    <t>429</t>
  </si>
  <si>
    <t>V42A DURAMAX 4401M</t>
  </si>
  <si>
    <t>42A</t>
  </si>
  <si>
    <t>V42B DURAMAX 5347</t>
  </si>
  <si>
    <t>42B</t>
  </si>
  <si>
    <t>V42C DURAMAX 3201D3F</t>
  </si>
  <si>
    <t>42C</t>
  </si>
  <si>
    <t>V42D DURAMAX 6457BM</t>
  </si>
  <si>
    <t>42D</t>
  </si>
  <si>
    <t>V42F DURAMAX 6307D3</t>
  </si>
  <si>
    <t>42F</t>
  </si>
  <si>
    <t>V42G DURAMAX 3251 TRAB EXT 4HRS</t>
  </si>
  <si>
    <t>42G</t>
  </si>
  <si>
    <t>V42H DURAMAX 3251A</t>
  </si>
  <si>
    <t>42H</t>
  </si>
  <si>
    <t>V42I DURAMAX 3101D5</t>
  </si>
  <si>
    <t>42I</t>
  </si>
  <si>
    <t>V42J DURAMAX 5257 TE 4HRS</t>
  </si>
  <si>
    <t>42J</t>
  </si>
  <si>
    <t>V42K DURAMAX 6457I</t>
  </si>
  <si>
    <t>42K</t>
  </si>
  <si>
    <t>V42M DURAMAX 5357T</t>
  </si>
  <si>
    <t>42M</t>
  </si>
  <si>
    <t>V42N DURAMAX 8627</t>
  </si>
  <si>
    <t>42N</t>
  </si>
  <si>
    <t>V42O DURAMAX 8627A</t>
  </si>
  <si>
    <t>42O</t>
  </si>
  <si>
    <t>V42P DURAMAX 4321</t>
  </si>
  <si>
    <t>42P</t>
  </si>
  <si>
    <t>V42Q DURAMAX 2201A TRAB EXT 4HRS</t>
  </si>
  <si>
    <t>42Q</t>
  </si>
  <si>
    <t>V42R DURAMAX 5127</t>
  </si>
  <si>
    <t>42R</t>
  </si>
  <si>
    <t>V42S DURAMAX 9307</t>
  </si>
  <si>
    <t>42S</t>
  </si>
  <si>
    <t>V42T SMO C/TEMP CTRL 35°</t>
  </si>
  <si>
    <t>42T</t>
  </si>
  <si>
    <t>V42U DURAMAX 7427B</t>
  </si>
  <si>
    <t>42U</t>
  </si>
  <si>
    <t>V42V TRAB EXT 3HRS C/TEMP CTRL</t>
  </si>
  <si>
    <t>42V</t>
  </si>
  <si>
    <t>V42X REL A/C 0.60 C/FIBRA</t>
  </si>
  <si>
    <t>42X</t>
  </si>
  <si>
    <t>V430 DURAMAX 4451 TRAB EXT 4HRS</t>
  </si>
  <si>
    <t>430</t>
  </si>
  <si>
    <t>V431 DURAMAX 6257T</t>
  </si>
  <si>
    <t>431</t>
  </si>
  <si>
    <t>V433 DURAMAX 5301BD3</t>
  </si>
  <si>
    <t>433</t>
  </si>
  <si>
    <t>V435 DURAMAX 8207S</t>
  </si>
  <si>
    <t>435</t>
  </si>
  <si>
    <t>V436 DURAMAX 4207F</t>
  </si>
  <si>
    <t>436</t>
  </si>
  <si>
    <t>V437 DURAMAX 9557C2J4</t>
  </si>
  <si>
    <t>437</t>
  </si>
  <si>
    <t>V438 DURAMAX 7237HS</t>
  </si>
  <si>
    <t>438</t>
  </si>
  <si>
    <t>V43B DURAMAX 6327S</t>
  </si>
  <si>
    <t>43B</t>
  </si>
  <si>
    <t>V43C DURAMAX 6237S TRAB EXT 3HRS</t>
  </si>
  <si>
    <t>43C</t>
  </si>
  <si>
    <t>V43D DURAMAX 5207BDM</t>
  </si>
  <si>
    <t>43D</t>
  </si>
  <si>
    <t>V43E DURAMAX 7327S</t>
  </si>
  <si>
    <t>43E</t>
  </si>
  <si>
    <t>V43G DURAMAX 7407D6L</t>
  </si>
  <si>
    <t>43G</t>
  </si>
  <si>
    <t>V43H DURAMAX 7407D6LS</t>
  </si>
  <si>
    <t>43H</t>
  </si>
  <si>
    <t>V43J DENSIDAD EQUILIBRIO 700 KG/M3</t>
  </si>
  <si>
    <t>43J</t>
  </si>
  <si>
    <t>V43K DURAMAX 6257S TRAB EXT 4HRS</t>
  </si>
  <si>
    <t>43K</t>
  </si>
  <si>
    <t>V43L DURAMAX 5207BM</t>
  </si>
  <si>
    <t>43L</t>
  </si>
  <si>
    <t>V43M DURAMAX 4101</t>
  </si>
  <si>
    <t>43M</t>
  </si>
  <si>
    <t>V43N DURAMAX 3251B</t>
  </si>
  <si>
    <t>43N</t>
  </si>
  <si>
    <t>V43P DURAMAX 6257AM</t>
  </si>
  <si>
    <t>43P</t>
  </si>
  <si>
    <t>V43Q C/CENIZA Y FIBRA</t>
  </si>
  <si>
    <t>43Q</t>
  </si>
  <si>
    <t>V43S DURAMAX 5101ST</t>
  </si>
  <si>
    <t>43S</t>
  </si>
  <si>
    <t>V43V DURAMAX 7457S</t>
  </si>
  <si>
    <t>43V</t>
  </si>
  <si>
    <t>V43W DURAMAX 7257H</t>
  </si>
  <si>
    <t>43W</t>
  </si>
  <si>
    <t>V43X DURAMAX 4301 TRAB EXT 3HRS</t>
  </si>
  <si>
    <t>43X</t>
  </si>
  <si>
    <t>V43Y DURAMAX 3137M</t>
  </si>
  <si>
    <t>43Y</t>
  </si>
  <si>
    <t>V43Z DURAMAX 8407</t>
  </si>
  <si>
    <t>43Z</t>
  </si>
  <si>
    <t>V440 PESO VOLUMETRICO 2000 KG/M3</t>
  </si>
  <si>
    <t>440</t>
  </si>
  <si>
    <t>V442 DURAMAX 3151T</t>
  </si>
  <si>
    <t>442</t>
  </si>
  <si>
    <t>V443 DURAMAX 7457T</t>
  </si>
  <si>
    <t>443</t>
  </si>
  <si>
    <t>V444 DURAMAX 4257 TRAB EXT 8HRS</t>
  </si>
  <si>
    <t>444</t>
  </si>
  <si>
    <t>V445 DURAMAX 5327 TRAB EXT 8HRS</t>
  </si>
  <si>
    <t>445</t>
  </si>
  <si>
    <t>V446 DURAMAX 6357D3</t>
  </si>
  <si>
    <t>446</t>
  </si>
  <si>
    <t>V447 DURAMAX 6257H</t>
  </si>
  <si>
    <t>447</t>
  </si>
  <si>
    <t>V448 DURAMAX 7207</t>
  </si>
  <si>
    <t>448</t>
  </si>
  <si>
    <t>V449 DURAMAX 8257S</t>
  </si>
  <si>
    <t>449</t>
  </si>
  <si>
    <t>V44A DURAMAX 6347MBG</t>
  </si>
  <si>
    <t>44A</t>
  </si>
  <si>
    <t>V44B DURAMAX 6207QA</t>
  </si>
  <si>
    <t>44B</t>
  </si>
  <si>
    <t>V44C DURAMAX 7457D4</t>
  </si>
  <si>
    <t>44C</t>
  </si>
  <si>
    <t>V44D DURAMAX 7457D4S</t>
  </si>
  <si>
    <t>44D</t>
  </si>
  <si>
    <t>V44F DURAMAX 5457ABM</t>
  </si>
  <si>
    <t>44F</t>
  </si>
  <si>
    <t>V44G DURAMAX 8507 RESISTENTE ALTAS TEMP</t>
  </si>
  <si>
    <t>44G</t>
  </si>
  <si>
    <t>V44H DURAMAX 4221S</t>
  </si>
  <si>
    <t>44H</t>
  </si>
  <si>
    <t>V44I DURAMAX 6207AC</t>
  </si>
  <si>
    <t>44I</t>
  </si>
  <si>
    <t>V44J AUTOCOMPACTADO TRAB EXTEN 4HRS C/IMP</t>
  </si>
  <si>
    <t>44J</t>
  </si>
  <si>
    <t>V44K  DURAMAX 6237S</t>
  </si>
  <si>
    <t>44K</t>
  </si>
  <si>
    <t>V44L  DURAMAX 7407L</t>
  </si>
  <si>
    <t>44L</t>
  </si>
  <si>
    <t>V44M DURAMAX 5327HS</t>
  </si>
  <si>
    <t>44M</t>
  </si>
  <si>
    <t>V44N DURAMAX 5407BM</t>
  </si>
  <si>
    <t>44N</t>
  </si>
  <si>
    <t>V44O HIDRATIUM REL A/C 0.45 C/IMPERMEABILIZANTE</t>
  </si>
  <si>
    <t>44O</t>
  </si>
  <si>
    <t>V44P DURAMAX 6107A</t>
  </si>
  <si>
    <t>44P</t>
  </si>
  <si>
    <t>V44Q EDIFICACION VERTICAL</t>
  </si>
  <si>
    <t>44Q</t>
  </si>
  <si>
    <t>V44R DURAMAX 5307A</t>
  </si>
  <si>
    <t>44R</t>
  </si>
  <si>
    <t>V44S DURAMAX 4131</t>
  </si>
  <si>
    <t>44S</t>
  </si>
  <si>
    <t>V44U DURAMAX 6407D4S</t>
  </si>
  <si>
    <t>44U</t>
  </si>
  <si>
    <t>V44V DURAMAX 7307D4S</t>
  </si>
  <si>
    <t>44V</t>
  </si>
  <si>
    <t>V44W DURAMAX 8457EM</t>
  </si>
  <si>
    <t>44W</t>
  </si>
  <si>
    <t>V44X DURAMAX 3151M</t>
  </si>
  <si>
    <t>44X</t>
  </si>
  <si>
    <t>V453 DURAMAX 8707</t>
  </si>
  <si>
    <t>453</t>
  </si>
  <si>
    <t>V454 DURAMAX 6357T</t>
  </si>
  <si>
    <t>454</t>
  </si>
  <si>
    <t>V455 DURAMAX 6407B</t>
  </si>
  <si>
    <t>455</t>
  </si>
  <si>
    <t>V457 DURAMAX 7257S</t>
  </si>
  <si>
    <t>457</t>
  </si>
  <si>
    <t>V458 DURAMAX 7337C1HS</t>
  </si>
  <si>
    <t>458</t>
  </si>
  <si>
    <t>V459 DURAMAX 5401D4U</t>
  </si>
  <si>
    <t>459</t>
  </si>
  <si>
    <t>V45A DURAMAX 7557S</t>
  </si>
  <si>
    <t>45A</t>
  </si>
  <si>
    <t>V45B DURAMAX 3121M</t>
  </si>
  <si>
    <t>45B</t>
  </si>
  <si>
    <t>V45C DURAMAX 5207F</t>
  </si>
  <si>
    <t>45C</t>
  </si>
  <si>
    <t>V45E DURAMAX 7457H</t>
  </si>
  <si>
    <t>45E</t>
  </si>
  <si>
    <t>V45G DURAMAX 5457ST</t>
  </si>
  <si>
    <t>45G</t>
  </si>
  <si>
    <t>V45I DURAMAX 7707D1B</t>
  </si>
  <si>
    <t>45I</t>
  </si>
  <si>
    <t>V45J C/EXCLUSOR DE AIRE</t>
  </si>
  <si>
    <t>45J</t>
  </si>
  <si>
    <t>V45K DURAMAX 6257B</t>
  </si>
  <si>
    <t>45K</t>
  </si>
  <si>
    <t>V45L DURAMAX  5307D3T</t>
  </si>
  <si>
    <t>45L</t>
  </si>
  <si>
    <t>V45M DURAMAX 4251EC2</t>
  </si>
  <si>
    <t>45M</t>
  </si>
  <si>
    <t>V45N DURAMAX 7627</t>
  </si>
  <si>
    <t>45N</t>
  </si>
  <si>
    <t>V45O DURAMAX 7407A</t>
  </si>
  <si>
    <t>45O</t>
  </si>
  <si>
    <t>V45P DURAMAX 5207D</t>
  </si>
  <si>
    <t>45P</t>
  </si>
  <si>
    <t>V45Q DURAMAX 5307D</t>
  </si>
  <si>
    <t>45Q</t>
  </si>
  <si>
    <t>V45R DURAMAX REL A/C 0.5 y TEMP CTRL 23°C</t>
  </si>
  <si>
    <t>45R</t>
  </si>
  <si>
    <t>V45S DURAMAX 6257TS</t>
  </si>
  <si>
    <t>45S</t>
  </si>
  <si>
    <t>V45V DURAMAX 6507M</t>
  </si>
  <si>
    <t>45V</t>
  </si>
  <si>
    <t>V45W DURAMAX 6401D4</t>
  </si>
  <si>
    <t>45W</t>
  </si>
  <si>
    <t>V45X DURAMAX 5401D4</t>
  </si>
  <si>
    <t>45X</t>
  </si>
  <si>
    <t>V45Y DURAMAX 4351F</t>
  </si>
  <si>
    <t>45Y</t>
  </si>
  <si>
    <t>V45Z DURAMAX 8207DM</t>
  </si>
  <si>
    <t>45Z</t>
  </si>
  <si>
    <t>V461 DURAMAX 5251U</t>
  </si>
  <si>
    <t>461</t>
  </si>
  <si>
    <t>V462 DURAMAX 5307ST TEMP CTRL 23</t>
  </si>
  <si>
    <t>462</t>
  </si>
  <si>
    <t>V463 DURAMAX 5307ST TEMP CTRL 27</t>
  </si>
  <si>
    <t>463</t>
  </si>
  <si>
    <t>V464 DURAMAX 5307ST TEMP CTRL 32</t>
  </si>
  <si>
    <t>464</t>
  </si>
  <si>
    <t>V465 DURAMAX 8457AC1</t>
  </si>
  <si>
    <t>465</t>
  </si>
  <si>
    <t>V466 DURAMAX 4301A</t>
  </si>
  <si>
    <t>466</t>
  </si>
  <si>
    <t>V467 DURAMAX 3251 C/TC TRAB EXT 4HRS</t>
  </si>
  <si>
    <t>467</t>
  </si>
  <si>
    <t>V468 DURAMAX 5257 TRAB EXT 3HRS</t>
  </si>
  <si>
    <t>468</t>
  </si>
  <si>
    <t>V469 DURAMAX 8357</t>
  </si>
  <si>
    <t>469</t>
  </si>
  <si>
    <t>V46B DURAMAX 6357ES</t>
  </si>
  <si>
    <t>46B</t>
  </si>
  <si>
    <t>V46C DURAMAX 6457ABM</t>
  </si>
  <si>
    <t>46C</t>
  </si>
  <si>
    <t>V46D DURAMAX 7437BS</t>
  </si>
  <si>
    <t>46D</t>
  </si>
  <si>
    <t>V46E DURAMAX 6207T</t>
  </si>
  <si>
    <t>46E</t>
  </si>
  <si>
    <t>V46G DURAMAX 7407AD</t>
  </si>
  <si>
    <t>46G</t>
  </si>
  <si>
    <t>V46H DURAMAX 7407S</t>
  </si>
  <si>
    <t>46H</t>
  </si>
  <si>
    <t>V46J DURAMAX 6207EM</t>
  </si>
  <si>
    <t>46J</t>
  </si>
  <si>
    <t>V46L DURAMAX 5207DS</t>
  </si>
  <si>
    <t>46L</t>
  </si>
  <si>
    <t>V46M DURAMAX 5307D4</t>
  </si>
  <si>
    <t>46M</t>
  </si>
  <si>
    <t>V46N DURAMAX 4251S</t>
  </si>
  <si>
    <t>46N</t>
  </si>
  <si>
    <t>V46O DURAMAX 7207D4A</t>
  </si>
  <si>
    <t>46O</t>
  </si>
  <si>
    <t>V46Q DURAMAX 5227S TEMP CTRL 32°C</t>
  </si>
  <si>
    <t>46Q</t>
  </si>
  <si>
    <t>V46R PERVIA</t>
  </si>
  <si>
    <t>46R</t>
  </si>
  <si>
    <t>V46S DURAMAX 6107</t>
  </si>
  <si>
    <t>46S</t>
  </si>
  <si>
    <t>V46T DURAMAX 6107S</t>
  </si>
  <si>
    <t>46T</t>
  </si>
  <si>
    <t>V46U DURAMAX 6407S</t>
  </si>
  <si>
    <t>46U</t>
  </si>
  <si>
    <t>V46V DURAMAX 7307DS</t>
  </si>
  <si>
    <t>46V</t>
  </si>
  <si>
    <t>V46W DURAMAX 5307DS</t>
  </si>
  <si>
    <t>46W</t>
  </si>
  <si>
    <t>V46X DURAMAX 5357C2</t>
  </si>
  <si>
    <t>46X</t>
  </si>
  <si>
    <t>V46Y DURAMAX 6227S</t>
  </si>
  <si>
    <t>46Y</t>
  </si>
  <si>
    <t>V46Z DURAMAX 5217ST</t>
  </si>
  <si>
    <t>46Z</t>
  </si>
  <si>
    <t>V470 DURAMAX 5351AD3</t>
  </si>
  <si>
    <t>470</t>
  </si>
  <si>
    <t>V471 DURAMAX 6327ST</t>
  </si>
  <si>
    <t>471</t>
  </si>
  <si>
    <t>V472 DURAMAX 3131</t>
  </si>
  <si>
    <t>472</t>
  </si>
  <si>
    <t>V473 DURAMAX 4151</t>
  </si>
  <si>
    <t>473</t>
  </si>
  <si>
    <t>V474 DURAMAX 5327S TEMP CTRL 24</t>
  </si>
  <si>
    <t>474</t>
  </si>
  <si>
    <t>V475 DURAMAX 6437M</t>
  </si>
  <si>
    <t>475</t>
  </si>
  <si>
    <t>V476 DURAMAX 6337 TRAB EXT 3H</t>
  </si>
  <si>
    <t>476</t>
  </si>
  <si>
    <t>V478 DURAMAX 3201BD3M</t>
  </si>
  <si>
    <t>478</t>
  </si>
  <si>
    <t>V479 DURAMAX 5207D4</t>
  </si>
  <si>
    <t>479</t>
  </si>
  <si>
    <t>V47A DURAMAX 6357S</t>
  </si>
  <si>
    <t>47A</t>
  </si>
  <si>
    <t>V47B DURAMAX 7357S</t>
  </si>
  <si>
    <t>47B</t>
  </si>
  <si>
    <t>V47C DURAMAX 3251FT</t>
  </si>
  <si>
    <t>47C</t>
  </si>
  <si>
    <t>V47D C/COLOR 7%</t>
  </si>
  <si>
    <t>47D</t>
  </si>
  <si>
    <t>V47E DURAMAX 7437D</t>
  </si>
  <si>
    <t>47E</t>
  </si>
  <si>
    <t>V47F DURAMAX 6401T</t>
  </si>
  <si>
    <t>47F</t>
  </si>
  <si>
    <t>V47G REL A/C 0.30</t>
  </si>
  <si>
    <t>47G</t>
  </si>
  <si>
    <t>V47H DURAMAX 6107D</t>
  </si>
  <si>
    <t>47H</t>
  </si>
  <si>
    <t>V47I DURAMAX 5257BF</t>
  </si>
  <si>
    <t>47I</t>
  </si>
  <si>
    <t>V47J DURAMAX 5457AJ1S</t>
  </si>
  <si>
    <t>47J</t>
  </si>
  <si>
    <t>V47K HIDRATIUM C/FIBRA MET Y TEMP CTRL</t>
  </si>
  <si>
    <t>47K</t>
  </si>
  <si>
    <t>V47L DURAMAX 7557C2</t>
  </si>
  <si>
    <t>47L</t>
  </si>
  <si>
    <t>V47M DURAMX 7437AC21J3</t>
  </si>
  <si>
    <t>47M</t>
  </si>
  <si>
    <t>V47N DURAMAX 6401U</t>
  </si>
  <si>
    <t>47N</t>
  </si>
  <si>
    <t>V47O DURAMAX  6207D</t>
  </si>
  <si>
    <t>47O</t>
  </si>
  <si>
    <t>V47P DURAMAX 6307D</t>
  </si>
  <si>
    <t>47P</t>
  </si>
  <si>
    <t>V47Q DURAMX 6157AJ1</t>
  </si>
  <si>
    <t>47Q</t>
  </si>
  <si>
    <t>V47R DURAMAX 6257AJ1</t>
  </si>
  <si>
    <t>47R</t>
  </si>
  <si>
    <t>V47S DURAMAX 6357AJ1</t>
  </si>
  <si>
    <t>47S</t>
  </si>
  <si>
    <t>V47T DURAMAX 6127AJ1</t>
  </si>
  <si>
    <t>47T</t>
  </si>
  <si>
    <t>V47U DURAMAX 6227AJ1</t>
  </si>
  <si>
    <t>47U</t>
  </si>
  <si>
    <t>V47V DURAMAX 6327AJ1</t>
  </si>
  <si>
    <t>47V</t>
  </si>
  <si>
    <t>V47W DURAMAX 7501</t>
  </si>
  <si>
    <t>47W</t>
  </si>
  <si>
    <t>V47X DURAMAX 8357ED1</t>
  </si>
  <si>
    <t>47X</t>
  </si>
  <si>
    <t>V47Y DURAMAX 9457S</t>
  </si>
  <si>
    <t>47Y</t>
  </si>
  <si>
    <t>V47Z DURAMAX 9807</t>
  </si>
  <si>
    <t>47Z</t>
  </si>
  <si>
    <t>V480 DURAMAX 6127MS</t>
  </si>
  <si>
    <t>480</t>
  </si>
  <si>
    <t>V482 C/CENIZA E HIDRATIUM</t>
  </si>
  <si>
    <t>482</t>
  </si>
  <si>
    <t>V484 DURAMAX 8427S</t>
  </si>
  <si>
    <t>484</t>
  </si>
  <si>
    <t>V488 DURAMAX 8457D1</t>
  </si>
  <si>
    <t>488</t>
  </si>
  <si>
    <t>V489 RES A SULFATOS C/HID C/TEMP CTRL 30C</t>
  </si>
  <si>
    <t>489</t>
  </si>
  <si>
    <t>V48D DURAMAX 7427S</t>
  </si>
  <si>
    <t>48D</t>
  </si>
  <si>
    <t>V48G DURAMAX 6607</t>
  </si>
  <si>
    <t>48G</t>
  </si>
  <si>
    <t>V48H DURAMAX 7227M</t>
  </si>
  <si>
    <t>48H</t>
  </si>
  <si>
    <t>V48I DURAMAX 6207D6S</t>
  </si>
  <si>
    <t>48I</t>
  </si>
  <si>
    <t>V48J DURAMAX 7307D6S</t>
  </si>
  <si>
    <t>48J</t>
  </si>
  <si>
    <t>V48K DURAMAX 8307</t>
  </si>
  <si>
    <t>48K</t>
  </si>
  <si>
    <t>V48L DURAMAX 7407CS</t>
  </si>
  <si>
    <t>48L</t>
  </si>
  <si>
    <t>V48M DURAMAX 5351C1</t>
  </si>
  <si>
    <t>48M</t>
  </si>
  <si>
    <t>V48N DURAMAX 5301C1</t>
  </si>
  <si>
    <t>48N</t>
  </si>
  <si>
    <t>V48O DURAMAX 5251B</t>
  </si>
  <si>
    <t>48O</t>
  </si>
  <si>
    <t>V48P DURAMAX 6257F</t>
  </si>
  <si>
    <t>48P</t>
  </si>
  <si>
    <t>V48Q DURAMAX 8507SC</t>
  </si>
  <si>
    <t>48Q</t>
  </si>
  <si>
    <t>V48R DURAMAX 6527</t>
  </si>
  <si>
    <t>48R</t>
  </si>
  <si>
    <t>V48T DURAMAX 7307D4</t>
  </si>
  <si>
    <t>48T</t>
  </si>
  <si>
    <t>V48U DURAMAX 7427AD2E</t>
  </si>
  <si>
    <t>48U</t>
  </si>
  <si>
    <t>V48V DURAMAX 6207D6</t>
  </si>
  <si>
    <t>48V</t>
  </si>
  <si>
    <t>V48W DURAMAX 7307D6</t>
  </si>
  <si>
    <t>48W</t>
  </si>
  <si>
    <t>V48X DURAMAX 5407D</t>
  </si>
  <si>
    <t>48X</t>
  </si>
  <si>
    <t>V48Y DURAMAX 7357QA</t>
  </si>
  <si>
    <t>48Y</t>
  </si>
  <si>
    <t>V48Z  DURAMAX 6307EF</t>
  </si>
  <si>
    <t>48Z</t>
  </si>
  <si>
    <t>V490 DURAMAX 5207D3S</t>
  </si>
  <si>
    <t>490</t>
  </si>
  <si>
    <t>V491 DURAMAX 6207BDM</t>
  </si>
  <si>
    <t>491</t>
  </si>
  <si>
    <t>V492 DURAMAX 5237S</t>
  </si>
  <si>
    <t>492</t>
  </si>
  <si>
    <t>V493 DURAMAX 5137S</t>
  </si>
  <si>
    <t>493</t>
  </si>
  <si>
    <t>V494 DURAMAX 6127M</t>
  </si>
  <si>
    <t>494</t>
  </si>
  <si>
    <t>V495 DURAMAX 8437S</t>
  </si>
  <si>
    <t>495</t>
  </si>
  <si>
    <t>V496 DURAMAX 7357H</t>
  </si>
  <si>
    <t>496</t>
  </si>
  <si>
    <t>V498 DURAMAX 4251T</t>
  </si>
  <si>
    <t>498</t>
  </si>
  <si>
    <t>V499 DURAMAX 5207E</t>
  </si>
  <si>
    <t>499</t>
  </si>
  <si>
    <t>V49A DURAMAX 6427E</t>
  </si>
  <si>
    <t>49A</t>
  </si>
  <si>
    <t>V49C DURAMAX 6327M</t>
  </si>
  <si>
    <t>49C</t>
  </si>
  <si>
    <t>V49D DURAMAX 5327AJ2</t>
  </si>
  <si>
    <t>49D</t>
  </si>
  <si>
    <t>DURAMAX 6427S TEMP CTRL 27°C</t>
  </si>
  <si>
    <t>49E</t>
  </si>
  <si>
    <t>V49F DURAMAX 6427S TEMP CTRL 23°C</t>
  </si>
  <si>
    <t>49F</t>
  </si>
  <si>
    <t>V49G DURAMAX 6427S TEMP CTRL 32°C</t>
  </si>
  <si>
    <t>49G</t>
  </si>
  <si>
    <t>V49H DURAMAX 6301D6</t>
  </si>
  <si>
    <t>49H</t>
  </si>
  <si>
    <t>V49I DURAMAX 6301D6S</t>
  </si>
  <si>
    <t>49I</t>
  </si>
  <si>
    <t>V49K DURAMAX 5251S</t>
  </si>
  <si>
    <t>49K</t>
  </si>
  <si>
    <t>V49L DURAMAX 5427S TEMP CTRL 32°C</t>
  </si>
  <si>
    <t>49L</t>
  </si>
  <si>
    <t>V49M DURAMAX 7427AS TEMP CTRL 27°C</t>
  </si>
  <si>
    <t>49M</t>
  </si>
  <si>
    <t>V49N DURAMAX  7427C2S TEMP CTRL 27°C</t>
  </si>
  <si>
    <t>49N</t>
  </si>
  <si>
    <t>V49O DURAMAX 5301D5S</t>
  </si>
  <si>
    <t>49O</t>
  </si>
  <si>
    <t>V49P DURAMAX 5427BS</t>
  </si>
  <si>
    <t>49P</t>
  </si>
  <si>
    <t>V49R REDUCRACK</t>
  </si>
  <si>
    <t>49R</t>
  </si>
  <si>
    <t>V49T DURAMAX 7201</t>
  </si>
  <si>
    <t>49T</t>
  </si>
  <si>
    <t>V49U DURAMAX 6427M</t>
  </si>
  <si>
    <t>49U</t>
  </si>
  <si>
    <t>V49V REDUCRACK-IMPER 1%</t>
  </si>
  <si>
    <t>49V</t>
  </si>
  <si>
    <t>V49W DURAMAX 6507T</t>
  </si>
  <si>
    <t>49W</t>
  </si>
  <si>
    <t>V49X DURAMAX 8727C2A</t>
  </si>
  <si>
    <t>49X</t>
  </si>
  <si>
    <t>V49Y DURAMAX 8727</t>
  </si>
  <si>
    <t>49Y</t>
  </si>
  <si>
    <t>V49Z DURAMAX 4457</t>
  </si>
  <si>
    <t>49Z</t>
  </si>
  <si>
    <t>V4A0 DURAMAX 4257BI</t>
  </si>
  <si>
    <t>4A0</t>
  </si>
  <si>
    <t>V49Z DURAMAX 6627S</t>
  </si>
  <si>
    <t>4A1</t>
  </si>
  <si>
    <t>V4A2 DURAMAX 3201T</t>
  </si>
  <si>
    <t>4A2</t>
  </si>
  <si>
    <t>V4A3 DURAMAX 3307</t>
  </si>
  <si>
    <t>4A3</t>
  </si>
  <si>
    <t>V4A5 DURAMAX 4257GO</t>
  </si>
  <si>
    <t>4A5</t>
  </si>
  <si>
    <t>V4A7 DURAMAX 5327S</t>
  </si>
  <si>
    <t>4A7</t>
  </si>
  <si>
    <t>V4A8 DURAMAX  6451AE7</t>
  </si>
  <si>
    <t>4A8</t>
  </si>
  <si>
    <t>V4A9 DURAMAX 6207B</t>
  </si>
  <si>
    <t>4A9</t>
  </si>
  <si>
    <t>V4AA DURAMAX 6457B</t>
  </si>
  <si>
    <t>4AA</t>
  </si>
  <si>
    <t>V4AB DURAMAX 7407D4</t>
  </si>
  <si>
    <t>4AB</t>
  </si>
  <si>
    <t>V4AC DURAMAX 7407D4S</t>
  </si>
  <si>
    <t>4AC</t>
  </si>
  <si>
    <t>V4AF DURAMAX 5357AO</t>
  </si>
  <si>
    <t>4AF</t>
  </si>
  <si>
    <t>V4AG DURAMAX 7807D4</t>
  </si>
  <si>
    <t>4AG</t>
  </si>
  <si>
    <t>V4AH DURAMAX 6457BG</t>
  </si>
  <si>
    <t>4AH</t>
  </si>
  <si>
    <t>V4AI DURAMAX 5257BG</t>
  </si>
  <si>
    <t>4AI</t>
  </si>
  <si>
    <t>V4AK DURAMAX 4257B</t>
  </si>
  <si>
    <t>4AK</t>
  </si>
  <si>
    <t>V4AL DURAMAX 6227ABS</t>
  </si>
  <si>
    <t>4AL</t>
  </si>
  <si>
    <t>V4AM DURAMX 6507GOT</t>
  </si>
  <si>
    <t>4AM</t>
  </si>
  <si>
    <t>V4AN DURAMAX 7457C2O</t>
  </si>
  <si>
    <t>4AN</t>
  </si>
  <si>
    <t>V4AO DURAMAX 6427IS.</t>
  </si>
  <si>
    <t>4AO</t>
  </si>
  <si>
    <t>V4AP DURAMAX 6427I</t>
  </si>
  <si>
    <t>4AP</t>
  </si>
  <si>
    <t>V4AQ DURAMX 6427OS</t>
  </si>
  <si>
    <t>4AQ</t>
  </si>
  <si>
    <t>V4AR DURAMAX 62217OT</t>
  </si>
  <si>
    <t>4AR</t>
  </si>
  <si>
    <t>V4AS DURAMAX  6421AS</t>
  </si>
  <si>
    <t>4AS</t>
  </si>
  <si>
    <t>V4AT DURAMAX 7227H</t>
  </si>
  <si>
    <t>4AT</t>
  </si>
  <si>
    <t>V4AU DURAMAX 53517</t>
  </si>
  <si>
    <t>4AU</t>
  </si>
  <si>
    <t>V4AV DURAMAX 5257BI</t>
  </si>
  <si>
    <t>4AV</t>
  </si>
  <si>
    <t>V4B0 DURAMAX  5651T</t>
  </si>
  <si>
    <t>4B0</t>
  </si>
  <si>
    <t>V4B1 DURAMAX 5527O</t>
  </si>
  <si>
    <t>4B1</t>
  </si>
  <si>
    <t>V4B2 DURAMAX 3207S</t>
  </si>
  <si>
    <t>4B2</t>
  </si>
  <si>
    <t>V4B3 DURAMAX 5201D6S</t>
  </si>
  <si>
    <t>4B3</t>
  </si>
  <si>
    <t>V4B4 DURAMAX 7357ABOS</t>
  </si>
  <si>
    <t>4B4</t>
  </si>
  <si>
    <t>V4B5 DURAMAX 5427O</t>
  </si>
  <si>
    <t>4B5</t>
  </si>
  <si>
    <t>V4B6 DURAMAX 6427O</t>
  </si>
  <si>
    <t>4B6</t>
  </si>
  <si>
    <t>V4B7 DURAMAX 7407GO</t>
  </si>
  <si>
    <t>4B7</t>
  </si>
  <si>
    <t>V4B8 DURAMAX 5207T</t>
  </si>
  <si>
    <t>4B8</t>
  </si>
  <si>
    <t>V4B9 DURAMAX  5207BIO</t>
  </si>
  <si>
    <t>4B9</t>
  </si>
  <si>
    <t>V4C0 DURAMAX 5451T</t>
  </si>
  <si>
    <t>4C0</t>
  </si>
  <si>
    <t>V4C1 PESO VOLUMETRICO 1200 KG/M3 C/FIBRA</t>
  </si>
  <si>
    <t>4C1</t>
  </si>
  <si>
    <t>V4C3 PESO VOLUMETRICO 1300 KG/M3 C/FIBRA</t>
  </si>
  <si>
    <t>4C3</t>
  </si>
  <si>
    <t>V4C4 DURAMAX  5321A</t>
  </si>
  <si>
    <t>4C4</t>
  </si>
  <si>
    <t>V4C8 DURAMAX 6407DS</t>
  </si>
  <si>
    <t>4C8</t>
  </si>
  <si>
    <t>V4D1 DURAMAX 7427AB</t>
  </si>
  <si>
    <t>4D1</t>
  </si>
  <si>
    <t>V4D2 DURAMAX 5257O</t>
  </si>
  <si>
    <t>4D2</t>
  </si>
  <si>
    <t>V4D3 DURAMAX 6357I</t>
  </si>
  <si>
    <t>4D3</t>
  </si>
  <si>
    <t>V4D4 DURAMAX 5301D5</t>
  </si>
  <si>
    <t>4D4</t>
  </si>
  <si>
    <t>V4D5 DURAMAX 5451BI</t>
  </si>
  <si>
    <t>4D5</t>
  </si>
  <si>
    <t>V4D6 DURAMAX 3301D3</t>
  </si>
  <si>
    <t>4D6</t>
  </si>
  <si>
    <t>V4D7 DURAMAX 5427M</t>
  </si>
  <si>
    <t>4D7</t>
  </si>
  <si>
    <t>V4D8 DURAMAX 4257BG</t>
  </si>
  <si>
    <t>4D8</t>
  </si>
  <si>
    <t>V4D9 DURAMAX 7707C1</t>
  </si>
  <si>
    <t>4D9</t>
  </si>
  <si>
    <t>V4E0 DURAMAX 4207D4T</t>
  </si>
  <si>
    <t>4E0</t>
  </si>
  <si>
    <t>Definición de la Variante</t>
  </si>
  <si>
    <t>Se realizó cálculo del alabeo por parte del diseñador</t>
  </si>
  <si>
    <t>1.-Datos Generales</t>
  </si>
  <si>
    <t>2.-Descripción de los materiales.</t>
  </si>
  <si>
    <t>2.1.- Cemento</t>
  </si>
  <si>
    <t xml:space="preserve">2.2.- Aditivos </t>
  </si>
  <si>
    <t>Nombre</t>
  </si>
  <si>
    <t>Código</t>
  </si>
  <si>
    <t>2.3.- Gravas</t>
  </si>
  <si>
    <t>2.4.- Arenas</t>
  </si>
  <si>
    <t>Planta de producción:</t>
  </si>
  <si>
    <t>Aditivo Fluidificante:</t>
  </si>
  <si>
    <t>Aditivo línea:</t>
  </si>
  <si>
    <t>Código Grava 2:</t>
  </si>
  <si>
    <t>Código Grava 1:</t>
  </si>
  <si>
    <t>Código Grava 3:</t>
  </si>
  <si>
    <t>T.M.N.A.</t>
  </si>
  <si>
    <t>Código Arena 1</t>
  </si>
  <si>
    <t>Código Arena 2</t>
  </si>
  <si>
    <t>3.2.- Resultados de resistencia</t>
  </si>
  <si>
    <t xml:space="preserve">                                            Granulometría</t>
  </si>
  <si>
    <t>3.- Datos para el Diseño y Resultados</t>
  </si>
  <si>
    <t>3.1.- Mediciones</t>
  </si>
  <si>
    <t>4.- Resumen del Diseño</t>
  </si>
  <si>
    <t xml:space="preserve">Cant. Cemento = </t>
  </si>
  <si>
    <t>Agua en SSS=</t>
  </si>
  <si>
    <t>Contenido de aire=</t>
  </si>
  <si>
    <t>1.1.- Datos del cliente</t>
  </si>
  <si>
    <t>1.2.- Datos de la construcción</t>
  </si>
  <si>
    <t>1.3.- Modulación del piso</t>
  </si>
  <si>
    <t>1.4.- Datos particulares</t>
  </si>
  <si>
    <t>¿Cual es la relación "ancho / espesor"?  (no mayor de 24 veces)</t>
  </si>
  <si>
    <t>¿Cual es la relación "largo / ancho"? (se deberá mantener entre 0.7 a 1.4)</t>
  </si>
  <si>
    <t>Contracción del estudio a los 84 días (28 humedo ; 56 secado)</t>
  </si>
  <si>
    <t xml:space="preserve">Tamaño máximo de agregado </t>
  </si>
  <si>
    <t>Huichapan</t>
  </si>
  <si>
    <t>Bueno</t>
  </si>
  <si>
    <t>GRAMOL</t>
  </si>
  <si>
    <t xml:space="preserve">GRAMOL </t>
  </si>
  <si>
    <t>Carlos Alberto Magallón Guerrero</t>
  </si>
  <si>
    <t>Garcia A.</t>
  </si>
  <si>
    <t>Ramon A.</t>
  </si>
  <si>
    <t>Lagos De Moreno</t>
  </si>
  <si>
    <t>Hazama</t>
  </si>
  <si>
    <t>B-042-4-B-28-14-0-O-110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</si>
</sst>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dd\ &quot;de&quot;\ mmmm\ &quot;de&quot;\ yyyy"/>
    <numFmt numFmtId="166" formatCode="0.0"/>
    <numFmt numFmtId="167" formatCode="0.00000"/>
    <numFmt numFmtId="168" formatCode="0.000"/>
    <numFmt numFmtId="169" formatCode="0.0000"/>
    <numFmt numFmtId="170" formatCode="0.0%"/>
    <numFmt numFmtId="171" formatCode="0.000000000000"/>
    <numFmt numFmtId="172" formatCode="0.00000000000"/>
    <numFmt numFmtId="173" formatCode="0.0000000000000"/>
    <numFmt numFmtId="174" formatCode="0.00000000000000"/>
    <numFmt numFmtId="175" formatCode="@\ &quot;(ml)&quot;"/>
    <numFmt numFmtId="176" formatCode="@\ &quot;ml/kgC&quot;"/>
    <numFmt numFmtId="177" formatCode="@\ &quot;(ml) adicionados&quot;"/>
    <numFmt numFmtId="178" formatCode="\i\f\=\1\ &quot;muy bueno&quot;"/>
    <numFmt numFmtId="179" formatCode="@\ &quot;kg/m3&quot;"/>
    <numFmt numFmtId="180" formatCode="@\ &quot;(g)&quot;"/>
    <numFmt numFmtId="181" formatCode="@\ &quot;(g) adicionados&quot;"/>
    <numFmt numFmtId="182" formatCode="#,##0.00_ ;\-#,##0.00\ "/>
    <numFmt numFmtId="183" formatCode="0.00\ &quot;m²&quot;"/>
    <numFmt numFmtId="184" formatCode="0\ &quot;cm&quot;"/>
    <numFmt numFmtId="185" formatCode="0\ &quot;m³&quot;"/>
    <numFmt numFmtId="186" formatCode="[$-F800]dddd\,\ mmmm\ dd\,\ yyyy"/>
    <numFmt numFmtId="187" formatCode="0\ &quot;Minutos&quot;"/>
    <numFmt numFmtId="188" formatCode="0\ &quot;cm2/g&quot;"/>
    <numFmt numFmtId="189" formatCode="0.000%"/>
    <numFmt numFmtId="190" formatCode="0.00\ &quot;cc&quot;"/>
    <numFmt numFmtId="191" formatCode="0.00\ &quot;gr&quot;"/>
    <numFmt numFmtId="192" formatCode="0.00\ &quot;Kg&quot;"/>
    <numFmt numFmtId="193" formatCode="0\ &quot;mm&quot;"/>
    <numFmt numFmtId="194" formatCode="0\ &quot;°C&quot;"/>
    <numFmt numFmtId="195" formatCode="0\ &quot;millonésimas&quot;"/>
    <numFmt numFmtId="196" formatCode="0\ &quot;Kg/m³&quot;"/>
    <numFmt numFmtId="197" formatCode="0\ &quot;Días&quot;"/>
    <numFmt numFmtId="198" formatCode="&quot;+/-&quot;\ 0.0\ &quot;cm&quot;"/>
    <numFmt numFmtId="199" formatCode="0\ &quot;Kg/cm²&quot;"/>
    <numFmt numFmtId="200" formatCode="0.00\ &quot;kg/m3&quot;"/>
    <numFmt numFmtId="201" formatCode="0.00\ &quot;lt/m3&quot;"/>
    <numFmt numFmtId="202" formatCode="0.0\ &quot;veces el espesor&quot;"/>
    <numFmt numFmtId="203" formatCode="0.00\ &quot;m&quot;"/>
    <numFmt numFmtId="204" formatCode="0.00\ &quot;Kg/m³&quot;"/>
    <numFmt numFmtId="205" formatCode="_-* #,##0_-;\-* #,##0_-;_-* &quot;-&quot;??_-;_-@_-"/>
  </numFmts>
  <fonts count="97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6"/>
      <name val="Verdana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8"/>
      <color indexed="18"/>
      <name val="Arial"/>
      <family val="2"/>
    </font>
    <font>
      <b/>
      <sz val="8"/>
      <name val="Arial"/>
      <family val="2"/>
    </font>
    <font>
      <b/>
      <sz val="8"/>
      <color indexed="32"/>
      <name val="Arial"/>
      <family val="2"/>
    </font>
    <font>
      <sz val="8"/>
      <color indexed="32"/>
      <name val="Arial"/>
      <family val="2"/>
    </font>
    <font>
      <vertAlign val="superscript"/>
      <sz val="8"/>
      <name val="Arial"/>
      <family val="2"/>
    </font>
    <font>
      <sz val="8"/>
      <name val="Arial"/>
      <family val="2"/>
    </font>
    <font>
      <b/>
      <vertAlign val="superscript"/>
      <sz val="8"/>
      <name val="Arial"/>
      <family val="2"/>
    </font>
    <font>
      <b/>
      <sz val="8"/>
      <color indexed="32"/>
      <name val="Arial"/>
      <family val="2"/>
    </font>
    <font>
      <vertAlign val="superscript"/>
      <sz val="8"/>
      <color indexed="32"/>
      <name val="Arial"/>
      <family val="2"/>
    </font>
    <font>
      <sz val="7"/>
      <name val="Arial"/>
      <family val="2"/>
    </font>
    <font>
      <b/>
      <sz val="8"/>
      <color indexed="9"/>
      <name val="Arial"/>
      <family val="2"/>
    </font>
    <font>
      <sz val="8"/>
      <color indexed="9"/>
      <name val="Arial"/>
      <family val="2"/>
    </font>
    <font>
      <sz val="10"/>
      <color indexed="9"/>
      <name val="Arial"/>
      <family val="2"/>
    </font>
    <font>
      <vertAlign val="subscript"/>
      <sz val="8"/>
      <name val="Arial"/>
      <family val="2"/>
    </font>
    <font>
      <sz val="8"/>
      <color indexed="57"/>
      <name val="Arial"/>
      <family val="2"/>
    </font>
    <font>
      <b/>
      <sz val="8"/>
      <color indexed="8"/>
      <name val="Arial"/>
      <family val="2"/>
    </font>
    <font>
      <b/>
      <sz val="10"/>
      <color indexed="8"/>
      <name val="Arial"/>
      <family val="2"/>
    </font>
    <font>
      <sz val="8"/>
      <color indexed="10"/>
      <name val="Arial"/>
      <family val="2"/>
    </font>
    <font>
      <vertAlign val="superscript"/>
      <sz val="8"/>
      <color indexed="10"/>
      <name val="Arial"/>
      <family val="2"/>
    </font>
    <font>
      <sz val="8"/>
      <color indexed="81"/>
      <name val="Tahoma"/>
      <family val="2"/>
    </font>
    <font>
      <sz val="8"/>
      <name val="Tahoma"/>
      <family val="2"/>
    </font>
    <font>
      <b/>
      <sz val="8"/>
      <color indexed="81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8"/>
      <name val="Tahoma"/>
      <family val="2"/>
    </font>
    <font>
      <sz val="8"/>
      <color indexed="9"/>
      <name val="Tahoma"/>
      <family val="2"/>
    </font>
    <font>
      <sz val="10"/>
      <name val="Tahoma"/>
      <family val="2"/>
    </font>
    <font>
      <sz val="9"/>
      <color indexed="9"/>
      <name val="Tahoma"/>
      <family val="2"/>
    </font>
    <font>
      <b/>
      <sz val="10"/>
      <name val="Tahoma"/>
      <family val="2"/>
    </font>
    <font>
      <b/>
      <sz val="9"/>
      <name val="Tahoma"/>
      <family val="2"/>
    </font>
    <font>
      <b/>
      <sz val="16"/>
      <color indexed="10"/>
      <name val="Arial"/>
      <family val="2"/>
    </font>
    <font>
      <b/>
      <sz val="10"/>
      <color indexed="9"/>
      <name val="Arial"/>
      <family val="2"/>
    </font>
    <font>
      <b/>
      <sz val="14"/>
      <color indexed="10"/>
      <name val="Arial"/>
      <family val="2"/>
    </font>
    <font>
      <b/>
      <sz val="12"/>
      <color indexed="18"/>
      <name val="Arial"/>
      <family val="2"/>
    </font>
    <font>
      <sz val="10"/>
      <name val="Arial"/>
      <family val="2"/>
    </font>
    <font>
      <b/>
      <sz val="14"/>
      <color indexed="18"/>
      <name val="Arial"/>
      <family val="2"/>
    </font>
    <font>
      <sz val="10"/>
      <color indexed="10"/>
      <name val="Arial"/>
      <family val="2"/>
    </font>
    <font>
      <b/>
      <sz val="10"/>
      <color indexed="18"/>
      <name val="Arial"/>
      <family val="2"/>
    </font>
    <font>
      <sz val="10"/>
      <color indexed="18"/>
      <name val="Arial"/>
      <family val="2"/>
    </font>
    <font>
      <b/>
      <sz val="10"/>
      <color indexed="10"/>
      <name val="Arial"/>
      <family val="2"/>
    </font>
    <font>
      <sz val="10"/>
      <color indexed="22"/>
      <name val="Arial"/>
      <family val="2"/>
    </font>
    <font>
      <sz val="9"/>
      <name val="Arial"/>
      <family val="2"/>
    </font>
    <font>
      <sz val="11"/>
      <name val="Arial"/>
      <family val="2"/>
    </font>
    <font>
      <vertAlign val="subscript"/>
      <sz val="11"/>
      <name val="Arial"/>
      <family val="2"/>
    </font>
    <font>
      <vertAlign val="superscript"/>
      <sz val="11"/>
      <name val="Arial"/>
      <family val="2"/>
    </font>
    <font>
      <b/>
      <sz val="11"/>
      <color indexed="18"/>
      <name val="Arial"/>
      <family val="2"/>
    </font>
    <font>
      <sz val="12"/>
      <color indexed="18"/>
      <name val="Arial"/>
      <family val="2"/>
    </font>
    <font>
      <sz val="14"/>
      <color indexed="18"/>
      <name val="Arial"/>
      <family val="2"/>
    </font>
    <font>
      <sz val="10"/>
      <name val="Helv"/>
    </font>
    <font>
      <sz val="9"/>
      <name val="Arial"/>
      <family val="2"/>
    </font>
    <font>
      <sz val="10"/>
      <color indexed="10"/>
      <name val="Arial"/>
      <family val="2"/>
    </font>
    <font>
      <sz val="10"/>
      <color indexed="10"/>
      <name val="Tahoma"/>
      <family val="2"/>
    </font>
    <font>
      <b/>
      <sz val="7"/>
      <name val="Arial"/>
      <family val="2"/>
    </font>
    <font>
      <b/>
      <sz val="16"/>
      <name val="Arial"/>
      <family val="2"/>
    </font>
    <font>
      <sz val="8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FF0000"/>
      <name val="Tahoma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sz val="9"/>
      <color theme="0"/>
      <name val="Arial"/>
      <family val="2"/>
    </font>
    <font>
      <b/>
      <sz val="11"/>
      <color theme="0"/>
      <name val="Calibri"/>
      <family val="2"/>
      <scheme val="minor"/>
    </font>
    <font>
      <b/>
      <sz val="10"/>
      <color rgb="FF002060"/>
      <name val="Arial"/>
      <family val="2"/>
    </font>
    <font>
      <b/>
      <sz val="12"/>
      <color rgb="FF002060"/>
      <name val="Arial"/>
      <family val="2"/>
    </font>
    <font>
      <sz val="10"/>
      <name val="Calibri"/>
      <family val="2"/>
    </font>
    <font>
      <b/>
      <sz val="9"/>
      <color theme="0"/>
      <name val="Arial"/>
      <family val="2"/>
    </font>
    <font>
      <sz val="10"/>
      <color rgb="FF002060"/>
      <name val="Arial"/>
      <family val="2"/>
    </font>
    <font>
      <vertAlign val="superscript"/>
      <sz val="10"/>
      <name val="Arial"/>
      <family val="2"/>
    </font>
    <font>
      <b/>
      <sz val="12"/>
      <color theme="0"/>
      <name val="Arial"/>
      <family val="2"/>
    </font>
    <font>
      <b/>
      <sz val="11"/>
      <color rgb="FF002060"/>
      <name val="Arial"/>
      <family val="2"/>
    </font>
    <font>
      <sz val="10"/>
      <color theme="1"/>
      <name val="Arial"/>
      <family val="2"/>
    </font>
  </fonts>
  <fills count="5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31"/>
        <bgColor indexed="9"/>
      </patternFill>
    </fill>
    <fill>
      <patternFill patternType="solid">
        <fgColor indexed="5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11"/>
      </patternFill>
    </fill>
    <fill>
      <patternFill patternType="solid">
        <fgColor indexed="4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31"/>
      </patternFill>
    </fill>
    <fill>
      <patternFill patternType="solid">
        <fgColor indexed="5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41"/>
      </patternFill>
    </fill>
    <fill>
      <patternFill patternType="lightGray">
        <fgColor indexed="31"/>
        <bgColor indexed="9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59999389629810485"/>
        <bgColor indexed="64"/>
      </patternFill>
    </fill>
  </fills>
  <borders count="3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hair">
        <color indexed="1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55"/>
      </left>
      <right style="hair">
        <color indexed="64"/>
      </right>
      <top style="hair">
        <color indexed="8"/>
      </top>
      <bottom/>
      <diagonal/>
    </border>
    <border>
      <left style="hair">
        <color indexed="64"/>
      </left>
      <right style="hair">
        <color indexed="64"/>
      </right>
      <top style="hair">
        <color indexed="8"/>
      </top>
      <bottom/>
      <diagonal/>
    </border>
    <border>
      <left style="hair">
        <color indexed="64"/>
      </left>
      <right style="thin">
        <color indexed="8"/>
      </right>
      <top style="hair">
        <color indexed="8"/>
      </top>
      <bottom/>
      <diagonal/>
    </border>
    <border>
      <left/>
      <right style="hair">
        <color indexed="64"/>
      </right>
      <top style="hair">
        <color indexed="8"/>
      </top>
      <bottom/>
      <diagonal/>
    </border>
    <border>
      <left style="hair">
        <color indexed="64"/>
      </left>
      <right style="thin">
        <color indexed="64"/>
      </right>
      <top style="hair">
        <color indexed="8"/>
      </top>
      <bottom/>
      <diagonal/>
    </border>
    <border>
      <left/>
      <right style="medium">
        <color indexed="63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55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10"/>
      </bottom>
      <diagonal/>
    </border>
    <border>
      <left style="hair">
        <color indexed="64"/>
      </left>
      <right/>
      <top/>
      <bottom style="hair">
        <color indexed="10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8"/>
      </right>
      <top/>
      <bottom style="hair">
        <color indexed="10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3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10"/>
      </top>
      <bottom style="hair">
        <color indexed="10"/>
      </bottom>
      <diagonal/>
    </border>
    <border>
      <left style="hair">
        <color indexed="64"/>
      </left>
      <right/>
      <top style="hair">
        <color indexed="10"/>
      </top>
      <bottom style="hair">
        <color indexed="1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55"/>
      </left>
      <right style="hair">
        <color indexed="64"/>
      </right>
      <top/>
      <bottom style="medium">
        <color indexed="63"/>
      </bottom>
      <diagonal/>
    </border>
    <border>
      <left style="hair">
        <color indexed="64"/>
      </left>
      <right style="hair">
        <color indexed="64"/>
      </right>
      <top/>
      <bottom style="medium">
        <color indexed="63"/>
      </bottom>
      <diagonal/>
    </border>
    <border>
      <left style="hair">
        <color indexed="64"/>
      </left>
      <right/>
      <top/>
      <bottom style="medium">
        <color indexed="63"/>
      </bottom>
      <diagonal/>
    </border>
    <border>
      <left/>
      <right style="hair">
        <color indexed="64"/>
      </right>
      <top/>
      <bottom style="medium">
        <color indexed="63"/>
      </bottom>
      <diagonal/>
    </border>
    <border>
      <left style="hair">
        <color indexed="64"/>
      </left>
      <right style="thin">
        <color indexed="8"/>
      </right>
      <top/>
      <bottom style="medium">
        <color indexed="63"/>
      </bottom>
      <diagonal/>
    </border>
    <border>
      <left/>
      <right style="thin">
        <color indexed="64"/>
      </right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 style="thin">
        <color indexed="63"/>
      </right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 style="medium">
        <color indexed="63"/>
      </right>
      <top style="hair">
        <color indexed="8"/>
      </top>
      <bottom style="hair">
        <color indexed="8"/>
      </bottom>
      <diagonal/>
    </border>
    <border>
      <left style="medium">
        <color indexed="63"/>
      </left>
      <right/>
      <top/>
      <bottom/>
      <diagonal/>
    </border>
    <border>
      <left style="medium">
        <color indexed="63"/>
      </left>
      <right/>
      <top/>
      <bottom style="hair">
        <color indexed="8"/>
      </bottom>
      <diagonal/>
    </border>
    <border>
      <left/>
      <right style="medium">
        <color indexed="63"/>
      </right>
      <top/>
      <bottom style="hair">
        <color indexed="8"/>
      </bottom>
      <diagonal/>
    </border>
    <border>
      <left style="medium">
        <color indexed="63"/>
      </left>
      <right/>
      <top style="hair">
        <color indexed="8"/>
      </top>
      <bottom style="hair">
        <color indexed="8"/>
      </bottom>
      <diagonal/>
    </border>
    <border>
      <left style="thin">
        <color indexed="55"/>
      </left>
      <right style="hair">
        <color indexed="8"/>
      </right>
      <top style="hair">
        <color indexed="8"/>
      </top>
      <bottom style="medium">
        <color indexed="63"/>
      </bottom>
      <diagonal/>
    </border>
    <border>
      <left style="hair">
        <color indexed="8"/>
      </left>
      <right/>
      <top style="hair">
        <color indexed="8"/>
      </top>
      <bottom style="medium">
        <color indexed="63"/>
      </bottom>
      <diagonal/>
    </border>
    <border>
      <left/>
      <right style="hair">
        <color indexed="8"/>
      </right>
      <top style="hair">
        <color indexed="8"/>
      </top>
      <bottom style="medium">
        <color indexed="63"/>
      </bottom>
      <diagonal/>
    </border>
    <border>
      <left/>
      <right style="thin">
        <color indexed="63"/>
      </right>
      <top style="hair">
        <color indexed="8"/>
      </top>
      <bottom style="medium">
        <color indexed="63"/>
      </bottom>
      <diagonal/>
    </border>
    <border>
      <left/>
      <right/>
      <top style="hair">
        <color indexed="8"/>
      </top>
      <bottom style="medium">
        <color indexed="63"/>
      </bottom>
      <diagonal/>
    </border>
    <border>
      <left/>
      <right style="medium">
        <color indexed="63"/>
      </right>
      <top style="hair">
        <color indexed="8"/>
      </top>
      <bottom style="medium">
        <color indexed="63"/>
      </bottom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 style="medium">
        <color indexed="63"/>
      </top>
      <bottom/>
      <diagonal/>
    </border>
    <border>
      <left style="hair">
        <color indexed="64"/>
      </left>
      <right/>
      <top/>
      <bottom/>
      <diagonal/>
    </border>
    <border>
      <left style="thick">
        <color indexed="55"/>
      </left>
      <right style="hair">
        <color indexed="64"/>
      </right>
      <top style="thick">
        <color indexed="55"/>
      </top>
      <bottom/>
      <diagonal/>
    </border>
    <border>
      <left style="hair">
        <color indexed="64"/>
      </left>
      <right/>
      <top style="thick">
        <color indexed="55"/>
      </top>
      <bottom/>
      <diagonal/>
    </border>
    <border>
      <left/>
      <right/>
      <top style="thick">
        <color indexed="55"/>
      </top>
      <bottom/>
      <diagonal/>
    </border>
    <border>
      <left style="double">
        <color indexed="63"/>
      </left>
      <right style="hair">
        <color indexed="64"/>
      </right>
      <top style="thick">
        <color indexed="55"/>
      </top>
      <bottom/>
      <diagonal/>
    </border>
    <border>
      <left style="thin">
        <color indexed="55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ck">
        <color indexed="55"/>
      </left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3"/>
      </left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3"/>
      </top>
      <bottom style="hair">
        <color indexed="63"/>
      </bottom>
      <diagonal/>
    </border>
    <border>
      <left style="thin">
        <color indexed="55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ck">
        <color indexed="55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double">
        <color indexed="63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55"/>
      </left>
      <right/>
      <top style="hair">
        <color indexed="64"/>
      </top>
      <bottom style="medium">
        <color indexed="63"/>
      </bottom>
      <diagonal/>
    </border>
    <border>
      <left/>
      <right/>
      <top style="hair">
        <color indexed="64"/>
      </top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55"/>
      </left>
      <right/>
      <top style="thin">
        <color indexed="55"/>
      </top>
      <bottom style="hair">
        <color indexed="8"/>
      </bottom>
      <diagonal/>
    </border>
    <border>
      <left/>
      <right/>
      <top style="thin">
        <color indexed="55"/>
      </top>
      <bottom style="hair">
        <color indexed="8"/>
      </bottom>
      <diagonal/>
    </border>
    <border>
      <left/>
      <right style="medium">
        <color indexed="63"/>
      </right>
      <top style="thin">
        <color indexed="55"/>
      </top>
      <bottom style="hair">
        <color indexed="8"/>
      </bottom>
      <diagonal/>
    </border>
    <border>
      <left style="thin">
        <color indexed="55"/>
      </left>
      <right/>
      <top/>
      <bottom/>
      <diagonal/>
    </border>
    <border>
      <left/>
      <right/>
      <top/>
      <bottom style="hair">
        <color indexed="10"/>
      </bottom>
      <diagonal/>
    </border>
    <border>
      <left/>
      <right style="hair">
        <color indexed="8"/>
      </right>
      <top/>
      <bottom/>
      <diagonal/>
    </border>
    <border>
      <left/>
      <right style="hair">
        <color indexed="8"/>
      </right>
      <top/>
      <bottom style="hair">
        <color indexed="10"/>
      </bottom>
      <diagonal/>
    </border>
    <border>
      <left style="thin">
        <color indexed="55"/>
      </left>
      <right/>
      <top/>
      <bottom style="hair">
        <color indexed="64"/>
      </bottom>
      <diagonal/>
    </border>
    <border>
      <left/>
      <right style="hair">
        <color indexed="8"/>
      </right>
      <top/>
      <bottom style="hair">
        <color indexed="64"/>
      </bottom>
      <diagonal/>
    </border>
    <border>
      <left/>
      <right style="medium">
        <color indexed="63"/>
      </right>
      <top/>
      <bottom style="hair">
        <color indexed="64"/>
      </bottom>
      <diagonal/>
    </border>
    <border>
      <left style="thin">
        <color indexed="55"/>
      </left>
      <right/>
      <top/>
      <bottom style="medium">
        <color indexed="63"/>
      </bottom>
      <diagonal/>
    </border>
    <border>
      <left/>
      <right style="hair">
        <color indexed="8"/>
      </right>
      <top/>
      <bottom style="medium">
        <color indexed="63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medium">
        <color indexed="63"/>
      </right>
      <top style="thin">
        <color indexed="55"/>
      </top>
      <bottom/>
      <diagonal/>
    </border>
    <border>
      <left style="thin">
        <color indexed="55"/>
      </left>
      <right/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medium">
        <color indexed="63"/>
      </bottom>
      <diagonal/>
    </border>
    <border>
      <left style="hair">
        <color indexed="8"/>
      </left>
      <right style="medium">
        <color indexed="63"/>
      </right>
      <top style="hair">
        <color indexed="8"/>
      </top>
      <bottom style="medium">
        <color indexed="63"/>
      </bottom>
      <diagonal/>
    </border>
    <border>
      <left/>
      <right/>
      <top/>
      <bottom style="hair">
        <color indexed="8"/>
      </bottom>
      <diagonal/>
    </border>
    <border>
      <left style="medium">
        <color indexed="63"/>
      </left>
      <right/>
      <top style="hair">
        <color indexed="8"/>
      </top>
      <bottom style="medium">
        <color indexed="6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ck">
        <color indexed="18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hair">
        <color indexed="10"/>
      </top>
      <bottom style="hair">
        <color indexed="10"/>
      </bottom>
      <diagonal/>
    </border>
    <border>
      <left style="thin">
        <color indexed="55"/>
      </left>
      <right/>
      <top style="hair">
        <color indexed="8"/>
      </top>
      <bottom style="hair">
        <color indexed="64"/>
      </bottom>
      <diagonal/>
    </border>
    <border>
      <left/>
      <right/>
      <top style="hair">
        <color indexed="8"/>
      </top>
      <bottom style="hair">
        <color indexed="64"/>
      </bottom>
      <diagonal/>
    </border>
    <border>
      <left/>
      <right style="medium">
        <color indexed="63"/>
      </right>
      <top style="hair">
        <color indexed="8"/>
      </top>
      <bottom style="hair">
        <color indexed="64"/>
      </bottom>
      <diagonal/>
    </border>
    <border>
      <left style="thin">
        <color indexed="55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10"/>
      </top>
      <bottom style="hair">
        <color indexed="10"/>
      </bottom>
      <diagonal/>
    </border>
    <border>
      <left/>
      <right style="thin">
        <color indexed="55"/>
      </right>
      <top/>
      <bottom/>
      <diagonal/>
    </border>
    <border>
      <left/>
      <right style="thin">
        <color indexed="55"/>
      </right>
      <top/>
      <bottom style="medium">
        <color indexed="63"/>
      </bottom>
      <diagonal/>
    </border>
    <border>
      <left style="thin">
        <color indexed="23"/>
      </left>
      <right/>
      <top style="thin">
        <color indexed="23"/>
      </top>
      <bottom style="medium">
        <color indexed="63"/>
      </bottom>
      <diagonal/>
    </border>
    <border>
      <left/>
      <right/>
      <top style="thin">
        <color indexed="23"/>
      </top>
      <bottom style="medium">
        <color indexed="63"/>
      </bottom>
      <diagonal/>
    </border>
    <border>
      <left/>
      <right style="medium">
        <color indexed="63"/>
      </right>
      <top style="thin">
        <color indexed="23"/>
      </top>
      <bottom style="medium">
        <color indexed="63"/>
      </bottom>
      <diagonal/>
    </border>
    <border>
      <left style="medium">
        <color indexed="63"/>
      </left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 style="thin">
        <color indexed="55"/>
      </top>
      <bottom style="medium">
        <color indexed="63"/>
      </bottom>
      <diagonal/>
    </border>
    <border>
      <left/>
      <right/>
      <top style="thin">
        <color indexed="55"/>
      </top>
      <bottom style="medium">
        <color indexed="63"/>
      </bottom>
      <diagonal/>
    </border>
    <border>
      <left/>
      <right style="medium">
        <color indexed="63"/>
      </right>
      <top style="thin">
        <color indexed="55"/>
      </top>
      <bottom style="medium">
        <color indexed="63"/>
      </bottom>
      <diagonal/>
    </border>
    <border>
      <left/>
      <right style="medium">
        <color indexed="64"/>
      </right>
      <top/>
      <bottom style="hair">
        <color indexed="10"/>
      </bottom>
      <diagonal/>
    </border>
    <border>
      <left/>
      <right style="medium">
        <color indexed="63"/>
      </right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hair">
        <color indexed="63"/>
      </bottom>
      <diagonal/>
    </border>
    <border>
      <left/>
      <right style="medium">
        <color indexed="63"/>
      </right>
      <top style="hair">
        <color indexed="64"/>
      </top>
      <bottom style="medium">
        <color indexed="6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55"/>
      </right>
      <top/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8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8"/>
      </top>
      <bottom/>
      <diagonal/>
    </border>
    <border>
      <left/>
      <right/>
      <top style="hair">
        <color indexed="63"/>
      </top>
      <bottom/>
      <diagonal/>
    </border>
    <border>
      <left/>
      <right style="double">
        <color indexed="63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3"/>
      </bottom>
      <diagonal/>
    </border>
    <border>
      <left/>
      <right style="medium">
        <color indexed="64"/>
      </right>
      <top/>
      <bottom style="hair">
        <color indexed="63"/>
      </bottom>
      <diagonal/>
    </border>
    <border>
      <left style="medium">
        <color indexed="64"/>
      </left>
      <right/>
      <top style="hair">
        <color indexed="63"/>
      </top>
      <bottom style="hair">
        <color indexed="63"/>
      </bottom>
      <diagonal/>
    </border>
    <border>
      <left/>
      <right style="medium">
        <color indexed="64"/>
      </right>
      <top style="hair">
        <color indexed="63"/>
      </top>
      <bottom style="hair">
        <color indexed="63"/>
      </bottom>
      <diagonal/>
    </border>
    <border>
      <left style="medium">
        <color indexed="64"/>
      </left>
      <right/>
      <top style="hair">
        <color indexed="63"/>
      </top>
      <bottom/>
      <diagonal/>
    </border>
    <border>
      <left/>
      <right style="medium">
        <color indexed="64"/>
      </right>
      <top style="hair">
        <color indexed="63"/>
      </top>
      <bottom/>
      <diagonal/>
    </border>
    <border>
      <left style="medium">
        <color indexed="64"/>
      </left>
      <right/>
      <top style="hair">
        <color indexed="63"/>
      </top>
      <bottom style="medium">
        <color indexed="64"/>
      </bottom>
      <diagonal/>
    </border>
    <border>
      <left/>
      <right/>
      <top style="hair">
        <color indexed="63"/>
      </top>
      <bottom style="medium">
        <color indexed="64"/>
      </bottom>
      <diagonal/>
    </border>
    <border>
      <left/>
      <right style="medium">
        <color indexed="64"/>
      </right>
      <top style="hair">
        <color indexed="63"/>
      </top>
      <bottom style="medium">
        <color indexed="64"/>
      </bottom>
      <diagonal/>
    </border>
    <border>
      <left/>
      <right style="hair">
        <color indexed="8"/>
      </right>
      <top style="hair">
        <color indexed="8"/>
      </top>
      <bottom/>
      <diagonal/>
    </border>
    <border>
      <left style="medium">
        <color indexed="63"/>
      </left>
      <right/>
      <top style="hair">
        <color indexed="8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/>
      <bottom style="medium">
        <color indexed="64"/>
      </bottom>
      <diagonal/>
    </border>
    <border>
      <left style="thick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/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rgb="FF002060"/>
      </left>
      <right style="thin">
        <color rgb="FF002060"/>
      </right>
      <top/>
      <bottom style="thin">
        <color rgb="FF002060"/>
      </bottom>
      <diagonal/>
    </border>
    <border>
      <left style="thin">
        <color indexed="64"/>
      </left>
      <right/>
      <top style="thin">
        <color theme="0"/>
      </top>
      <bottom/>
      <diagonal/>
    </border>
    <border>
      <left style="medium">
        <color indexed="64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 style="thin">
        <color theme="0" tint="-0.249977111117893"/>
      </bottom>
      <diagonal/>
    </border>
    <border>
      <left style="medium">
        <color indexed="64"/>
      </left>
      <right style="thin">
        <color rgb="FF002060"/>
      </right>
      <top/>
      <bottom style="thin">
        <color rgb="FF002060"/>
      </bottom>
      <diagonal/>
    </border>
    <border>
      <left style="thin">
        <color rgb="FF002060"/>
      </left>
      <right style="medium">
        <color indexed="64"/>
      </right>
      <top/>
      <bottom style="thin">
        <color rgb="FF002060"/>
      </bottom>
      <diagonal/>
    </border>
    <border>
      <left style="medium">
        <color indexed="64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 style="medium">
        <color indexed="64"/>
      </right>
      <top style="thin">
        <color rgb="FF002060"/>
      </top>
      <bottom style="thin">
        <color rgb="FF002060"/>
      </bottom>
      <diagonal/>
    </border>
    <border>
      <left style="medium">
        <color indexed="64"/>
      </left>
      <right style="thin">
        <color rgb="FF002060"/>
      </right>
      <top style="thin">
        <color rgb="FF00206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medium">
        <color indexed="64"/>
      </bottom>
      <diagonal/>
    </border>
    <border>
      <left style="thin">
        <color rgb="FF002060"/>
      </left>
      <right style="medium">
        <color indexed="64"/>
      </right>
      <top style="thin">
        <color rgb="FF002060"/>
      </top>
      <bottom style="medium">
        <color indexed="64"/>
      </bottom>
      <diagonal/>
    </border>
    <border>
      <left style="medium">
        <color indexed="64"/>
      </left>
      <right style="thin">
        <color theme="8" tint="0.59999389629810485"/>
      </right>
      <top style="medium">
        <color indexed="64"/>
      </top>
      <bottom style="medium">
        <color indexed="64"/>
      </bottom>
      <diagonal/>
    </border>
    <border>
      <left style="thin">
        <color theme="8" tint="0.59999389629810485"/>
      </left>
      <right style="thin">
        <color theme="8" tint="0.59999389629810485"/>
      </right>
      <top style="medium">
        <color indexed="64"/>
      </top>
      <bottom style="medium">
        <color indexed="64"/>
      </bottom>
      <diagonal/>
    </border>
    <border>
      <left style="thin">
        <color theme="8" tint="0.59999389629810485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3" fillId="4" borderId="0" applyNumberFormat="0" applyBorder="0" applyAlignment="0" applyProtection="0"/>
    <xf numFmtId="0" fontId="34" fillId="16" borderId="1" applyNumberFormat="0" applyAlignment="0" applyProtection="0"/>
    <xf numFmtId="0" fontId="35" fillId="17" borderId="2" applyNumberFormat="0" applyAlignment="0" applyProtection="0"/>
    <xf numFmtId="0" fontId="36" fillId="0" borderId="3" applyNumberFormat="0" applyFill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37" fillId="0" borderId="0" applyNumberFormat="0" applyFill="0" applyBorder="0" applyAlignment="0" applyProtection="0"/>
    <xf numFmtId="0" fontId="32" fillId="18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21" borderId="0" applyNumberFormat="0" applyBorder="0" applyAlignment="0" applyProtection="0"/>
    <xf numFmtId="0" fontId="38" fillId="7" borderId="1" applyNumberFormat="0" applyAlignment="0" applyProtection="0"/>
    <xf numFmtId="0" fontId="39" fillId="3" borderId="0" applyNumberFormat="0" applyBorder="0" applyAlignment="0" applyProtection="0"/>
    <xf numFmtId="0" fontId="40" fillId="22" borderId="0" applyNumberFormat="0" applyBorder="0" applyAlignment="0" applyProtection="0"/>
    <xf numFmtId="0" fontId="72" fillId="0" borderId="0"/>
    <xf numFmtId="0" fontId="2" fillId="23" borderId="4" applyNumberFormat="0" applyFont="0" applyAlignment="0" applyProtection="0"/>
    <xf numFmtId="9" fontId="2" fillId="0" borderId="0" applyFont="0" applyFill="0" applyBorder="0" applyAlignment="0" applyProtection="0"/>
    <xf numFmtId="0" fontId="41" fillId="16" borderId="5" applyNumberFormat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6" applyNumberFormat="0" applyFill="0" applyAlignment="0" applyProtection="0"/>
    <xf numFmtId="0" fontId="46" fillId="0" borderId="7" applyNumberFormat="0" applyFill="0" applyAlignment="0" applyProtection="0"/>
    <xf numFmtId="0" fontId="37" fillId="0" borderId="8" applyNumberFormat="0" applyFill="0" applyAlignment="0" applyProtection="0"/>
    <xf numFmtId="0" fontId="47" fillId="0" borderId="9" applyNumberFormat="0" applyFill="0" applyAlignment="0" applyProtection="0"/>
    <xf numFmtId="0" fontId="2" fillId="0" borderId="0"/>
  </cellStyleXfs>
  <cellXfs count="1276">
    <xf numFmtId="0" fontId="0" fillId="0" borderId="0" xfId="0"/>
    <xf numFmtId="0" fontId="0" fillId="0" borderId="0" xfId="0" applyProtection="1">
      <protection hidden="1"/>
    </xf>
    <xf numFmtId="0" fontId="8" fillId="0" borderId="10" xfId="0" applyFont="1" applyBorder="1" applyAlignment="1" applyProtection="1">
      <alignment horizontal="left"/>
      <protection hidden="1"/>
    </xf>
    <xf numFmtId="0" fontId="8" fillId="0" borderId="0" xfId="0" applyFont="1" applyAlignment="1" applyProtection="1">
      <alignment horizontal="center"/>
      <protection hidden="1"/>
    </xf>
    <xf numFmtId="0" fontId="10" fillId="0" borderId="0" xfId="0" applyFont="1" applyAlignment="1" applyProtection="1">
      <alignment horizontal="right"/>
      <protection hidden="1"/>
    </xf>
    <xf numFmtId="0" fontId="10" fillId="0" borderId="10" xfId="0" applyFont="1" applyBorder="1" applyProtection="1">
      <protection hidden="1"/>
    </xf>
    <xf numFmtId="0" fontId="10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10" fillId="0" borderId="0" xfId="0" applyFont="1" applyAlignment="1" applyProtection="1">
      <alignment horizontal="left"/>
      <protection hidden="1"/>
    </xf>
    <xf numFmtId="49" fontId="16" fillId="0" borderId="0" xfId="0" applyNumberFormat="1" applyFont="1" applyAlignment="1" applyProtection="1">
      <alignment horizontal="center"/>
      <protection hidden="1"/>
    </xf>
    <xf numFmtId="49" fontId="16" fillId="0" borderId="11" xfId="0" applyNumberFormat="1" applyFont="1" applyBorder="1" applyAlignment="1" applyProtection="1">
      <alignment horizontal="center"/>
      <protection hidden="1"/>
    </xf>
    <xf numFmtId="165" fontId="12" fillId="0" borderId="12" xfId="0" applyNumberFormat="1" applyFont="1" applyBorder="1" applyAlignment="1" applyProtection="1">
      <alignment horizontal="centerContinuous"/>
      <protection hidden="1"/>
    </xf>
    <xf numFmtId="165" fontId="10" fillId="0" borderId="12" xfId="0" applyNumberFormat="1" applyFont="1" applyBorder="1" applyAlignment="1" applyProtection="1">
      <alignment horizontal="left"/>
      <protection hidden="1"/>
    </xf>
    <xf numFmtId="165" fontId="12" fillId="0" borderId="12" xfId="0" applyNumberFormat="1" applyFont="1" applyBorder="1" applyAlignment="1" applyProtection="1">
      <alignment horizontal="left"/>
      <protection hidden="1"/>
    </xf>
    <xf numFmtId="165" fontId="11" fillId="0" borderId="0" xfId="0" applyNumberFormat="1" applyFont="1" applyAlignment="1" applyProtection="1">
      <alignment horizontal="centerContinuous"/>
      <protection hidden="1"/>
    </xf>
    <xf numFmtId="165" fontId="11" fillId="0" borderId="0" xfId="0" applyNumberFormat="1" applyFont="1" applyAlignment="1" applyProtection="1">
      <alignment horizontal="left"/>
      <protection hidden="1"/>
    </xf>
    <xf numFmtId="0" fontId="16" fillId="0" borderId="0" xfId="0" applyFont="1" applyAlignment="1" applyProtection="1">
      <alignment horizontal="centerContinuous"/>
      <protection hidden="1"/>
    </xf>
    <xf numFmtId="0" fontId="10" fillId="0" borderId="13" xfId="0" applyFont="1" applyBorder="1" applyProtection="1">
      <protection hidden="1"/>
    </xf>
    <xf numFmtId="0" fontId="14" fillId="0" borderId="14" xfId="0" applyFont="1" applyBorder="1" applyProtection="1">
      <protection hidden="1"/>
    </xf>
    <xf numFmtId="0" fontId="14" fillId="0" borderId="15" xfId="0" applyFont="1" applyBorder="1" applyProtection="1">
      <protection hidden="1"/>
    </xf>
    <xf numFmtId="0" fontId="10" fillId="0" borderId="16" xfId="0" applyFont="1" applyBorder="1" applyProtection="1">
      <protection hidden="1"/>
    </xf>
    <xf numFmtId="0" fontId="14" fillId="0" borderId="16" xfId="0" applyFont="1" applyBorder="1" applyProtection="1">
      <protection hidden="1"/>
    </xf>
    <xf numFmtId="0" fontId="19" fillId="24" borderId="18" xfId="0" applyFont="1" applyFill="1" applyBorder="1" applyAlignment="1" applyProtection="1">
      <alignment horizontal="center"/>
      <protection hidden="1"/>
    </xf>
    <xf numFmtId="0" fontId="20" fillId="24" borderId="19" xfId="0" applyFont="1" applyFill="1" applyBorder="1" applyAlignment="1" applyProtection="1">
      <alignment horizontal="center"/>
      <protection hidden="1"/>
    </xf>
    <xf numFmtId="0" fontId="20" fillId="24" borderId="19" xfId="0" applyFont="1" applyFill="1" applyBorder="1" applyAlignment="1" applyProtection="1">
      <alignment horizontal="centerContinuous"/>
      <protection hidden="1"/>
    </xf>
    <xf numFmtId="0" fontId="21" fillId="24" borderId="19" xfId="0" applyFont="1" applyFill="1" applyBorder="1" applyAlignment="1" applyProtection="1">
      <alignment horizontal="centerContinuous"/>
      <protection hidden="1"/>
    </xf>
    <xf numFmtId="0" fontId="20" fillId="24" borderId="19" xfId="0" applyFont="1" applyFill="1" applyBorder="1" applyProtection="1">
      <protection hidden="1"/>
    </xf>
    <xf numFmtId="0" fontId="20" fillId="24" borderId="20" xfId="0" applyFont="1" applyFill="1" applyBorder="1" applyAlignment="1" applyProtection="1">
      <alignment horizontal="center"/>
      <protection hidden="1"/>
    </xf>
    <xf numFmtId="0" fontId="19" fillId="24" borderId="21" xfId="0" applyFont="1" applyFill="1" applyBorder="1" applyAlignment="1" applyProtection="1">
      <alignment horizontal="center"/>
      <protection hidden="1"/>
    </xf>
    <xf numFmtId="0" fontId="21" fillId="24" borderId="22" xfId="0" applyFont="1" applyFill="1" applyBorder="1" applyAlignment="1" applyProtection="1">
      <alignment horizontal="centerContinuous"/>
      <protection hidden="1"/>
    </xf>
    <xf numFmtId="0" fontId="20" fillId="24" borderId="19" xfId="0" applyFont="1" applyFill="1" applyBorder="1" applyAlignment="1" applyProtection="1">
      <alignment horizontal="left"/>
      <protection hidden="1"/>
    </xf>
    <xf numFmtId="0" fontId="20" fillId="24" borderId="23" xfId="0" applyFont="1" applyFill="1" applyBorder="1" applyProtection="1">
      <protection hidden="1"/>
    </xf>
    <xf numFmtId="0" fontId="14" fillId="0" borderId="28" xfId="0" applyFont="1" applyBorder="1" applyProtection="1">
      <protection hidden="1"/>
    </xf>
    <xf numFmtId="0" fontId="14" fillId="25" borderId="29" xfId="0" applyFont="1" applyFill="1" applyBorder="1" applyProtection="1">
      <protection hidden="1"/>
    </xf>
    <xf numFmtId="0" fontId="0" fillId="25" borderId="29" xfId="0" applyFill="1" applyBorder="1" applyProtection="1">
      <protection hidden="1"/>
    </xf>
    <xf numFmtId="0" fontId="0" fillId="0" borderId="31" xfId="0" applyBorder="1" applyProtection="1">
      <protection hidden="1"/>
    </xf>
    <xf numFmtId="0" fontId="0" fillId="0" borderId="32" xfId="0" applyBorder="1" applyProtection="1">
      <protection hidden="1"/>
    </xf>
    <xf numFmtId="9" fontId="12" fillId="0" borderId="30" xfId="38" applyFont="1" applyBorder="1" applyAlignment="1" applyProtection="1">
      <alignment horizontal="centerContinuous"/>
      <protection hidden="1"/>
    </xf>
    <xf numFmtId="0" fontId="14" fillId="0" borderId="32" xfId="0" applyFont="1" applyBorder="1" applyProtection="1">
      <protection hidden="1"/>
    </xf>
    <xf numFmtId="0" fontId="0" fillId="0" borderId="36" xfId="0" applyBorder="1" applyProtection="1">
      <protection hidden="1"/>
    </xf>
    <xf numFmtId="0" fontId="0" fillId="0" borderId="37" xfId="0" applyBorder="1" applyProtection="1">
      <protection hidden="1"/>
    </xf>
    <xf numFmtId="0" fontId="0" fillId="0" borderId="38" xfId="0" applyBorder="1" applyProtection="1">
      <protection hidden="1"/>
    </xf>
    <xf numFmtId="0" fontId="0" fillId="0" borderId="39" xfId="0" applyBorder="1" applyProtection="1">
      <protection hidden="1"/>
    </xf>
    <xf numFmtId="0" fontId="0" fillId="0" borderId="40" xfId="0" applyBorder="1" applyProtection="1">
      <protection hidden="1"/>
    </xf>
    <xf numFmtId="0" fontId="0" fillId="0" borderId="41" xfId="0" applyBorder="1" applyProtection="1">
      <protection hidden="1"/>
    </xf>
    <xf numFmtId="0" fontId="0" fillId="0" borderId="42" xfId="0" applyBorder="1" applyProtection="1">
      <protection hidden="1"/>
    </xf>
    <xf numFmtId="0" fontId="14" fillId="0" borderId="0" xfId="0" applyFont="1" applyAlignment="1" applyProtection="1">
      <alignment horizontal="center"/>
      <protection hidden="1"/>
    </xf>
    <xf numFmtId="166" fontId="14" fillId="0" borderId="0" xfId="0" applyNumberFormat="1" applyFont="1" applyProtection="1">
      <protection hidden="1"/>
    </xf>
    <xf numFmtId="0" fontId="14" fillId="0" borderId="0" xfId="0" quotePrefix="1" applyFont="1" applyAlignment="1" applyProtection="1">
      <alignment horizontal="center"/>
      <protection hidden="1"/>
    </xf>
    <xf numFmtId="0" fontId="14" fillId="0" borderId="43" xfId="0" applyFont="1" applyBorder="1" applyAlignment="1" applyProtection="1">
      <alignment horizontal="centerContinuous"/>
      <protection hidden="1"/>
    </xf>
    <xf numFmtId="0" fontId="14" fillId="0" borderId="44" xfId="0" applyFont="1" applyBorder="1" applyAlignment="1" applyProtection="1">
      <alignment horizontal="centerContinuous"/>
      <protection hidden="1"/>
    </xf>
    <xf numFmtId="0" fontId="14" fillId="0" borderId="17" xfId="0" applyFont="1" applyBorder="1" applyAlignment="1" applyProtection="1">
      <alignment horizontal="right"/>
      <protection hidden="1"/>
    </xf>
    <xf numFmtId="166" fontId="14" fillId="0" borderId="45" xfId="0" applyNumberFormat="1" applyFont="1" applyBorder="1" applyProtection="1">
      <protection hidden="1"/>
    </xf>
    <xf numFmtId="0" fontId="14" fillId="0" borderId="46" xfId="0" applyFont="1" applyBorder="1" applyProtection="1">
      <protection hidden="1"/>
    </xf>
    <xf numFmtId="0" fontId="14" fillId="0" borderId="35" xfId="0" applyFont="1" applyBorder="1" applyProtection="1">
      <protection hidden="1"/>
    </xf>
    <xf numFmtId="0" fontId="14" fillId="0" borderId="45" xfId="0" applyFont="1" applyBorder="1" applyProtection="1">
      <protection hidden="1"/>
    </xf>
    <xf numFmtId="167" fontId="14" fillId="0" borderId="0" xfId="0" applyNumberFormat="1" applyFont="1" applyProtection="1">
      <protection hidden="1"/>
    </xf>
    <xf numFmtId="0" fontId="14" fillId="0" borderId="47" xfId="0" applyFont="1" applyBorder="1" applyProtection="1">
      <protection hidden="1"/>
    </xf>
    <xf numFmtId="0" fontId="14" fillId="0" borderId="48" xfId="0" applyFont="1" applyBorder="1" applyProtection="1">
      <protection hidden="1"/>
    </xf>
    <xf numFmtId="166" fontId="14" fillId="0" borderId="47" xfId="0" applyNumberFormat="1" applyFont="1" applyBorder="1" applyProtection="1">
      <protection hidden="1"/>
    </xf>
    <xf numFmtId="166" fontId="14" fillId="0" borderId="10" xfId="0" applyNumberFormat="1" applyFont="1" applyBorder="1" applyProtection="1">
      <protection hidden="1"/>
    </xf>
    <xf numFmtId="0" fontId="14" fillId="0" borderId="11" xfId="0" applyFont="1" applyBorder="1" applyProtection="1">
      <protection hidden="1"/>
    </xf>
    <xf numFmtId="0" fontId="14" fillId="0" borderId="10" xfId="0" applyFont="1" applyBorder="1" applyProtection="1">
      <protection hidden="1"/>
    </xf>
    <xf numFmtId="2" fontId="23" fillId="0" borderId="10" xfId="0" applyNumberFormat="1" applyFont="1" applyBorder="1" applyProtection="1">
      <protection hidden="1"/>
    </xf>
    <xf numFmtId="168" fontId="23" fillId="0" borderId="11" xfId="0" applyNumberFormat="1" applyFont="1" applyBorder="1" applyProtection="1">
      <protection hidden="1"/>
    </xf>
    <xf numFmtId="2" fontId="23" fillId="26" borderId="10" xfId="0" applyNumberFormat="1" applyFont="1" applyFill="1" applyBorder="1" applyProtection="1">
      <protection hidden="1"/>
    </xf>
    <xf numFmtId="168" fontId="23" fillId="26" borderId="11" xfId="0" applyNumberFormat="1" applyFont="1" applyFill="1" applyBorder="1" applyProtection="1">
      <protection hidden="1"/>
    </xf>
    <xf numFmtId="168" fontId="14" fillId="26" borderId="11" xfId="0" applyNumberFormat="1" applyFont="1" applyFill="1" applyBorder="1" applyProtection="1">
      <protection hidden="1"/>
    </xf>
    <xf numFmtId="0" fontId="23" fillId="26" borderId="10" xfId="0" applyFont="1" applyFill="1" applyBorder="1" applyProtection="1">
      <protection hidden="1"/>
    </xf>
    <xf numFmtId="2" fontId="14" fillId="26" borderId="10" xfId="0" applyNumberFormat="1" applyFont="1" applyFill="1" applyBorder="1" applyProtection="1">
      <protection hidden="1"/>
    </xf>
    <xf numFmtId="166" fontId="23" fillId="0" borderId="13" xfId="0" applyNumberFormat="1" applyFont="1" applyBorder="1" applyProtection="1">
      <protection hidden="1"/>
    </xf>
    <xf numFmtId="166" fontId="23" fillId="0" borderId="15" xfId="0" applyNumberFormat="1" applyFont="1" applyBorder="1" applyProtection="1">
      <protection hidden="1"/>
    </xf>
    <xf numFmtId="166" fontId="23" fillId="0" borderId="0" xfId="0" applyNumberFormat="1" applyFont="1" applyProtection="1">
      <protection hidden="1"/>
    </xf>
    <xf numFmtId="0" fontId="0" fillId="0" borderId="43" xfId="0" applyBorder="1" applyProtection="1">
      <protection hidden="1"/>
    </xf>
    <xf numFmtId="0" fontId="0" fillId="0" borderId="44" xfId="0" applyBorder="1" applyProtection="1">
      <protection hidden="1"/>
    </xf>
    <xf numFmtId="0" fontId="0" fillId="0" borderId="49" xfId="0" applyBorder="1" applyProtection="1">
      <protection hidden="1"/>
    </xf>
    <xf numFmtId="0" fontId="14" fillId="0" borderId="49" xfId="0" applyFont="1" applyBorder="1" applyProtection="1">
      <protection hidden="1"/>
    </xf>
    <xf numFmtId="0" fontId="0" fillId="0" borderId="45" xfId="0" applyBorder="1" applyProtection="1">
      <protection hidden="1"/>
    </xf>
    <xf numFmtId="0" fontId="0" fillId="0" borderId="46" xfId="0" applyBorder="1" applyProtection="1">
      <protection hidden="1"/>
    </xf>
    <xf numFmtId="0" fontId="14" fillId="0" borderId="50" xfId="0" applyFont="1" applyBorder="1" applyProtection="1">
      <protection hidden="1"/>
    </xf>
    <xf numFmtId="2" fontId="14" fillId="0" borderId="11" xfId="0" applyNumberFormat="1" applyFont="1" applyBorder="1" applyProtection="1">
      <protection hidden="1"/>
    </xf>
    <xf numFmtId="168" fontId="14" fillId="0" borderId="11" xfId="0" applyNumberFormat="1" applyFont="1" applyBorder="1" applyProtection="1">
      <protection hidden="1"/>
    </xf>
    <xf numFmtId="168" fontId="14" fillId="0" borderId="0" xfId="0" applyNumberFormat="1" applyFont="1" applyProtection="1">
      <protection hidden="1"/>
    </xf>
    <xf numFmtId="0" fontId="19" fillId="24" borderId="51" xfId="0" applyFont="1" applyFill="1" applyBorder="1" applyAlignment="1" applyProtection="1">
      <alignment horizontal="center"/>
      <protection hidden="1"/>
    </xf>
    <xf numFmtId="0" fontId="19" fillId="24" borderId="52" xfId="0" applyFont="1" applyFill="1" applyBorder="1" applyAlignment="1" applyProtection="1">
      <alignment horizontal="center"/>
      <protection hidden="1"/>
    </xf>
    <xf numFmtId="0" fontId="20" fillId="24" borderId="53" xfId="0" applyFont="1" applyFill="1" applyBorder="1" applyAlignment="1" applyProtection="1">
      <alignment horizontal="center"/>
      <protection hidden="1"/>
    </xf>
    <xf numFmtId="0" fontId="20" fillId="24" borderId="52" xfId="0" applyFont="1" applyFill="1" applyBorder="1" applyAlignment="1" applyProtection="1">
      <alignment horizontal="center"/>
      <protection hidden="1"/>
    </xf>
    <xf numFmtId="0" fontId="20" fillId="24" borderId="54" xfId="0" applyFont="1" applyFill="1" applyBorder="1" applyAlignment="1" applyProtection="1">
      <alignment horizontal="center"/>
      <protection hidden="1"/>
    </xf>
    <xf numFmtId="0" fontId="19" fillId="24" borderId="53" xfId="0" applyFont="1" applyFill="1" applyBorder="1" applyAlignment="1" applyProtection="1">
      <alignment horizontal="center"/>
      <protection hidden="1"/>
    </xf>
    <xf numFmtId="0" fontId="19" fillId="24" borderId="55" xfId="0" applyFont="1" applyFill="1" applyBorder="1" applyAlignment="1" applyProtection="1">
      <alignment horizontal="center"/>
      <protection hidden="1"/>
    </xf>
    <xf numFmtId="0" fontId="20" fillId="24" borderId="55" xfId="0" applyFont="1" applyFill="1" applyBorder="1" applyAlignment="1" applyProtection="1">
      <alignment horizontal="center"/>
      <protection hidden="1"/>
    </xf>
    <xf numFmtId="0" fontId="20" fillId="24" borderId="56" xfId="0" applyFont="1" applyFill="1" applyBorder="1" applyAlignment="1" applyProtection="1">
      <alignment horizontal="center"/>
      <protection hidden="1"/>
    </xf>
    <xf numFmtId="0" fontId="20" fillId="24" borderId="57" xfId="0" applyFont="1" applyFill="1" applyBorder="1" applyAlignment="1" applyProtection="1">
      <alignment horizontal="center"/>
      <protection hidden="1"/>
    </xf>
    <xf numFmtId="0" fontId="20" fillId="24" borderId="32" xfId="0" applyFont="1" applyFill="1" applyBorder="1" applyAlignment="1" applyProtection="1">
      <alignment horizontal="center"/>
      <protection hidden="1"/>
    </xf>
    <xf numFmtId="0" fontId="24" fillId="0" borderId="51" xfId="0" applyFont="1" applyBorder="1" applyAlignment="1" applyProtection="1">
      <alignment horizontal="center"/>
      <protection hidden="1"/>
    </xf>
    <xf numFmtId="166" fontId="10" fillId="0" borderId="52" xfId="0" applyNumberFormat="1" applyFont="1" applyBorder="1" applyAlignment="1" applyProtection="1">
      <alignment horizontal="center"/>
      <protection hidden="1"/>
    </xf>
    <xf numFmtId="0" fontId="14" fillId="0" borderId="53" xfId="0" applyFont="1" applyBorder="1" applyAlignment="1" applyProtection="1">
      <alignment horizontal="center"/>
      <protection hidden="1"/>
    </xf>
    <xf numFmtId="2" fontId="14" fillId="0" borderId="52" xfId="0" applyNumberFormat="1" applyFont="1" applyBorder="1" applyAlignment="1" applyProtection="1">
      <alignment horizontal="center"/>
      <protection hidden="1"/>
    </xf>
    <xf numFmtId="0" fontId="14" fillId="0" borderId="54" xfId="0" applyFont="1" applyBorder="1" applyAlignment="1" applyProtection="1">
      <alignment horizontal="center"/>
      <protection hidden="1"/>
    </xf>
    <xf numFmtId="0" fontId="10" fillId="0" borderId="53" xfId="0" applyFont="1" applyBorder="1" applyAlignment="1" applyProtection="1">
      <alignment horizontal="center"/>
      <protection hidden="1"/>
    </xf>
    <xf numFmtId="168" fontId="14" fillId="0" borderId="52" xfId="0" applyNumberFormat="1" applyFont="1" applyBorder="1" applyAlignment="1" applyProtection="1">
      <alignment horizontal="center"/>
      <protection hidden="1"/>
    </xf>
    <xf numFmtId="168" fontId="10" fillId="0" borderId="55" xfId="0" applyNumberFormat="1" applyFont="1" applyBorder="1" applyAlignment="1" applyProtection="1">
      <alignment horizontal="center"/>
      <protection hidden="1"/>
    </xf>
    <xf numFmtId="0" fontId="14" fillId="0" borderId="55" xfId="0" applyFont="1" applyBorder="1" applyAlignment="1" applyProtection="1">
      <alignment horizontal="center"/>
      <protection hidden="1"/>
    </xf>
    <xf numFmtId="0" fontId="14" fillId="0" borderId="56" xfId="0" applyFont="1" applyBorder="1" applyAlignment="1" applyProtection="1">
      <alignment horizontal="center"/>
      <protection hidden="1"/>
    </xf>
    <xf numFmtId="169" fontId="14" fillId="0" borderId="58" xfId="0" applyNumberFormat="1" applyFont="1" applyBorder="1" applyProtection="1">
      <protection hidden="1"/>
    </xf>
    <xf numFmtId="1" fontId="14" fillId="0" borderId="59" xfId="0" applyNumberFormat="1" applyFont="1" applyBorder="1" applyAlignment="1" applyProtection="1">
      <alignment horizontal="right"/>
      <protection hidden="1"/>
    </xf>
    <xf numFmtId="0" fontId="14" fillId="0" borderId="60" xfId="0" applyFont="1" applyBorder="1" applyProtection="1">
      <protection hidden="1"/>
    </xf>
    <xf numFmtId="10" fontId="14" fillId="0" borderId="56" xfId="0" applyNumberFormat="1" applyFont="1" applyBorder="1" applyProtection="1">
      <protection hidden="1"/>
    </xf>
    <xf numFmtId="168" fontId="14" fillId="0" borderId="56" xfId="0" applyNumberFormat="1" applyFont="1" applyBorder="1" applyProtection="1">
      <protection hidden="1"/>
    </xf>
    <xf numFmtId="0" fontId="14" fillId="0" borderId="56" xfId="0" applyFont="1" applyBorder="1" applyAlignment="1" applyProtection="1">
      <alignment horizontal="right"/>
      <protection hidden="1"/>
    </xf>
    <xf numFmtId="0" fontId="24" fillId="0" borderId="61" xfId="0" applyFont="1" applyBorder="1" applyAlignment="1" applyProtection="1">
      <alignment horizontal="center"/>
      <protection hidden="1"/>
    </xf>
    <xf numFmtId="166" fontId="10" fillId="0" borderId="62" xfId="0" applyNumberFormat="1" applyFont="1" applyBorder="1" applyAlignment="1" applyProtection="1">
      <alignment horizontal="center"/>
      <protection hidden="1"/>
    </xf>
    <xf numFmtId="0" fontId="14" fillId="0" borderId="63" xfId="0" applyFont="1" applyBorder="1" applyAlignment="1" applyProtection="1">
      <alignment horizontal="center"/>
      <protection hidden="1"/>
    </xf>
    <xf numFmtId="2" fontId="14" fillId="0" borderId="62" xfId="0" applyNumberFormat="1" applyFont="1" applyBorder="1" applyAlignment="1" applyProtection="1">
      <alignment horizontal="center"/>
      <protection hidden="1"/>
    </xf>
    <xf numFmtId="0" fontId="14" fillId="0" borderId="64" xfId="0" applyFont="1" applyBorder="1" applyAlignment="1" applyProtection="1">
      <alignment horizontal="center"/>
      <protection hidden="1"/>
    </xf>
    <xf numFmtId="0" fontId="10" fillId="27" borderId="63" xfId="0" applyFont="1" applyFill="1" applyBorder="1" applyAlignment="1" applyProtection="1">
      <alignment horizontal="center"/>
      <protection hidden="1"/>
    </xf>
    <xf numFmtId="0" fontId="14" fillId="27" borderId="62" xfId="0" applyFont="1" applyFill="1" applyBorder="1" applyAlignment="1" applyProtection="1">
      <alignment horizontal="center"/>
      <protection hidden="1"/>
    </xf>
    <xf numFmtId="0" fontId="14" fillId="27" borderId="63" xfId="0" applyFont="1" applyFill="1" applyBorder="1" applyAlignment="1" applyProtection="1">
      <alignment horizontal="center"/>
      <protection hidden="1"/>
    </xf>
    <xf numFmtId="0" fontId="10" fillId="27" borderId="65" xfId="0" applyFont="1" applyFill="1" applyBorder="1" applyAlignment="1" applyProtection="1">
      <alignment horizontal="center"/>
      <protection hidden="1"/>
    </xf>
    <xf numFmtId="0" fontId="14" fillId="27" borderId="64" xfId="0" applyFont="1" applyFill="1" applyBorder="1" applyAlignment="1" applyProtection="1">
      <alignment horizontal="center"/>
      <protection hidden="1"/>
    </xf>
    <xf numFmtId="0" fontId="10" fillId="27" borderId="62" xfId="0" applyFont="1" applyFill="1" applyBorder="1" applyAlignment="1" applyProtection="1">
      <alignment horizontal="center"/>
      <protection hidden="1"/>
    </xf>
    <xf numFmtId="0" fontId="14" fillId="27" borderId="65" xfId="0" applyFont="1" applyFill="1" applyBorder="1" applyAlignment="1" applyProtection="1">
      <alignment horizontal="center"/>
      <protection hidden="1"/>
    </xf>
    <xf numFmtId="0" fontId="14" fillId="27" borderId="66" xfId="0" applyFont="1" applyFill="1" applyBorder="1" applyAlignment="1" applyProtection="1">
      <alignment horizontal="center"/>
      <protection hidden="1"/>
    </xf>
    <xf numFmtId="0" fontId="14" fillId="27" borderId="67" xfId="0" applyFont="1" applyFill="1" applyBorder="1" applyProtection="1">
      <protection hidden="1"/>
    </xf>
    <xf numFmtId="0" fontId="14" fillId="27" borderId="42" xfId="0" applyFont="1" applyFill="1" applyBorder="1" applyProtection="1">
      <protection hidden="1"/>
    </xf>
    <xf numFmtId="0" fontId="14" fillId="0" borderId="68" xfId="0" applyFont="1" applyBorder="1" applyProtection="1">
      <protection hidden="1"/>
    </xf>
    <xf numFmtId="0" fontId="20" fillId="24" borderId="25" xfId="0" applyFont="1" applyFill="1" applyBorder="1" applyAlignment="1" applyProtection="1">
      <alignment horizontal="center" vertical="center"/>
      <protection hidden="1"/>
    </xf>
    <xf numFmtId="0" fontId="20" fillId="24" borderId="69" xfId="0" applyFont="1" applyFill="1" applyBorder="1" applyAlignment="1" applyProtection="1">
      <alignment horizontal="center" vertical="center" wrapText="1"/>
      <protection hidden="1"/>
    </xf>
    <xf numFmtId="0" fontId="20" fillId="24" borderId="28" xfId="0" applyFont="1" applyFill="1" applyBorder="1" applyAlignment="1" applyProtection="1">
      <alignment horizontal="center" vertical="center"/>
      <protection hidden="1"/>
    </xf>
    <xf numFmtId="0" fontId="20" fillId="24" borderId="29" xfId="0" applyFont="1" applyFill="1" applyBorder="1" applyAlignment="1" applyProtection="1">
      <alignment horizontal="center" vertical="center"/>
      <protection hidden="1"/>
    </xf>
    <xf numFmtId="0" fontId="20" fillId="24" borderId="69" xfId="0" applyFont="1" applyFill="1" applyBorder="1" applyAlignment="1" applyProtection="1">
      <alignment horizontal="center" vertical="center"/>
      <protection hidden="1"/>
    </xf>
    <xf numFmtId="0" fontId="20" fillId="24" borderId="70" xfId="0" applyFont="1" applyFill="1" applyBorder="1" applyAlignment="1" applyProtection="1">
      <alignment horizontal="center" vertical="center"/>
      <protection hidden="1"/>
    </xf>
    <xf numFmtId="0" fontId="20" fillId="24" borderId="71" xfId="0" applyFont="1" applyFill="1" applyBorder="1" applyAlignment="1" applyProtection="1">
      <alignment horizontal="center" vertical="center" wrapText="1"/>
      <protection hidden="1"/>
    </xf>
    <xf numFmtId="0" fontId="20" fillId="24" borderId="72" xfId="0" applyFont="1" applyFill="1" applyBorder="1" applyAlignment="1" applyProtection="1">
      <alignment horizontal="center" vertical="center"/>
      <protection hidden="1"/>
    </xf>
    <xf numFmtId="0" fontId="20" fillId="24" borderId="73" xfId="0" applyFont="1" applyFill="1" applyBorder="1" applyAlignment="1" applyProtection="1">
      <alignment horizontal="center" vertical="center"/>
      <protection hidden="1"/>
    </xf>
    <xf numFmtId="0" fontId="14" fillId="0" borderId="74" xfId="0" applyFont="1" applyBorder="1" applyAlignment="1" applyProtection="1">
      <alignment horizontal="center"/>
      <protection hidden="1"/>
    </xf>
    <xf numFmtId="0" fontId="14" fillId="0" borderId="75" xfId="0" applyFont="1" applyBorder="1" applyAlignment="1" applyProtection="1">
      <alignment horizontal="center"/>
      <protection hidden="1"/>
    </xf>
    <xf numFmtId="0" fontId="14" fillId="27" borderId="76" xfId="0" applyFont="1" applyFill="1" applyBorder="1" applyAlignment="1" applyProtection="1">
      <alignment horizontal="center"/>
      <protection hidden="1"/>
    </xf>
    <xf numFmtId="0" fontId="14" fillId="27" borderId="77" xfId="0" applyFont="1" applyFill="1" applyBorder="1" applyAlignment="1" applyProtection="1">
      <alignment horizontal="center"/>
      <protection hidden="1"/>
    </xf>
    <xf numFmtId="0" fontId="10" fillId="0" borderId="78" xfId="0" applyFont="1" applyBorder="1" applyAlignment="1" applyProtection="1">
      <alignment horizontal="center"/>
      <protection hidden="1"/>
    </xf>
    <xf numFmtId="0" fontId="10" fillId="0" borderId="79" xfId="0" applyFont="1" applyBorder="1" applyAlignment="1" applyProtection="1">
      <alignment horizontal="center"/>
      <protection hidden="1"/>
    </xf>
    <xf numFmtId="0" fontId="10" fillId="0" borderId="80" xfId="0" applyFont="1" applyBorder="1" applyAlignment="1" applyProtection="1">
      <alignment horizontal="center"/>
      <protection hidden="1"/>
    </xf>
    <xf numFmtId="0" fontId="14" fillId="0" borderId="82" xfId="0" applyFont="1" applyBorder="1" applyAlignment="1" applyProtection="1">
      <alignment horizontal="center"/>
      <protection hidden="1"/>
    </xf>
    <xf numFmtId="0" fontId="14" fillId="0" borderId="83" xfId="0" applyFont="1" applyBorder="1" applyAlignment="1" applyProtection="1">
      <alignment horizontal="center"/>
      <protection hidden="1"/>
    </xf>
    <xf numFmtId="0" fontId="14" fillId="27" borderId="84" xfId="0" applyFont="1" applyFill="1" applyBorder="1" applyAlignment="1" applyProtection="1">
      <alignment horizontal="center"/>
      <protection hidden="1"/>
    </xf>
    <xf numFmtId="0" fontId="14" fillId="27" borderId="85" xfId="0" applyFont="1" applyFill="1" applyBorder="1" applyAlignment="1" applyProtection="1">
      <alignment horizontal="center"/>
      <protection hidden="1"/>
    </xf>
    <xf numFmtId="0" fontId="10" fillId="0" borderId="86" xfId="0" applyFont="1" applyBorder="1" applyAlignment="1" applyProtection="1">
      <alignment horizontal="center"/>
      <protection hidden="1"/>
    </xf>
    <xf numFmtId="0" fontId="10" fillId="0" borderId="87" xfId="0" applyFont="1" applyBorder="1" applyAlignment="1" applyProtection="1">
      <alignment horizontal="center"/>
      <protection hidden="1"/>
    </xf>
    <xf numFmtId="0" fontId="10" fillId="0" borderId="88" xfId="0" applyFont="1" applyBorder="1" applyAlignment="1" applyProtection="1">
      <alignment horizontal="center"/>
      <protection hidden="1"/>
    </xf>
    <xf numFmtId="166" fontId="10" fillId="0" borderId="87" xfId="0" applyNumberFormat="1" applyFont="1" applyBorder="1" applyAlignment="1" applyProtection="1">
      <alignment horizontal="center"/>
      <protection hidden="1"/>
    </xf>
    <xf numFmtId="2" fontId="14" fillId="0" borderId="84" xfId="0" applyNumberFormat="1" applyFont="1" applyBorder="1" applyAlignment="1" applyProtection="1">
      <alignment horizontal="center"/>
      <protection hidden="1"/>
    </xf>
    <xf numFmtId="2" fontId="14" fillId="0" borderId="85" xfId="0" applyNumberFormat="1" applyFont="1" applyBorder="1" applyAlignment="1" applyProtection="1">
      <alignment horizontal="center"/>
      <protection hidden="1"/>
    </xf>
    <xf numFmtId="0" fontId="20" fillId="28" borderId="89" xfId="0" applyFont="1" applyFill="1" applyBorder="1" applyAlignment="1" applyProtection="1">
      <alignment horizontal="center"/>
      <protection hidden="1"/>
    </xf>
    <xf numFmtId="0" fontId="20" fillId="28" borderId="90" xfId="0" applyFont="1" applyFill="1" applyBorder="1" applyAlignment="1" applyProtection="1">
      <alignment horizontal="center"/>
      <protection hidden="1"/>
    </xf>
    <xf numFmtId="0" fontId="20" fillId="28" borderId="91" xfId="0" applyFont="1" applyFill="1" applyBorder="1" applyProtection="1">
      <protection hidden="1"/>
    </xf>
    <xf numFmtId="168" fontId="20" fillId="28" borderId="91" xfId="0" applyNumberFormat="1" applyFont="1" applyFill="1" applyBorder="1" applyAlignment="1" applyProtection="1">
      <alignment horizontal="center"/>
      <protection hidden="1"/>
    </xf>
    <xf numFmtId="0" fontId="20" fillId="28" borderId="91" xfId="0" applyFont="1" applyFill="1" applyBorder="1" applyAlignment="1" applyProtection="1">
      <alignment horizontal="center"/>
      <protection hidden="1"/>
    </xf>
    <xf numFmtId="168" fontId="14" fillId="0" borderId="0" xfId="0" applyNumberFormat="1" applyFont="1" applyAlignment="1" applyProtection="1">
      <alignment horizontal="center"/>
      <protection hidden="1"/>
    </xf>
    <xf numFmtId="0" fontId="25" fillId="27" borderId="92" xfId="0" applyFont="1" applyFill="1" applyBorder="1" applyAlignment="1" applyProtection="1">
      <alignment horizontal="centerContinuous"/>
      <protection hidden="1"/>
    </xf>
    <xf numFmtId="0" fontId="25" fillId="27" borderId="93" xfId="0" applyFont="1" applyFill="1" applyBorder="1" applyAlignment="1" applyProtection="1">
      <alignment horizontal="centerContinuous"/>
      <protection hidden="1"/>
    </xf>
    <xf numFmtId="168" fontId="25" fillId="27" borderId="93" xfId="0" applyNumberFormat="1" applyFont="1" applyFill="1" applyBorder="1" applyAlignment="1" applyProtection="1">
      <alignment horizontal="centerContinuous"/>
      <protection hidden="1"/>
    </xf>
    <xf numFmtId="0" fontId="25" fillId="27" borderId="94" xfId="0" applyFont="1" applyFill="1" applyBorder="1" applyAlignment="1" applyProtection="1">
      <alignment horizontal="centerContinuous"/>
      <protection hidden="1"/>
    </xf>
    <xf numFmtId="0" fontId="14" fillId="0" borderId="95" xfId="0" applyFont="1" applyBorder="1" applyProtection="1">
      <protection hidden="1"/>
    </xf>
    <xf numFmtId="0" fontId="14" fillId="0" borderId="97" xfId="0" applyFont="1" applyBorder="1" applyProtection="1">
      <protection hidden="1"/>
    </xf>
    <xf numFmtId="0" fontId="14" fillId="0" borderId="0" xfId="0" applyFont="1" applyAlignment="1" applyProtection="1">
      <alignment wrapText="1"/>
      <protection hidden="1"/>
    </xf>
    <xf numFmtId="0" fontId="0" fillId="0" borderId="99" xfId="0" applyBorder="1" applyProtection="1">
      <protection hidden="1"/>
    </xf>
    <xf numFmtId="0" fontId="0" fillId="0" borderId="79" xfId="0" applyBorder="1" applyProtection="1">
      <protection hidden="1"/>
    </xf>
    <xf numFmtId="0" fontId="0" fillId="0" borderId="100" xfId="0" applyBorder="1" applyProtection="1">
      <protection hidden="1"/>
    </xf>
    <xf numFmtId="0" fontId="0" fillId="0" borderId="101" xfId="0" applyBorder="1" applyProtection="1">
      <protection hidden="1"/>
    </xf>
    <xf numFmtId="0" fontId="14" fillId="0" borderId="102" xfId="0" applyFont="1" applyBorder="1" applyProtection="1">
      <protection hidden="1"/>
    </xf>
    <xf numFmtId="0" fontId="14" fillId="0" borderId="91" xfId="0" applyFont="1" applyBorder="1" applyProtection="1">
      <protection hidden="1"/>
    </xf>
    <xf numFmtId="0" fontId="14" fillId="0" borderId="103" xfId="0" applyFont="1" applyBorder="1" applyProtection="1">
      <protection hidden="1"/>
    </xf>
    <xf numFmtId="0" fontId="14" fillId="0" borderId="42" xfId="0" applyFont="1" applyBorder="1" applyProtection="1">
      <protection hidden="1"/>
    </xf>
    <xf numFmtId="0" fontId="7" fillId="27" borderId="92" xfId="0" applyFont="1" applyFill="1" applyBorder="1" applyAlignment="1" applyProtection="1">
      <alignment horizontal="centerContinuous"/>
      <protection hidden="1"/>
    </xf>
    <xf numFmtId="0" fontId="7" fillId="27" borderId="93" xfId="0" applyFont="1" applyFill="1" applyBorder="1" applyAlignment="1" applyProtection="1">
      <alignment horizontal="centerContinuous"/>
      <protection hidden="1"/>
    </xf>
    <xf numFmtId="0" fontId="7" fillId="27" borderId="94" xfId="0" applyFont="1" applyFill="1" applyBorder="1" applyAlignment="1" applyProtection="1">
      <alignment horizontal="centerContinuous"/>
      <protection hidden="1"/>
    </xf>
    <xf numFmtId="0" fontId="8" fillId="0" borderId="0" xfId="0" applyFont="1" applyProtection="1">
      <protection hidden="1"/>
    </xf>
    <xf numFmtId="0" fontId="14" fillId="0" borderId="0" xfId="0" applyFont="1" applyAlignment="1" applyProtection="1">
      <alignment horizontal="right"/>
      <protection hidden="1"/>
    </xf>
    <xf numFmtId="0" fontId="10" fillId="27" borderId="104" xfId="0" applyFont="1" applyFill="1" applyBorder="1" applyAlignment="1" applyProtection="1">
      <alignment horizontal="centerContinuous"/>
      <protection hidden="1"/>
    </xf>
    <xf numFmtId="0" fontId="10" fillId="27" borderId="105" xfId="0" applyFont="1" applyFill="1" applyBorder="1" applyAlignment="1" applyProtection="1">
      <alignment horizontal="centerContinuous"/>
      <protection hidden="1"/>
    </xf>
    <xf numFmtId="0" fontId="10" fillId="27" borderId="106" xfId="0" applyFont="1" applyFill="1" applyBorder="1" applyAlignment="1" applyProtection="1">
      <alignment horizontal="centerContinuous"/>
      <protection hidden="1"/>
    </xf>
    <xf numFmtId="0" fontId="20" fillId="24" borderId="95" xfId="0" applyFont="1" applyFill="1" applyBorder="1" applyAlignment="1" applyProtection="1">
      <alignment horizontal="center" vertical="center" wrapText="1"/>
      <protection hidden="1"/>
    </xf>
    <xf numFmtId="0" fontId="20" fillId="24" borderId="0" xfId="0" applyFont="1" applyFill="1" applyAlignment="1" applyProtection="1">
      <alignment horizontal="center" vertical="center" wrapText="1"/>
      <protection hidden="1"/>
    </xf>
    <xf numFmtId="0" fontId="24" fillId="29" borderId="0" xfId="0" applyFont="1" applyFill="1" applyAlignment="1" applyProtection="1">
      <alignment horizontal="center" vertical="center" wrapText="1"/>
      <protection hidden="1"/>
    </xf>
    <xf numFmtId="0" fontId="20" fillId="24" borderId="97" xfId="0" applyFont="1" applyFill="1" applyBorder="1" applyAlignment="1" applyProtection="1">
      <alignment horizontal="center" vertical="center" wrapText="1"/>
      <protection hidden="1"/>
    </xf>
    <xf numFmtId="0" fontId="20" fillId="24" borderId="32" xfId="0" applyFont="1" applyFill="1" applyBorder="1" applyAlignment="1" applyProtection="1">
      <alignment horizontal="center" vertical="center" wrapText="1"/>
      <protection hidden="1"/>
    </xf>
    <xf numFmtId="0" fontId="14" fillId="0" borderId="107" xfId="0" applyFont="1" applyBorder="1" applyAlignment="1" applyProtection="1">
      <alignment horizontal="center"/>
      <protection hidden="1"/>
    </xf>
    <xf numFmtId="166" fontId="14" fillId="0" borderId="55" xfId="0" applyNumberFormat="1" applyFont="1" applyBorder="1" applyAlignment="1" applyProtection="1">
      <alignment horizontal="center"/>
      <protection hidden="1"/>
    </xf>
    <xf numFmtId="0" fontId="14" fillId="0" borderId="55" xfId="0" applyFont="1" applyBorder="1" applyProtection="1">
      <protection hidden="1"/>
    </xf>
    <xf numFmtId="2" fontId="14" fillId="0" borderId="53" xfId="0" applyNumberFormat="1" applyFont="1" applyBorder="1" applyAlignment="1" applyProtection="1">
      <alignment horizontal="center"/>
      <protection hidden="1"/>
    </xf>
    <xf numFmtId="168" fontId="14" fillId="0" borderId="55" xfId="0" applyNumberFormat="1" applyFont="1" applyBorder="1" applyAlignment="1" applyProtection="1">
      <alignment horizontal="center"/>
      <protection hidden="1"/>
    </xf>
    <xf numFmtId="2" fontId="14" fillId="0" borderId="56" xfId="25" applyNumberFormat="1" applyFont="1" applyBorder="1" applyAlignment="1" applyProtection="1">
      <alignment horizontal="center"/>
      <protection hidden="1"/>
    </xf>
    <xf numFmtId="0" fontId="14" fillId="27" borderId="55" xfId="0" applyFont="1" applyFill="1" applyBorder="1" applyProtection="1">
      <protection hidden="1"/>
    </xf>
    <xf numFmtId="0" fontId="14" fillId="27" borderId="53" xfId="0" applyFont="1" applyFill="1" applyBorder="1" applyProtection="1">
      <protection hidden="1"/>
    </xf>
    <xf numFmtId="0" fontId="14" fillId="27" borderId="56" xfId="0" applyFont="1" applyFill="1" applyBorder="1" applyProtection="1">
      <protection hidden="1"/>
    </xf>
    <xf numFmtId="0" fontId="19" fillId="28" borderId="102" xfId="0" applyFont="1" applyFill="1" applyBorder="1" applyProtection="1">
      <protection hidden="1"/>
    </xf>
    <xf numFmtId="2" fontId="20" fillId="28" borderId="108" xfId="0" applyNumberFormat="1" applyFont="1" applyFill="1" applyBorder="1" applyProtection="1">
      <protection hidden="1"/>
    </xf>
    <xf numFmtId="0" fontId="20" fillId="28" borderId="108" xfId="0" applyFont="1" applyFill="1" applyBorder="1" applyProtection="1">
      <protection hidden="1"/>
    </xf>
    <xf numFmtId="2" fontId="20" fillId="28" borderId="109" xfId="0" applyNumberFormat="1" applyFont="1" applyFill="1" applyBorder="1" applyProtection="1">
      <protection hidden="1"/>
    </xf>
    <xf numFmtId="0" fontId="26" fillId="30" borderId="0" xfId="0" applyFont="1" applyFill="1" applyAlignment="1" applyProtection="1">
      <alignment horizontal="center"/>
      <protection hidden="1"/>
    </xf>
    <xf numFmtId="166" fontId="26" fillId="30" borderId="0" xfId="0" applyNumberFormat="1" applyFont="1" applyFill="1" applyProtection="1">
      <protection hidden="1"/>
    </xf>
    <xf numFmtId="0" fontId="26" fillId="30" borderId="0" xfId="0" applyFont="1" applyFill="1" applyProtection="1">
      <protection hidden="1"/>
    </xf>
    <xf numFmtId="0" fontId="14" fillId="30" borderId="0" xfId="0" applyFont="1" applyFill="1" applyProtection="1">
      <protection hidden="1"/>
    </xf>
    <xf numFmtId="0" fontId="26" fillId="30" borderId="0" xfId="0" quotePrefix="1" applyFont="1" applyFill="1" applyAlignment="1" applyProtection="1">
      <alignment horizontal="center"/>
      <protection hidden="1"/>
    </xf>
    <xf numFmtId="0" fontId="14" fillId="30" borderId="43" xfId="0" applyFont="1" applyFill="1" applyBorder="1" applyAlignment="1" applyProtection="1">
      <alignment horizontal="centerContinuous"/>
      <protection hidden="1"/>
    </xf>
    <xf numFmtId="0" fontId="14" fillId="30" borderId="44" xfId="0" applyFont="1" applyFill="1" applyBorder="1" applyAlignment="1" applyProtection="1">
      <alignment horizontal="centerContinuous"/>
      <protection hidden="1"/>
    </xf>
    <xf numFmtId="0" fontId="14" fillId="30" borderId="17" xfId="0" applyFont="1" applyFill="1" applyBorder="1" applyAlignment="1" applyProtection="1">
      <alignment horizontal="right"/>
      <protection hidden="1"/>
    </xf>
    <xf numFmtId="166" fontId="26" fillId="30" borderId="45" xfId="0" applyNumberFormat="1" applyFont="1" applyFill="1" applyBorder="1" applyProtection="1">
      <protection hidden="1"/>
    </xf>
    <xf numFmtId="0" fontId="14" fillId="30" borderId="46" xfId="0" applyFont="1" applyFill="1" applyBorder="1" applyProtection="1">
      <protection hidden="1"/>
    </xf>
    <xf numFmtId="0" fontId="26" fillId="30" borderId="35" xfId="0" applyFont="1" applyFill="1" applyBorder="1" applyProtection="1">
      <protection hidden="1"/>
    </xf>
    <xf numFmtId="0" fontId="26" fillId="30" borderId="45" xfId="0" applyFont="1" applyFill="1" applyBorder="1" applyProtection="1">
      <protection hidden="1"/>
    </xf>
    <xf numFmtId="166" fontId="14" fillId="30" borderId="0" xfId="0" applyNumberFormat="1" applyFont="1" applyFill="1" applyProtection="1">
      <protection hidden="1"/>
    </xf>
    <xf numFmtId="167" fontId="26" fillId="30" borderId="0" xfId="0" applyNumberFormat="1" applyFont="1" applyFill="1" applyProtection="1">
      <protection hidden="1"/>
    </xf>
    <xf numFmtId="0" fontId="14" fillId="30" borderId="47" xfId="0" applyFont="1" applyFill="1" applyBorder="1" applyProtection="1">
      <protection hidden="1"/>
    </xf>
    <xf numFmtId="0" fontId="14" fillId="30" borderId="48" xfId="0" applyFont="1" applyFill="1" applyBorder="1" applyProtection="1">
      <protection hidden="1"/>
    </xf>
    <xf numFmtId="166" fontId="14" fillId="30" borderId="47" xfId="0" applyNumberFormat="1" applyFont="1" applyFill="1" applyBorder="1" applyProtection="1">
      <protection hidden="1"/>
    </xf>
    <xf numFmtId="166" fontId="14" fillId="30" borderId="10" xfId="0" applyNumberFormat="1" applyFont="1" applyFill="1" applyBorder="1" applyProtection="1">
      <protection hidden="1"/>
    </xf>
    <xf numFmtId="0" fontId="14" fillId="30" borderId="11" xfId="0" applyFont="1" applyFill="1" applyBorder="1" applyProtection="1">
      <protection hidden="1"/>
    </xf>
    <xf numFmtId="0" fontId="14" fillId="30" borderId="10" xfId="0" applyFont="1" applyFill="1" applyBorder="1" applyProtection="1">
      <protection hidden="1"/>
    </xf>
    <xf numFmtId="0" fontId="14" fillId="30" borderId="0" xfId="0" applyFont="1" applyFill="1" applyAlignment="1" applyProtection="1">
      <alignment horizontal="center"/>
      <protection hidden="1"/>
    </xf>
    <xf numFmtId="2" fontId="26" fillId="30" borderId="10" xfId="0" applyNumberFormat="1" applyFont="1" applyFill="1" applyBorder="1" applyProtection="1">
      <protection hidden="1"/>
    </xf>
    <xf numFmtId="168" fontId="26" fillId="30" borderId="11" xfId="0" applyNumberFormat="1" applyFont="1" applyFill="1" applyBorder="1" applyProtection="1">
      <protection hidden="1"/>
    </xf>
    <xf numFmtId="0" fontId="26" fillId="30" borderId="10" xfId="0" applyFont="1" applyFill="1" applyBorder="1" applyProtection="1">
      <protection hidden="1"/>
    </xf>
    <xf numFmtId="0" fontId="26" fillId="30" borderId="11" xfId="0" applyFont="1" applyFill="1" applyBorder="1" applyProtection="1">
      <protection hidden="1"/>
    </xf>
    <xf numFmtId="166" fontId="26" fillId="30" borderId="13" xfId="0" applyNumberFormat="1" applyFont="1" applyFill="1" applyBorder="1" applyProtection="1">
      <protection hidden="1"/>
    </xf>
    <xf numFmtId="166" fontId="26" fillId="30" borderId="15" xfId="0" applyNumberFormat="1" applyFont="1" applyFill="1" applyBorder="1" applyProtection="1">
      <protection hidden="1"/>
    </xf>
    <xf numFmtId="0" fontId="26" fillId="30" borderId="13" xfId="0" applyFont="1" applyFill="1" applyBorder="1" applyProtection="1">
      <protection hidden="1"/>
    </xf>
    <xf numFmtId="0" fontId="26" fillId="30" borderId="15" xfId="0" applyFont="1" applyFill="1" applyBorder="1" applyProtection="1">
      <protection hidden="1"/>
    </xf>
    <xf numFmtId="166" fontId="26" fillId="0" borderId="0" xfId="0" applyNumberFormat="1" applyFont="1" applyProtection="1">
      <protection hidden="1"/>
    </xf>
    <xf numFmtId="166" fontId="26" fillId="29" borderId="0" xfId="0" applyNumberFormat="1" applyFont="1" applyFill="1" applyProtection="1">
      <protection hidden="1"/>
    </xf>
    <xf numFmtId="0" fontId="14" fillId="26" borderId="0" xfId="0" applyFont="1" applyFill="1" applyProtection="1">
      <protection hidden="1"/>
    </xf>
    <xf numFmtId="166" fontId="26" fillId="26" borderId="0" xfId="0" applyNumberFormat="1" applyFont="1" applyFill="1" applyProtection="1">
      <protection hidden="1"/>
    </xf>
    <xf numFmtId="168" fontId="26" fillId="0" borderId="0" xfId="0" applyNumberFormat="1" applyFont="1" applyProtection="1">
      <protection hidden="1"/>
    </xf>
    <xf numFmtId="2" fontId="26" fillId="0" borderId="0" xfId="0" applyNumberFormat="1" applyFont="1" applyProtection="1">
      <protection hidden="1"/>
    </xf>
    <xf numFmtId="0" fontId="26" fillId="0" borderId="0" xfId="0" applyFont="1" applyProtection="1">
      <protection hidden="1"/>
    </xf>
    <xf numFmtId="0" fontId="20" fillId="24" borderId="0" xfId="0" applyFont="1" applyFill="1" applyAlignment="1" applyProtection="1">
      <alignment horizontal="center"/>
      <protection hidden="1"/>
    </xf>
    <xf numFmtId="0" fontId="14" fillId="24" borderId="32" xfId="0" applyFont="1" applyFill="1" applyBorder="1" applyProtection="1">
      <protection hidden="1"/>
    </xf>
    <xf numFmtId="0" fontId="14" fillId="0" borderId="58" xfId="0" applyFont="1" applyBorder="1" applyProtection="1">
      <protection hidden="1"/>
    </xf>
    <xf numFmtId="0" fontId="14" fillId="0" borderId="59" xfId="0" applyFont="1" applyBorder="1" applyProtection="1">
      <protection hidden="1"/>
    </xf>
    <xf numFmtId="168" fontId="10" fillId="0" borderId="52" xfId="0" applyNumberFormat="1" applyFont="1" applyBorder="1" applyAlignment="1" applyProtection="1">
      <alignment horizontal="center"/>
      <protection hidden="1"/>
    </xf>
    <xf numFmtId="2" fontId="14" fillId="0" borderId="0" xfId="0" applyNumberFormat="1" applyFont="1" applyProtection="1">
      <protection hidden="1"/>
    </xf>
    <xf numFmtId="0" fontId="14" fillId="0" borderId="56" xfId="0" applyFont="1" applyBorder="1" applyProtection="1">
      <protection hidden="1"/>
    </xf>
    <xf numFmtId="166" fontId="14" fillId="0" borderId="55" xfId="0" applyNumberFormat="1" applyFont="1" applyBorder="1" applyProtection="1">
      <protection hidden="1"/>
    </xf>
    <xf numFmtId="171" fontId="14" fillId="0" borderId="0" xfId="0" applyNumberFormat="1" applyFont="1" applyProtection="1">
      <protection hidden="1"/>
    </xf>
    <xf numFmtId="174" fontId="14" fillId="0" borderId="0" xfId="0" applyNumberFormat="1" applyFont="1" applyProtection="1">
      <protection hidden="1"/>
    </xf>
    <xf numFmtId="169" fontId="14" fillId="0" borderId="60" xfId="0" applyNumberFormat="1" applyFont="1" applyBorder="1" applyProtection="1">
      <protection hidden="1"/>
    </xf>
    <xf numFmtId="1" fontId="14" fillId="0" borderId="110" xfId="0" applyNumberFormat="1" applyFont="1" applyBorder="1" applyAlignment="1" applyProtection="1">
      <alignment horizontal="right"/>
      <protection hidden="1"/>
    </xf>
    <xf numFmtId="173" fontId="14" fillId="0" borderId="0" xfId="0" applyNumberFormat="1" applyFont="1" applyProtection="1">
      <protection hidden="1"/>
    </xf>
    <xf numFmtId="168" fontId="14" fillId="0" borderId="55" xfId="0" applyNumberFormat="1" applyFont="1" applyBorder="1" applyProtection="1">
      <protection hidden="1"/>
    </xf>
    <xf numFmtId="172" fontId="14" fillId="0" borderId="0" xfId="0" applyNumberFormat="1" applyFont="1" applyProtection="1">
      <protection hidden="1"/>
    </xf>
    <xf numFmtId="0" fontId="14" fillId="0" borderId="111" xfId="0" applyFont="1" applyBorder="1" applyProtection="1">
      <protection hidden="1"/>
    </xf>
    <xf numFmtId="0" fontId="14" fillId="0" borderId="65" xfId="0" applyFont="1" applyBorder="1" applyAlignment="1" applyProtection="1">
      <alignment horizontal="right"/>
      <protection hidden="1"/>
    </xf>
    <xf numFmtId="0" fontId="14" fillId="0" borderId="66" xfId="0" applyFont="1" applyBorder="1" applyProtection="1">
      <protection hidden="1"/>
    </xf>
    <xf numFmtId="0" fontId="10" fillId="0" borderId="51" xfId="0" applyFont="1" applyBorder="1" applyAlignment="1" applyProtection="1">
      <alignment horizontal="center"/>
      <protection hidden="1"/>
    </xf>
    <xf numFmtId="0" fontId="10" fillId="0" borderId="52" xfId="0" applyFont="1" applyBorder="1" applyAlignment="1" applyProtection="1">
      <alignment horizontal="center"/>
      <protection hidden="1"/>
    </xf>
    <xf numFmtId="0" fontId="10" fillId="0" borderId="61" xfId="0" applyFont="1" applyBorder="1" applyAlignment="1" applyProtection="1">
      <alignment horizontal="center"/>
      <protection hidden="1"/>
    </xf>
    <xf numFmtId="0" fontId="10" fillId="0" borderId="62" xfId="0" applyFont="1" applyBorder="1" applyAlignment="1" applyProtection="1">
      <alignment horizontal="center"/>
      <protection hidden="1"/>
    </xf>
    <xf numFmtId="0" fontId="14" fillId="0" borderId="65" xfId="0" applyFont="1" applyBorder="1" applyAlignment="1" applyProtection="1">
      <alignment horizontal="center"/>
      <protection hidden="1"/>
    </xf>
    <xf numFmtId="168" fontId="14" fillId="0" borderId="62" xfId="0" applyNumberFormat="1" applyFont="1" applyBorder="1" applyAlignment="1" applyProtection="1">
      <alignment horizontal="center"/>
      <protection hidden="1"/>
    </xf>
    <xf numFmtId="0" fontId="14" fillId="0" borderId="66" xfId="0" applyFont="1" applyBorder="1" applyAlignment="1" applyProtection="1">
      <alignment horizontal="center"/>
      <protection hidden="1"/>
    </xf>
    <xf numFmtId="168" fontId="10" fillId="0" borderId="62" xfId="0" applyNumberFormat="1" applyFont="1" applyBorder="1" applyAlignment="1" applyProtection="1">
      <alignment horizontal="center"/>
      <protection hidden="1"/>
    </xf>
    <xf numFmtId="166" fontId="0" fillId="0" borderId="0" xfId="0" applyNumberFormat="1" applyProtection="1">
      <protection hidden="1"/>
    </xf>
    <xf numFmtId="168" fontId="0" fillId="0" borderId="0" xfId="0" applyNumberFormat="1" applyProtection="1">
      <protection hidden="1"/>
    </xf>
    <xf numFmtId="2" fontId="0" fillId="0" borderId="0" xfId="0" applyNumberFormat="1" applyProtection="1">
      <protection hidden="1"/>
    </xf>
    <xf numFmtId="166" fontId="14" fillId="0" borderId="77" xfId="0" applyNumberFormat="1" applyFont="1" applyBorder="1" applyAlignment="1" applyProtection="1">
      <alignment horizontal="center"/>
      <protection hidden="1"/>
    </xf>
    <xf numFmtId="166" fontId="14" fillId="0" borderId="85" xfId="0" applyNumberFormat="1" applyFont="1" applyBorder="1" applyAlignment="1" applyProtection="1">
      <alignment horizontal="center"/>
      <protection hidden="1"/>
    </xf>
    <xf numFmtId="166" fontId="10" fillId="0" borderId="85" xfId="0" applyNumberFormat="1" applyFont="1" applyBorder="1" applyAlignment="1" applyProtection="1">
      <alignment horizontal="center"/>
      <protection hidden="1"/>
    </xf>
    <xf numFmtId="0" fontId="50" fillId="0" borderId="0" xfId="0" applyFont="1"/>
    <xf numFmtId="0" fontId="51" fillId="24" borderId="114" xfId="0" applyFont="1" applyFill="1" applyBorder="1" applyAlignment="1">
      <alignment horizontal="center" vertical="center" wrapText="1"/>
    </xf>
    <xf numFmtId="0" fontId="49" fillId="24" borderId="115" xfId="0" applyFont="1" applyFill="1" applyBorder="1" applyAlignment="1">
      <alignment horizontal="center" vertical="center" wrapText="1"/>
    </xf>
    <xf numFmtId="0" fontId="49" fillId="24" borderId="116" xfId="0" applyFont="1" applyFill="1" applyBorder="1" applyAlignment="1">
      <alignment horizontal="center" vertical="center" wrapText="1"/>
    </xf>
    <xf numFmtId="0" fontId="49" fillId="24" borderId="117" xfId="0" applyFont="1" applyFill="1" applyBorder="1" applyAlignment="1">
      <alignment horizontal="center" vertical="center" wrapText="1"/>
    </xf>
    <xf numFmtId="0" fontId="50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9" fillId="0" borderId="118" xfId="0" applyFont="1" applyBorder="1"/>
    <xf numFmtId="0" fontId="29" fillId="30" borderId="119" xfId="0" applyFont="1" applyFill="1" applyBorder="1" applyAlignment="1" applyProtection="1">
      <alignment horizontal="left"/>
      <protection locked="0"/>
    </xf>
    <xf numFmtId="0" fontId="29" fillId="30" borderId="120" xfId="0" applyFont="1" applyFill="1" applyBorder="1" applyAlignment="1" applyProtection="1">
      <alignment horizontal="left"/>
      <protection locked="0"/>
    </xf>
    <xf numFmtId="0" fontId="50" fillId="30" borderId="121" xfId="0" applyFont="1" applyFill="1" applyBorder="1" applyProtection="1">
      <protection locked="0"/>
    </xf>
    <xf numFmtId="0" fontId="50" fillId="0" borderId="122" xfId="0" applyFont="1" applyBorder="1" applyAlignment="1">
      <alignment horizontal="center"/>
    </xf>
    <xf numFmtId="0" fontId="50" fillId="0" borderId="123" xfId="0" applyFont="1" applyBorder="1" applyAlignment="1">
      <alignment horizontal="center"/>
    </xf>
    <xf numFmtId="0" fontId="29" fillId="0" borderId="124" xfId="0" applyFont="1" applyBorder="1"/>
    <xf numFmtId="0" fontId="29" fillId="30" borderId="85" xfId="0" applyFont="1" applyFill="1" applyBorder="1" applyAlignment="1" applyProtection="1">
      <alignment horizontal="left"/>
      <protection locked="0"/>
    </xf>
    <xf numFmtId="0" fontId="29" fillId="30" borderId="83" xfId="0" applyFont="1" applyFill="1" applyBorder="1" applyAlignment="1" applyProtection="1">
      <alignment horizontal="left"/>
      <protection locked="0"/>
    </xf>
    <xf numFmtId="0" fontId="50" fillId="30" borderId="84" xfId="0" applyFont="1" applyFill="1" applyBorder="1" applyProtection="1">
      <protection locked="0"/>
    </xf>
    <xf numFmtId="0" fontId="50" fillId="0" borderId="75" xfId="0" applyFont="1" applyBorder="1" applyAlignment="1">
      <alignment horizontal="center"/>
    </xf>
    <xf numFmtId="0" fontId="50" fillId="0" borderId="76" xfId="0" applyFont="1" applyBorder="1" applyAlignment="1">
      <alignment horizontal="center"/>
    </xf>
    <xf numFmtId="0" fontId="50" fillId="30" borderId="83" xfId="0" applyFont="1" applyFill="1" applyBorder="1" applyAlignment="1" applyProtection="1">
      <alignment horizontal="center"/>
      <protection locked="0"/>
    </xf>
    <xf numFmtId="10" fontId="50" fillId="0" borderId="83" xfId="38" applyNumberFormat="1" applyFont="1" applyFill="1" applyBorder="1" applyAlignment="1" applyProtection="1">
      <alignment horizontal="center"/>
      <protection locked="0"/>
    </xf>
    <xf numFmtId="10" fontId="50" fillId="30" borderId="83" xfId="38" applyNumberFormat="1" applyFont="1" applyFill="1" applyBorder="1" applyAlignment="1" applyProtection="1">
      <alignment horizontal="center"/>
      <protection locked="0"/>
    </xf>
    <xf numFmtId="9" fontId="52" fillId="0" borderId="84" xfId="38" applyFont="1" applyFill="1" applyBorder="1" applyAlignment="1" applyProtection="1">
      <alignment horizontal="center"/>
    </xf>
    <xf numFmtId="0" fontId="29" fillId="0" borderId="125" xfId="0" applyFont="1" applyBorder="1"/>
    <xf numFmtId="0" fontId="29" fillId="30" borderId="126" xfId="0" applyFont="1" applyFill="1" applyBorder="1" applyAlignment="1" applyProtection="1">
      <alignment horizontal="left"/>
      <protection locked="0"/>
    </xf>
    <xf numFmtId="0" fontId="29" fillId="30" borderId="127" xfId="0" applyFont="1" applyFill="1" applyBorder="1" applyAlignment="1" applyProtection="1">
      <alignment horizontal="left"/>
      <protection locked="0"/>
    </xf>
    <xf numFmtId="0" fontId="50" fillId="30" borderId="128" xfId="0" applyFont="1" applyFill="1" applyBorder="1" applyProtection="1">
      <protection locked="0"/>
    </xf>
    <xf numFmtId="0" fontId="50" fillId="0" borderId="128" xfId="0" applyFont="1" applyBorder="1" applyAlignment="1">
      <alignment horizontal="center"/>
    </xf>
    <xf numFmtId="10" fontId="50" fillId="30" borderId="127" xfId="38" applyNumberFormat="1" applyFont="1" applyFill="1" applyBorder="1" applyAlignment="1" applyProtection="1">
      <alignment horizontal="center"/>
      <protection locked="0"/>
    </xf>
    <xf numFmtId="10" fontId="50" fillId="0" borderId="127" xfId="38" applyNumberFormat="1" applyFont="1" applyFill="1" applyBorder="1" applyAlignment="1" applyProtection="1">
      <alignment horizontal="center"/>
      <protection locked="0"/>
    </xf>
    <xf numFmtId="10" fontId="50" fillId="30" borderId="128" xfId="38" applyNumberFormat="1" applyFont="1" applyFill="1" applyBorder="1" applyAlignment="1" applyProtection="1">
      <alignment horizontal="center"/>
      <protection locked="0"/>
    </xf>
    <xf numFmtId="10" fontId="50" fillId="30" borderId="126" xfId="38" applyNumberFormat="1" applyFont="1" applyFill="1" applyBorder="1" applyAlignment="1" applyProtection="1">
      <alignment horizontal="center"/>
      <protection locked="0"/>
    </xf>
    <xf numFmtId="9" fontId="52" fillId="0" borderId="128" xfId="38" applyFont="1" applyFill="1" applyBorder="1" applyAlignment="1" applyProtection="1">
      <alignment horizontal="center"/>
    </xf>
    <xf numFmtId="0" fontId="50" fillId="0" borderId="0" xfId="0" applyFont="1" applyAlignment="1">
      <alignment horizontal="right"/>
    </xf>
    <xf numFmtId="0" fontId="50" fillId="30" borderId="112" xfId="0" applyFont="1" applyFill="1" applyBorder="1" applyAlignment="1">
      <alignment horizontal="center"/>
    </xf>
    <xf numFmtId="0" fontId="53" fillId="0" borderId="118" xfId="0" applyFont="1" applyBorder="1" applyAlignment="1">
      <alignment horizontal="left"/>
    </xf>
    <xf numFmtId="0" fontId="48" fillId="0" borderId="121" xfId="0" applyFont="1" applyBorder="1" applyAlignment="1">
      <alignment horizontal="center"/>
    </xf>
    <xf numFmtId="0" fontId="48" fillId="0" borderId="129" xfId="0" applyFont="1" applyBorder="1" applyAlignment="1">
      <alignment horizontal="center"/>
    </xf>
    <xf numFmtId="0" fontId="29" fillId="0" borderId="129" xfId="0" applyFont="1" applyBorder="1" applyAlignment="1">
      <alignment horizontal="center"/>
    </xf>
    <xf numFmtId="0" fontId="29" fillId="0" borderId="0" xfId="0" applyFont="1" applyAlignment="1">
      <alignment horizontal="center"/>
    </xf>
    <xf numFmtId="0" fontId="53" fillId="0" borderId="130" xfId="0" applyFont="1" applyBorder="1" applyAlignment="1">
      <alignment horizontal="left"/>
    </xf>
    <xf numFmtId="0" fontId="29" fillId="0" borderId="131" xfId="0" applyFont="1" applyBorder="1" applyAlignment="1">
      <alignment horizontal="center"/>
    </xf>
    <xf numFmtId="0" fontId="29" fillId="0" borderId="124" xfId="0" applyFont="1" applyBorder="1" applyAlignment="1">
      <alignment horizontal="left"/>
    </xf>
    <xf numFmtId="1" fontId="50" fillId="0" borderId="84" xfId="0" applyNumberFormat="1" applyFont="1" applyBorder="1"/>
    <xf numFmtId="166" fontId="50" fillId="0" borderId="132" xfId="0" applyNumberFormat="1" applyFont="1" applyBorder="1"/>
    <xf numFmtId="2" fontId="50" fillId="0" borderId="132" xfId="0" applyNumberFormat="1" applyFont="1" applyBorder="1"/>
    <xf numFmtId="2" fontId="50" fillId="0" borderId="0" xfId="0" applyNumberFormat="1" applyFont="1"/>
    <xf numFmtId="0" fontId="29" fillId="0" borderId="133" xfId="0" applyFont="1" applyBorder="1"/>
    <xf numFmtId="2" fontId="50" fillId="0" borderId="87" xfId="0" applyNumberFormat="1" applyFont="1" applyBorder="1"/>
    <xf numFmtId="166" fontId="50" fillId="30" borderId="132" xfId="0" applyNumberFormat="1" applyFont="1" applyFill="1" applyBorder="1" applyProtection="1">
      <protection locked="0"/>
    </xf>
    <xf numFmtId="1" fontId="52" fillId="0" borderId="132" xfId="0" applyNumberFormat="1" applyFont="1" applyBorder="1"/>
    <xf numFmtId="1" fontId="50" fillId="30" borderId="132" xfId="0" applyNumberFormat="1" applyFont="1" applyFill="1" applyBorder="1" applyProtection="1">
      <protection locked="0"/>
    </xf>
    <xf numFmtId="2" fontId="50" fillId="30" borderId="132" xfId="0" applyNumberFormat="1" applyFont="1" applyFill="1" applyBorder="1" applyProtection="1">
      <protection locked="0"/>
    </xf>
    <xf numFmtId="49" fontId="50" fillId="30" borderId="132" xfId="0" applyNumberFormat="1" applyFont="1" applyFill="1" applyBorder="1" applyAlignment="1" applyProtection="1">
      <alignment horizontal="center"/>
      <protection locked="0"/>
    </xf>
    <xf numFmtId="2" fontId="29" fillId="0" borderId="84" xfId="0" applyNumberFormat="1" applyFont="1" applyBorder="1" applyAlignment="1">
      <alignment horizontal="left"/>
    </xf>
    <xf numFmtId="2" fontId="50" fillId="0" borderId="84" xfId="0" applyNumberFormat="1" applyFont="1" applyBorder="1"/>
    <xf numFmtId="175" fontId="29" fillId="0" borderId="124" xfId="0" applyNumberFormat="1" applyFont="1" applyBorder="1"/>
    <xf numFmtId="177" fontId="29" fillId="0" borderId="133" xfId="0" applyNumberFormat="1" applyFont="1" applyBorder="1"/>
    <xf numFmtId="0" fontId="50" fillId="0" borderId="87" xfId="0" applyFont="1" applyBorder="1"/>
    <xf numFmtId="176" fontId="29" fillId="0" borderId="124" xfId="0" applyNumberFormat="1" applyFont="1" applyBorder="1"/>
    <xf numFmtId="2" fontId="52" fillId="0" borderId="132" xfId="0" applyNumberFormat="1" applyFont="1" applyBorder="1"/>
    <xf numFmtId="180" fontId="29" fillId="0" borderId="124" xfId="0" applyNumberFormat="1" applyFont="1" applyBorder="1"/>
    <xf numFmtId="181" fontId="29" fillId="0" borderId="133" xfId="0" applyNumberFormat="1" applyFont="1" applyBorder="1"/>
    <xf numFmtId="179" fontId="29" fillId="0" borderId="124" xfId="0" applyNumberFormat="1" applyFont="1" applyBorder="1"/>
    <xf numFmtId="170" fontId="50" fillId="0" borderId="84" xfId="0" applyNumberFormat="1" applyFont="1" applyBorder="1"/>
    <xf numFmtId="170" fontId="50" fillId="0" borderId="132" xfId="0" applyNumberFormat="1" applyFont="1" applyBorder="1"/>
    <xf numFmtId="9" fontId="50" fillId="0" borderId="0" xfId="0" applyNumberFormat="1" applyFont="1"/>
    <xf numFmtId="9" fontId="50" fillId="0" borderId="87" xfId="0" applyNumberFormat="1" applyFont="1" applyBorder="1"/>
    <xf numFmtId="168" fontId="50" fillId="0" borderId="132" xfId="0" applyNumberFormat="1" applyFont="1" applyBorder="1"/>
    <xf numFmtId="170" fontId="50" fillId="0" borderId="132" xfId="38" applyNumberFormat="1" applyFont="1" applyFill="1" applyBorder="1"/>
    <xf numFmtId="0" fontId="48" fillId="0" borderId="125" xfId="0" applyFont="1" applyBorder="1"/>
    <xf numFmtId="1" fontId="52" fillId="0" borderId="128" xfId="0" applyNumberFormat="1" applyFont="1" applyBorder="1"/>
    <xf numFmtId="166" fontId="52" fillId="0" borderId="134" xfId="0" applyNumberFormat="1" applyFont="1" applyBorder="1"/>
    <xf numFmtId="2" fontId="52" fillId="0" borderId="134" xfId="0" applyNumberFormat="1" applyFont="1" applyBorder="1"/>
    <xf numFmtId="2" fontId="52" fillId="0" borderId="0" xfId="0" applyNumberFormat="1" applyFont="1"/>
    <xf numFmtId="0" fontId="48" fillId="0" borderId="135" xfId="0" applyFont="1" applyBorder="1"/>
    <xf numFmtId="2" fontId="52" fillId="0" borderId="136" xfId="0" applyNumberFormat="1" applyFont="1" applyBorder="1"/>
    <xf numFmtId="1" fontId="52" fillId="0" borderId="134" xfId="0" applyNumberFormat="1" applyFont="1" applyBorder="1"/>
    <xf numFmtId="0" fontId="50" fillId="0" borderId="0" xfId="0" applyFont="1" applyAlignment="1">
      <alignment horizontal="left"/>
    </xf>
    <xf numFmtId="0" fontId="29" fillId="0" borderId="84" xfId="0" applyFont="1" applyBorder="1"/>
    <xf numFmtId="0" fontId="29" fillId="0" borderId="132" xfId="0" applyFont="1" applyBorder="1" applyAlignment="1">
      <alignment horizontal="center"/>
    </xf>
    <xf numFmtId="178" fontId="50" fillId="30" borderId="132" xfId="0" applyNumberFormat="1" applyFont="1" applyFill="1" applyBorder="1" applyAlignment="1" applyProtection="1">
      <alignment horizontal="right"/>
      <protection locked="0"/>
    </xf>
    <xf numFmtId="20" fontId="50" fillId="30" borderId="132" xfId="0" applyNumberFormat="1" applyFont="1" applyFill="1" applyBorder="1" applyProtection="1">
      <protection locked="0"/>
    </xf>
    <xf numFmtId="0" fontId="29" fillId="30" borderId="124" xfId="0" applyFont="1" applyFill="1" applyBorder="1" applyProtection="1">
      <protection locked="0"/>
    </xf>
    <xf numFmtId="9" fontId="50" fillId="0" borderId="132" xfId="38" applyFont="1" applyFill="1" applyBorder="1"/>
    <xf numFmtId="0" fontId="50" fillId="30" borderId="132" xfId="0" applyFont="1" applyFill="1" applyBorder="1" applyAlignment="1" applyProtection="1">
      <alignment horizontal="right"/>
      <protection locked="0"/>
    </xf>
    <xf numFmtId="20" fontId="50" fillId="30" borderId="132" xfId="0" applyNumberFormat="1" applyFont="1" applyFill="1" applyBorder="1"/>
    <xf numFmtId="0" fontId="29" fillId="30" borderId="125" xfId="0" applyFont="1" applyFill="1" applyBorder="1" applyProtection="1">
      <protection locked="0"/>
    </xf>
    <xf numFmtId="9" fontId="50" fillId="0" borderId="134" xfId="38" applyFont="1" applyFill="1" applyBorder="1"/>
    <xf numFmtId="0" fontId="50" fillId="30" borderId="134" xfId="0" applyFont="1" applyFill="1" applyBorder="1" applyAlignment="1" applyProtection="1">
      <alignment horizontal="right"/>
      <protection locked="0"/>
    </xf>
    <xf numFmtId="0" fontId="58" fillId="32" borderId="0" xfId="0" applyFont="1" applyFill="1" applyProtection="1">
      <protection hidden="1"/>
    </xf>
    <xf numFmtId="0" fontId="21" fillId="0" borderId="0" xfId="0" applyFont="1" applyProtection="1">
      <protection hidden="1"/>
    </xf>
    <xf numFmtId="0" fontId="58" fillId="0" borderId="0" xfId="0" applyFont="1" applyProtection="1">
      <protection hidden="1"/>
    </xf>
    <xf numFmtId="0" fontId="58" fillId="0" borderId="138" xfId="0" applyFont="1" applyBorder="1" applyProtection="1">
      <protection hidden="1"/>
    </xf>
    <xf numFmtId="0" fontId="7" fillId="0" borderId="0" xfId="0" applyFont="1" applyProtection="1">
      <protection hidden="1"/>
    </xf>
    <xf numFmtId="0" fontId="7" fillId="0" borderId="0" xfId="0" applyFont="1" applyAlignment="1" applyProtection="1">
      <alignment vertical="center" wrapText="1"/>
      <protection hidden="1"/>
    </xf>
    <xf numFmtId="166" fontId="60" fillId="32" borderId="0" xfId="0" applyNumberFormat="1" applyFont="1" applyFill="1" applyProtection="1">
      <protection hidden="1"/>
    </xf>
    <xf numFmtId="0" fontId="60" fillId="0" borderId="0" xfId="0" applyFont="1" applyProtection="1">
      <protection hidden="1"/>
    </xf>
    <xf numFmtId="2" fontId="60" fillId="0" borderId="0" xfId="0" applyNumberFormat="1" applyFont="1" applyProtection="1">
      <protection hidden="1"/>
    </xf>
    <xf numFmtId="0" fontId="60" fillId="32" borderId="0" xfId="0" applyFont="1" applyFill="1" applyProtection="1">
      <protection hidden="1"/>
    </xf>
    <xf numFmtId="0" fontId="8" fillId="33" borderId="143" xfId="0" applyFont="1" applyFill="1" applyBorder="1" applyAlignment="1" applyProtection="1">
      <alignment horizontal="center" vertical="center"/>
      <protection locked="0" hidden="1"/>
    </xf>
    <xf numFmtId="0" fontId="8" fillId="33" borderId="144" xfId="0" applyFont="1" applyFill="1" applyBorder="1" applyAlignment="1" applyProtection="1">
      <alignment horizontal="center" vertical="center"/>
      <protection locked="0" hidden="1"/>
    </xf>
    <xf numFmtId="0" fontId="64" fillId="0" borderId="138" xfId="0" applyFont="1" applyBorder="1" applyAlignment="1" applyProtection="1">
      <alignment horizontal="left"/>
      <protection hidden="1"/>
    </xf>
    <xf numFmtId="0" fontId="8" fillId="33" borderId="10" xfId="0" applyFont="1" applyFill="1" applyBorder="1" applyAlignment="1" applyProtection="1">
      <alignment horizontal="center" vertical="center"/>
      <protection locked="0" hidden="1"/>
    </xf>
    <xf numFmtId="0" fontId="8" fillId="33" borderId="145" xfId="0" applyFont="1" applyFill="1" applyBorder="1" applyAlignment="1" applyProtection="1">
      <alignment horizontal="center" vertical="center"/>
      <protection locked="0" hidden="1"/>
    </xf>
    <xf numFmtId="0" fontId="60" fillId="0" borderId="28" xfId="0" applyFont="1" applyBorder="1" applyAlignment="1" applyProtection="1">
      <alignment horizontal="left"/>
      <protection hidden="1"/>
    </xf>
    <xf numFmtId="0" fontId="65" fillId="32" borderId="10" xfId="0" applyFont="1" applyFill="1" applyBorder="1" applyAlignment="1" applyProtection="1">
      <alignment horizontal="center"/>
      <protection locked="0" hidden="1"/>
    </xf>
    <xf numFmtId="0" fontId="65" fillId="32" borderId="145" xfId="0" applyFont="1" applyFill="1" applyBorder="1" applyAlignment="1" applyProtection="1">
      <alignment horizontal="center"/>
      <protection locked="0" hidden="1"/>
    </xf>
    <xf numFmtId="0" fontId="62" fillId="0" borderId="0" xfId="0" applyFont="1" applyProtection="1">
      <protection hidden="1"/>
    </xf>
    <xf numFmtId="0" fontId="65" fillId="32" borderId="13" xfId="0" applyFont="1" applyFill="1" applyBorder="1" applyAlignment="1" applyProtection="1">
      <alignment horizontal="center"/>
      <protection locked="0" hidden="1"/>
    </xf>
    <xf numFmtId="0" fontId="65" fillId="32" borderId="146" xfId="0" applyFont="1" applyFill="1" applyBorder="1" applyAlignment="1" applyProtection="1">
      <alignment horizontal="center"/>
      <protection locked="0" hidden="1"/>
    </xf>
    <xf numFmtId="0" fontId="58" fillId="0" borderId="0" xfId="0" applyFont="1" applyProtection="1">
      <protection locked="0" hidden="1"/>
    </xf>
    <xf numFmtId="2" fontId="8" fillId="0" borderId="0" xfId="0" applyNumberFormat="1" applyFont="1" applyAlignment="1" applyProtection="1">
      <alignment horizontal="center"/>
      <protection hidden="1"/>
    </xf>
    <xf numFmtId="0" fontId="62" fillId="0" borderId="0" xfId="0" applyFont="1"/>
    <xf numFmtId="0" fontId="61" fillId="0" borderId="0" xfId="0" applyFont="1" applyAlignment="1">
      <alignment horizontal="center" vertical="distributed"/>
    </xf>
    <xf numFmtId="0" fontId="61" fillId="0" borderId="0" xfId="0" applyFont="1" applyAlignment="1">
      <alignment horizontal="center" vertical="justify"/>
    </xf>
    <xf numFmtId="0" fontId="57" fillId="0" borderId="75" xfId="0" applyFont="1" applyBorder="1" applyAlignment="1">
      <alignment horizontal="center"/>
    </xf>
    <xf numFmtId="0" fontId="57" fillId="0" borderId="76" xfId="0" applyFont="1" applyBorder="1" applyAlignment="1">
      <alignment horizontal="center"/>
    </xf>
    <xf numFmtId="0" fontId="57" fillId="0" borderId="77" xfId="0" applyFont="1" applyBorder="1" applyAlignment="1">
      <alignment horizontal="center"/>
    </xf>
    <xf numFmtId="0" fontId="62" fillId="0" borderId="0" xfId="0" applyFont="1" applyAlignment="1">
      <alignment horizontal="center"/>
    </xf>
    <xf numFmtId="0" fontId="57" fillId="0" borderId="83" xfId="0" applyFont="1" applyBorder="1" applyAlignment="1">
      <alignment horizontal="center"/>
    </xf>
    <xf numFmtId="0" fontId="57" fillId="0" borderId="84" xfId="0" applyFont="1" applyBorder="1" applyAlignment="1">
      <alignment horizontal="center"/>
    </xf>
    <xf numFmtId="0" fontId="57" fillId="0" borderId="85" xfId="0" applyFont="1" applyBorder="1" applyAlignment="1">
      <alignment horizontal="center"/>
    </xf>
    <xf numFmtId="0" fontId="62" fillId="32" borderId="0" xfId="0" applyFont="1" applyFill="1" applyProtection="1">
      <protection hidden="1"/>
    </xf>
    <xf numFmtId="0" fontId="61" fillId="32" borderId="0" xfId="0" applyFont="1" applyFill="1" applyAlignment="1">
      <alignment horizontal="center"/>
    </xf>
    <xf numFmtId="2" fontId="57" fillId="0" borderId="84" xfId="0" applyNumberFormat="1" applyFont="1" applyBorder="1" applyAlignment="1">
      <alignment horizontal="center"/>
    </xf>
    <xf numFmtId="0" fontId="62" fillId="32" borderId="0" xfId="0" applyFont="1" applyFill="1" applyAlignment="1">
      <alignment horizontal="center"/>
    </xf>
    <xf numFmtId="0" fontId="57" fillId="0" borderId="141" xfId="0" applyFont="1" applyBorder="1" applyAlignment="1">
      <alignment horizontal="center"/>
    </xf>
    <xf numFmtId="0" fontId="57" fillId="0" borderId="147" xfId="0" applyFont="1" applyBorder="1" applyAlignment="1">
      <alignment horizontal="center"/>
    </xf>
    <xf numFmtId="2" fontId="57" fillId="0" borderId="147" xfId="0" applyNumberFormat="1" applyFont="1" applyBorder="1" applyAlignment="1">
      <alignment horizontal="center"/>
    </xf>
    <xf numFmtId="0" fontId="57" fillId="0" borderId="139" xfId="0" applyFont="1" applyBorder="1" applyAlignment="1">
      <alignment horizontal="center"/>
    </xf>
    <xf numFmtId="0" fontId="61" fillId="0" borderId="0" xfId="0" applyFont="1" applyProtection="1">
      <protection hidden="1"/>
    </xf>
    <xf numFmtId="168" fontId="70" fillId="0" borderId="0" xfId="0" applyNumberFormat="1" applyFont="1" applyAlignment="1" applyProtection="1">
      <alignment horizontal="left"/>
      <protection hidden="1"/>
    </xf>
    <xf numFmtId="0" fontId="71" fillId="0" borderId="0" xfId="0" applyFont="1" applyProtection="1">
      <protection hidden="1"/>
    </xf>
    <xf numFmtId="168" fontId="62" fillId="0" borderId="0" xfId="0" applyNumberFormat="1" applyFont="1" applyAlignment="1" applyProtection="1">
      <alignment horizontal="center"/>
      <protection hidden="1"/>
    </xf>
    <xf numFmtId="0" fontId="62" fillId="0" borderId="47" xfId="0" applyFont="1" applyBorder="1" applyProtection="1">
      <protection hidden="1"/>
    </xf>
    <xf numFmtId="0" fontId="62" fillId="0" borderId="148" xfId="0" applyFont="1" applyBorder="1" applyProtection="1">
      <protection hidden="1"/>
    </xf>
    <xf numFmtId="0" fontId="57" fillId="0" borderId="148" xfId="0" applyFont="1" applyBorder="1" applyProtection="1">
      <protection hidden="1"/>
    </xf>
    <xf numFmtId="0" fontId="62" fillId="0" borderId="48" xfId="0" applyFont="1" applyBorder="1" applyProtection="1">
      <protection hidden="1"/>
    </xf>
    <xf numFmtId="0" fontId="62" fillId="0" borderId="10" xfId="0" applyFont="1" applyBorder="1" applyProtection="1">
      <protection hidden="1"/>
    </xf>
    <xf numFmtId="0" fontId="57" fillId="0" borderId="0" xfId="0" applyFont="1" applyProtection="1">
      <protection hidden="1"/>
    </xf>
    <xf numFmtId="0" fontId="62" fillId="0" borderId="11" xfId="0" applyFont="1" applyBorder="1" applyAlignment="1" applyProtection="1">
      <alignment horizontal="center"/>
      <protection hidden="1"/>
    </xf>
    <xf numFmtId="0" fontId="62" fillId="0" borderId="11" xfId="0" applyFont="1" applyBorder="1" applyProtection="1">
      <protection hidden="1"/>
    </xf>
    <xf numFmtId="0" fontId="62" fillId="0" borderId="13" xfId="0" applyFont="1" applyBorder="1" applyProtection="1">
      <protection hidden="1"/>
    </xf>
    <xf numFmtId="0" fontId="62" fillId="0" borderId="14" xfId="0" applyFont="1" applyBorder="1" applyProtection="1">
      <protection hidden="1"/>
    </xf>
    <xf numFmtId="0" fontId="57" fillId="0" borderId="14" xfId="0" applyFont="1" applyBorder="1" applyProtection="1">
      <protection hidden="1"/>
    </xf>
    <xf numFmtId="0" fontId="62" fillId="0" borderId="15" xfId="0" applyFont="1" applyBorder="1" applyProtection="1">
      <protection hidden="1"/>
    </xf>
    <xf numFmtId="0" fontId="21" fillId="0" borderId="0" xfId="0" applyFont="1" applyAlignment="1" applyProtection="1">
      <alignment horizontal="center"/>
      <protection hidden="1"/>
    </xf>
    <xf numFmtId="0" fontId="21" fillId="32" borderId="0" xfId="0" applyFont="1" applyFill="1" applyProtection="1">
      <protection hidden="1"/>
    </xf>
    <xf numFmtId="0" fontId="14" fillId="0" borderId="140" xfId="0" applyFont="1" applyBorder="1" applyProtection="1">
      <protection hidden="1"/>
    </xf>
    <xf numFmtId="2" fontId="20" fillId="28" borderId="90" xfId="0" applyNumberFormat="1" applyFont="1" applyFill="1" applyBorder="1" applyAlignment="1" applyProtection="1">
      <alignment horizontal="center"/>
      <protection hidden="1"/>
    </xf>
    <xf numFmtId="2" fontId="20" fillId="28" borderId="91" xfId="0" applyNumberFormat="1" applyFont="1" applyFill="1" applyBorder="1" applyAlignment="1" applyProtection="1">
      <alignment horizontal="center"/>
      <protection hidden="1"/>
    </xf>
    <xf numFmtId="0" fontId="3" fillId="34" borderId="132" xfId="0" applyFont="1" applyFill="1" applyBorder="1" applyAlignment="1">
      <alignment horizontal="center" vertical="center" wrapText="1"/>
    </xf>
    <xf numFmtId="170" fontId="10" fillId="36" borderId="134" xfId="0" applyNumberFormat="1" applyFont="1" applyFill="1" applyBorder="1" applyAlignment="1">
      <alignment horizontal="center" vertical="center" wrapText="1"/>
    </xf>
    <xf numFmtId="166" fontId="0" fillId="0" borderId="0" xfId="0" applyNumberFormat="1"/>
    <xf numFmtId="0" fontId="74" fillId="0" borderId="0" xfId="0" applyFont="1"/>
    <xf numFmtId="0" fontId="3" fillId="34" borderId="84" xfId="0" applyFont="1" applyFill="1" applyBorder="1" applyAlignment="1">
      <alignment horizontal="center" vertical="center" wrapText="1"/>
    </xf>
    <xf numFmtId="170" fontId="3" fillId="36" borderId="128" xfId="0" applyNumberFormat="1" applyFont="1" applyFill="1" applyBorder="1" applyAlignment="1">
      <alignment horizontal="center" vertical="center" wrapText="1"/>
    </xf>
    <xf numFmtId="0" fontId="75" fillId="0" borderId="0" xfId="0" applyFont="1"/>
    <xf numFmtId="0" fontId="74" fillId="0" borderId="0" xfId="0" applyFont="1" applyAlignment="1">
      <alignment horizontal="center" vertical="center" wrapText="1"/>
    </xf>
    <xf numFmtId="0" fontId="74" fillId="31" borderId="0" xfId="0" applyFont="1" applyFill="1"/>
    <xf numFmtId="0" fontId="74" fillId="31" borderId="0" xfId="0" applyFont="1" applyFill="1" applyAlignment="1">
      <alignment horizontal="center" vertical="center" wrapText="1"/>
    </xf>
    <xf numFmtId="1" fontId="74" fillId="0" borderId="0" xfId="0" applyNumberFormat="1" applyFont="1"/>
    <xf numFmtId="2" fontId="74" fillId="0" borderId="0" xfId="0" applyNumberFormat="1" applyFont="1"/>
    <xf numFmtId="0" fontId="74" fillId="0" borderId="0" xfId="0" quotePrefix="1" applyFont="1"/>
    <xf numFmtId="0" fontId="74" fillId="31" borderId="0" xfId="0" applyFont="1" applyFill="1" applyAlignment="1">
      <alignment horizontal="center"/>
    </xf>
    <xf numFmtId="0" fontId="0" fillId="0" borderId="0" xfId="0" applyAlignment="1" applyProtection="1">
      <alignment horizontal="center"/>
      <protection hidden="1"/>
    </xf>
    <xf numFmtId="0" fontId="7" fillId="0" borderId="152" xfId="0" applyFont="1" applyBorder="1"/>
    <xf numFmtId="166" fontId="7" fillId="0" borderId="153" xfId="0" applyNumberFormat="1" applyFont="1" applyBorder="1"/>
    <xf numFmtId="0" fontId="7" fillId="0" borderId="150" xfId="0" applyFont="1" applyBorder="1"/>
    <xf numFmtId="166" fontId="7" fillId="0" borderId="154" xfId="0" applyNumberFormat="1" applyFont="1" applyBorder="1"/>
    <xf numFmtId="0" fontId="7" fillId="0" borderId="151" xfId="0" applyFont="1" applyBorder="1"/>
    <xf numFmtId="166" fontId="7" fillId="0" borderId="155" xfId="0" applyNumberFormat="1" applyFont="1" applyBorder="1"/>
    <xf numFmtId="0" fontId="10" fillId="31" borderId="50" xfId="0" applyFont="1" applyFill="1" applyBorder="1" applyAlignment="1">
      <alignment horizontal="center"/>
    </xf>
    <xf numFmtId="166" fontId="0" fillId="0" borderId="50" xfId="0" applyNumberFormat="1" applyBorder="1"/>
    <xf numFmtId="168" fontId="14" fillId="0" borderId="96" xfId="0" applyNumberFormat="1" applyFont="1" applyBorder="1" applyAlignment="1" applyProtection="1">
      <alignment horizontal="center"/>
      <protection hidden="1"/>
    </xf>
    <xf numFmtId="166" fontId="3" fillId="0" borderId="0" xfId="0" applyNumberFormat="1" applyFont="1"/>
    <xf numFmtId="0" fontId="3" fillId="0" borderId="0" xfId="0" applyFont="1"/>
    <xf numFmtId="0" fontId="3" fillId="0" borderId="0" xfId="0" applyFont="1" applyProtection="1">
      <protection hidden="1"/>
    </xf>
    <xf numFmtId="0" fontId="60" fillId="43" borderId="0" xfId="0" applyFont="1" applyFill="1" applyProtection="1">
      <protection hidden="1"/>
    </xf>
    <xf numFmtId="0" fontId="58" fillId="0" borderId="47" xfId="0" applyFont="1" applyBorder="1" applyProtection="1">
      <protection hidden="1"/>
    </xf>
    <xf numFmtId="0" fontId="58" fillId="0" borderId="148" xfId="0" applyFont="1" applyBorder="1" applyProtection="1">
      <protection hidden="1"/>
    </xf>
    <xf numFmtId="0" fontId="58" fillId="0" borderId="48" xfId="0" applyFont="1" applyBorder="1" applyProtection="1">
      <protection hidden="1"/>
    </xf>
    <xf numFmtId="0" fontId="58" fillId="0" borderId="10" xfId="0" applyFont="1" applyBorder="1" applyProtection="1">
      <protection hidden="1"/>
    </xf>
    <xf numFmtId="0" fontId="58" fillId="0" borderId="11" xfId="0" applyFont="1" applyBorder="1" applyProtection="1">
      <protection hidden="1"/>
    </xf>
    <xf numFmtId="166" fontId="60" fillId="0" borderId="10" xfId="0" applyNumberFormat="1" applyFont="1" applyBorder="1" applyProtection="1">
      <protection hidden="1"/>
    </xf>
    <xf numFmtId="0" fontId="60" fillId="0" borderId="11" xfId="0" applyFont="1" applyBorder="1" applyProtection="1">
      <protection hidden="1"/>
    </xf>
    <xf numFmtId="0" fontId="21" fillId="0" borderId="11" xfId="0" applyFont="1" applyBorder="1" applyProtection="1">
      <protection hidden="1"/>
    </xf>
    <xf numFmtId="0" fontId="60" fillId="0" borderId="10" xfId="0" applyFont="1" applyBorder="1" applyProtection="1">
      <protection hidden="1"/>
    </xf>
    <xf numFmtId="0" fontId="60" fillId="43" borderId="10" xfId="0" applyFont="1" applyFill="1" applyBorder="1" applyProtection="1">
      <protection hidden="1"/>
    </xf>
    <xf numFmtId="0" fontId="60" fillId="43" borderId="11" xfId="0" applyFont="1" applyFill="1" applyBorder="1" applyProtection="1">
      <protection hidden="1"/>
    </xf>
    <xf numFmtId="0" fontId="60" fillId="43" borderId="13" xfId="0" applyFont="1" applyFill="1" applyBorder="1" applyProtection="1">
      <protection hidden="1"/>
    </xf>
    <xf numFmtId="0" fontId="60" fillId="43" borderId="14" xfId="0" applyFont="1" applyFill="1" applyBorder="1" applyProtection="1">
      <protection hidden="1"/>
    </xf>
    <xf numFmtId="0" fontId="60" fillId="43" borderId="15" xfId="0" applyFont="1" applyFill="1" applyBorder="1" applyProtection="1">
      <protection hidden="1"/>
    </xf>
    <xf numFmtId="2" fontId="10" fillId="31" borderId="112" xfId="0" applyNumberFormat="1" applyFont="1" applyFill="1" applyBorder="1" applyAlignment="1" applyProtection="1">
      <alignment horizontal="left"/>
      <protection locked="0" hidden="1"/>
    </xf>
    <xf numFmtId="2" fontId="10" fillId="31" borderId="112" xfId="0" applyNumberFormat="1" applyFont="1" applyFill="1" applyBorder="1" applyProtection="1">
      <protection locked="0" hidden="1"/>
    </xf>
    <xf numFmtId="0" fontId="10" fillId="31" borderId="185" xfId="0" applyFont="1" applyFill="1" applyBorder="1" applyAlignment="1" applyProtection="1">
      <alignment horizontal="right"/>
      <protection locked="0" hidden="1"/>
    </xf>
    <xf numFmtId="0" fontId="2" fillId="31" borderId="0" xfId="0" applyFont="1" applyFill="1" applyProtection="1">
      <protection locked="0" hidden="1"/>
    </xf>
    <xf numFmtId="0" fontId="10" fillId="31" borderId="0" xfId="0" applyFont="1" applyFill="1" applyAlignment="1" applyProtection="1">
      <alignment horizontal="center"/>
      <protection locked="0" hidden="1"/>
    </xf>
    <xf numFmtId="0" fontId="10" fillId="31" borderId="112" xfId="0" applyFont="1" applyFill="1" applyBorder="1" applyAlignment="1" applyProtection="1">
      <alignment horizontal="center"/>
      <protection locked="0" hidden="1"/>
    </xf>
    <xf numFmtId="0" fontId="10" fillId="31" borderId="190" xfId="0" applyFont="1" applyFill="1" applyBorder="1" applyProtection="1">
      <protection locked="0" hidden="1"/>
    </xf>
    <xf numFmtId="170" fontId="10" fillId="31" borderId="185" xfId="38" applyNumberFormat="1" applyFont="1" applyFill="1" applyBorder="1" applyProtection="1">
      <protection locked="0" hidden="1"/>
    </xf>
    <xf numFmtId="9" fontId="10" fillId="31" borderId="185" xfId="38" applyFont="1" applyFill="1" applyBorder="1" applyProtection="1">
      <protection locked="0" hidden="1"/>
    </xf>
    <xf numFmtId="0" fontId="10" fillId="31" borderId="191" xfId="0" applyFont="1" applyFill="1" applyBorder="1" applyProtection="1">
      <protection locked="0" hidden="1"/>
    </xf>
    <xf numFmtId="164" fontId="10" fillId="31" borderId="186" xfId="24" applyFont="1" applyFill="1" applyBorder="1" applyProtection="1">
      <protection locked="0" hidden="1"/>
    </xf>
    <xf numFmtId="164" fontId="10" fillId="31" borderId="185" xfId="24" applyFont="1" applyFill="1" applyBorder="1" applyProtection="1">
      <protection locked="0" hidden="1"/>
    </xf>
    <xf numFmtId="2" fontId="10" fillId="31" borderId="187" xfId="0" applyNumberFormat="1" applyFont="1" applyFill="1" applyBorder="1" applyProtection="1">
      <protection locked="0" hidden="1"/>
    </xf>
    <xf numFmtId="2" fontId="3" fillId="31" borderId="0" xfId="0" applyNumberFormat="1" applyFont="1" applyFill="1" applyProtection="1">
      <protection locked="0" hidden="1"/>
    </xf>
    <xf numFmtId="0" fontId="2" fillId="31" borderId="0" xfId="0" applyFont="1" applyFill="1" applyAlignment="1" applyProtection="1">
      <alignment horizontal="center"/>
      <protection locked="0" hidden="1"/>
    </xf>
    <xf numFmtId="0" fontId="77" fillId="0" borderId="0" xfId="0" applyFont="1" applyProtection="1">
      <protection hidden="1"/>
    </xf>
    <xf numFmtId="0" fontId="2" fillId="0" borderId="0" xfId="0" applyFont="1" applyProtection="1">
      <protection hidden="1"/>
    </xf>
    <xf numFmtId="0" fontId="0" fillId="30" borderId="50" xfId="0" applyFill="1" applyBorder="1" applyProtection="1">
      <protection hidden="1"/>
    </xf>
    <xf numFmtId="0" fontId="54" fillId="0" borderId="0" xfId="0" applyFont="1" applyProtection="1">
      <protection hidden="1"/>
    </xf>
    <xf numFmtId="0" fontId="74" fillId="31" borderId="0" xfId="0" applyFont="1" applyFill="1" applyProtection="1">
      <protection hidden="1"/>
    </xf>
    <xf numFmtId="0" fontId="7" fillId="44" borderId="50" xfId="0" applyFont="1" applyFill="1" applyBorder="1" applyAlignment="1" applyProtection="1">
      <alignment horizontal="center"/>
      <protection hidden="1"/>
    </xf>
    <xf numFmtId="0" fontId="7" fillId="30" borderId="50" xfId="0" applyFont="1" applyFill="1" applyBorder="1" applyAlignment="1" applyProtection="1">
      <alignment horizontal="center"/>
      <protection locked="0" hidden="1"/>
    </xf>
    <xf numFmtId="0" fontId="55" fillId="38" borderId="50" xfId="0" applyFont="1" applyFill="1" applyBorder="1" applyAlignment="1" applyProtection="1">
      <alignment horizontal="center"/>
      <protection hidden="1"/>
    </xf>
    <xf numFmtId="0" fontId="0" fillId="44" borderId="50" xfId="0" applyFill="1" applyBorder="1" applyProtection="1">
      <protection hidden="1"/>
    </xf>
    <xf numFmtId="0" fontId="55" fillId="38" borderId="177" xfId="0" applyFont="1" applyFill="1" applyBorder="1" applyAlignment="1" applyProtection="1">
      <alignment horizontal="center"/>
      <protection hidden="1"/>
    </xf>
    <xf numFmtId="0" fontId="74" fillId="0" borderId="0" xfId="0" applyFont="1" applyProtection="1">
      <protection hidden="1"/>
    </xf>
    <xf numFmtId="0" fontId="8" fillId="44" borderId="50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Alignment="1" applyProtection="1">
      <alignment horizontal="center" vertical="center" wrapText="1"/>
      <protection hidden="1"/>
    </xf>
    <xf numFmtId="0" fontId="10" fillId="44" borderId="50" xfId="0" applyFont="1" applyFill="1" applyBorder="1" applyAlignment="1" applyProtection="1">
      <alignment horizontal="center" vertical="center" wrapText="1"/>
      <protection hidden="1"/>
    </xf>
    <xf numFmtId="0" fontId="10" fillId="0" borderId="50" xfId="0" applyFont="1" applyBorder="1" applyAlignment="1" applyProtection="1">
      <alignment horizontal="center" vertical="center" wrapText="1"/>
      <protection hidden="1"/>
    </xf>
    <xf numFmtId="170" fontId="10" fillId="44" borderId="50" xfId="0" applyNumberFormat="1" applyFont="1" applyFill="1" applyBorder="1" applyAlignment="1" applyProtection="1">
      <alignment horizontal="center" vertical="center" wrapText="1"/>
      <protection hidden="1"/>
    </xf>
    <xf numFmtId="170" fontId="10" fillId="0" borderId="50" xfId="0" applyNumberFormat="1" applyFont="1" applyBorder="1" applyAlignment="1" applyProtection="1">
      <alignment horizontal="center" vertical="center" wrapText="1"/>
      <protection hidden="1"/>
    </xf>
    <xf numFmtId="0" fontId="3" fillId="44" borderId="50" xfId="0" applyFont="1" applyFill="1" applyBorder="1" applyAlignment="1" applyProtection="1">
      <alignment horizontal="center" vertical="center" wrapText="1"/>
      <protection hidden="1"/>
    </xf>
    <xf numFmtId="0" fontId="10" fillId="44" borderId="50" xfId="0" applyFont="1" applyFill="1" applyBorder="1" applyAlignment="1" applyProtection="1">
      <alignment horizontal="center"/>
      <protection hidden="1"/>
    </xf>
    <xf numFmtId="12" fontId="10" fillId="0" borderId="50" xfId="0" applyNumberFormat="1" applyFont="1" applyBorder="1" applyAlignment="1" applyProtection="1">
      <alignment horizontal="center"/>
      <protection hidden="1"/>
    </xf>
    <xf numFmtId="166" fontId="10" fillId="30" borderId="50" xfId="0" applyNumberFormat="1" applyFont="1" applyFill="1" applyBorder="1" applyAlignment="1" applyProtection="1">
      <alignment horizontal="center"/>
      <protection locked="0" hidden="1"/>
    </xf>
    <xf numFmtId="166" fontId="10" fillId="39" borderId="50" xfId="0" applyNumberFormat="1" applyFont="1" applyFill="1" applyBorder="1" applyAlignment="1" applyProtection="1">
      <alignment horizontal="center"/>
      <protection locked="0" hidden="1"/>
    </xf>
    <xf numFmtId="0" fontId="10" fillId="0" borderId="50" xfId="0" applyFont="1" applyBorder="1" applyAlignment="1" applyProtection="1">
      <alignment horizontal="center"/>
      <protection hidden="1"/>
    </xf>
    <xf numFmtId="166" fontId="10" fillId="0" borderId="50" xfId="0" applyNumberFormat="1" applyFont="1" applyBorder="1" applyAlignment="1" applyProtection="1">
      <alignment horizontal="center"/>
      <protection hidden="1"/>
    </xf>
    <xf numFmtId="0" fontId="10" fillId="0" borderId="50" xfId="0" applyFont="1" applyBorder="1" applyAlignment="1" applyProtection="1">
      <alignment horizontal="center" vertical="center" wrapText="1"/>
      <protection locked="0" hidden="1"/>
    </xf>
    <xf numFmtId="0" fontId="7" fillId="0" borderId="50" xfId="0" applyFont="1" applyBorder="1" applyProtection="1">
      <protection hidden="1"/>
    </xf>
    <xf numFmtId="0" fontId="10" fillId="0" borderId="50" xfId="0" applyFont="1" applyBorder="1" applyAlignment="1" applyProtection="1">
      <alignment horizontal="center"/>
      <protection locked="0" hidden="1"/>
    </xf>
    <xf numFmtId="10" fontId="0" fillId="0" borderId="0" xfId="0" applyNumberFormat="1" applyProtection="1">
      <protection hidden="1"/>
    </xf>
    <xf numFmtId="0" fontId="10" fillId="44" borderId="0" xfId="0" applyFont="1" applyFill="1" applyAlignment="1" applyProtection="1">
      <alignment horizontal="center"/>
      <protection hidden="1"/>
    </xf>
    <xf numFmtId="2" fontId="7" fillId="44" borderId="0" xfId="0" applyNumberFormat="1" applyFont="1" applyFill="1" applyAlignment="1" applyProtection="1">
      <alignment horizontal="center"/>
      <protection hidden="1"/>
    </xf>
    <xf numFmtId="0" fontId="2" fillId="44" borderId="0" xfId="0" applyFont="1" applyFill="1" applyProtection="1">
      <protection hidden="1"/>
    </xf>
    <xf numFmtId="2" fontId="55" fillId="0" borderId="0" xfId="0" applyNumberFormat="1" applyFont="1" applyAlignment="1" applyProtection="1">
      <alignment horizontal="center"/>
      <protection hidden="1"/>
    </xf>
    <xf numFmtId="0" fontId="0" fillId="31" borderId="0" xfId="0" applyFill="1" applyProtection="1">
      <protection hidden="1"/>
    </xf>
    <xf numFmtId="0" fontId="0" fillId="31" borderId="0" xfId="0" applyFill="1" applyAlignment="1" applyProtection="1">
      <alignment horizontal="center"/>
      <protection hidden="1"/>
    </xf>
    <xf numFmtId="10" fontId="0" fillId="31" borderId="0" xfId="0" applyNumberFormat="1" applyFill="1" applyProtection="1">
      <protection hidden="1"/>
    </xf>
    <xf numFmtId="0" fontId="0" fillId="31" borderId="0" xfId="0" applyFill="1" applyProtection="1">
      <protection locked="0" hidden="1"/>
    </xf>
    <xf numFmtId="0" fontId="5" fillId="31" borderId="0" xfId="0" applyFont="1" applyFill="1" applyAlignment="1" applyProtection="1">
      <alignment horizontal="left"/>
      <protection locked="0" hidden="1"/>
    </xf>
    <xf numFmtId="10" fontId="0" fillId="31" borderId="0" xfId="0" applyNumberFormat="1" applyFill="1" applyProtection="1">
      <protection locked="0" hidden="1"/>
    </xf>
    <xf numFmtId="0" fontId="0" fillId="0" borderId="0" xfId="0" applyProtection="1">
      <protection locked="0" hidden="1"/>
    </xf>
    <xf numFmtId="0" fontId="56" fillId="31" borderId="0" xfId="0" applyFont="1" applyFill="1" applyAlignment="1" applyProtection="1">
      <alignment horizontal="left"/>
      <protection locked="0" hidden="1"/>
    </xf>
    <xf numFmtId="0" fontId="6" fillId="31" borderId="0" xfId="0" applyFont="1" applyFill="1" applyAlignment="1" applyProtection="1">
      <alignment horizontal="left"/>
      <protection locked="0" hidden="1"/>
    </xf>
    <xf numFmtId="0" fontId="57" fillId="31" borderId="0" xfId="0" applyFont="1" applyFill="1" applyAlignment="1" applyProtection="1">
      <alignment horizontal="left"/>
      <protection locked="0" hidden="1"/>
    </xf>
    <xf numFmtId="0" fontId="0" fillId="31" borderId="0" xfId="0" applyFill="1" applyAlignment="1" applyProtection="1">
      <alignment horizontal="center"/>
      <protection locked="0" hidden="1"/>
    </xf>
    <xf numFmtId="0" fontId="2" fillId="43" borderId="0" xfId="0" applyFont="1" applyFill="1" applyAlignment="1" applyProtection="1">
      <alignment horizontal="center"/>
      <protection hidden="1"/>
    </xf>
    <xf numFmtId="0" fontId="73" fillId="34" borderId="50" xfId="0" applyFont="1" applyFill="1" applyBorder="1" applyAlignment="1">
      <alignment horizontal="center" vertical="center" wrapText="1"/>
    </xf>
    <xf numFmtId="0" fontId="3" fillId="34" borderId="50" xfId="0" applyFont="1" applyFill="1" applyBorder="1" applyAlignment="1">
      <alignment horizontal="center" vertical="center" wrapText="1"/>
    </xf>
    <xf numFmtId="0" fontId="73" fillId="36" borderId="50" xfId="0" applyFont="1" applyFill="1" applyBorder="1" applyAlignment="1">
      <alignment horizontal="center" vertical="center" wrapText="1"/>
    </xf>
    <xf numFmtId="170" fontId="10" fillId="36" borderId="50" xfId="0" applyNumberFormat="1" applyFont="1" applyFill="1" applyBorder="1" applyAlignment="1">
      <alignment horizontal="center" vertical="center" wrapText="1"/>
    </xf>
    <xf numFmtId="0" fontId="20" fillId="35" borderId="50" xfId="0" applyFont="1" applyFill="1" applyBorder="1" applyAlignment="1">
      <alignment horizontal="center" vertical="center"/>
    </xf>
    <xf numFmtId="0" fontId="3" fillId="36" borderId="50" xfId="0" applyFont="1" applyFill="1" applyBorder="1" applyAlignment="1">
      <alignment horizontal="center" vertical="center" wrapText="1"/>
    </xf>
    <xf numFmtId="0" fontId="20" fillId="35" borderId="129" xfId="0" applyFont="1" applyFill="1" applyBorder="1" applyAlignment="1">
      <alignment horizontal="center" vertical="center"/>
    </xf>
    <xf numFmtId="0" fontId="3" fillId="36" borderId="125" xfId="0" applyFont="1" applyFill="1" applyBorder="1" applyAlignment="1">
      <alignment horizontal="center" vertical="center" wrapText="1"/>
    </xf>
    <xf numFmtId="2" fontId="57" fillId="0" borderId="0" xfId="0" applyNumberFormat="1" applyFont="1" applyAlignment="1" applyProtection="1">
      <alignment horizontal="center"/>
      <protection hidden="1"/>
    </xf>
    <xf numFmtId="0" fontId="57" fillId="0" borderId="0" xfId="0" applyFont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hidden="1"/>
    </xf>
    <xf numFmtId="0" fontId="61" fillId="0" borderId="0" xfId="0" applyFont="1" applyAlignment="1" applyProtection="1">
      <alignment horizontal="right"/>
      <protection hidden="1"/>
    </xf>
    <xf numFmtId="0" fontId="61" fillId="0" borderId="0" xfId="0" applyFont="1" applyAlignment="1" applyProtection="1">
      <alignment horizontal="center"/>
      <protection hidden="1"/>
    </xf>
    <xf numFmtId="166" fontId="61" fillId="0" borderId="0" xfId="0" applyNumberFormat="1" applyFont="1" applyAlignment="1" applyProtection="1">
      <alignment horizontal="center"/>
      <protection hidden="1"/>
    </xf>
    <xf numFmtId="1" fontId="61" fillId="0" borderId="0" xfId="0" applyNumberFormat="1" applyFont="1" applyAlignment="1" applyProtection="1">
      <alignment horizontal="center"/>
      <protection hidden="1"/>
    </xf>
    <xf numFmtId="3" fontId="62" fillId="0" borderId="0" xfId="0" applyNumberFormat="1" applyFont="1" applyAlignment="1" applyProtection="1">
      <alignment horizontal="center"/>
      <protection hidden="1"/>
    </xf>
    <xf numFmtId="0" fontId="61" fillId="32" borderId="0" xfId="0" applyFont="1" applyFill="1" applyAlignment="1" applyProtection="1">
      <alignment vertical="center"/>
      <protection hidden="1"/>
    </xf>
    <xf numFmtId="2" fontId="5" fillId="0" borderId="0" xfId="0" applyNumberFormat="1" applyFont="1" applyAlignment="1" applyProtection="1">
      <alignment horizontal="center" vertical="center"/>
      <protection locked="0" hidden="1"/>
    </xf>
    <xf numFmtId="0" fontId="5" fillId="0" borderId="0" xfId="0" applyFont="1" applyAlignment="1" applyProtection="1">
      <alignment horizontal="center" vertical="center"/>
      <protection locked="0" hidden="1"/>
    </xf>
    <xf numFmtId="0" fontId="61" fillId="0" borderId="0" xfId="0" applyFont="1" applyAlignment="1" applyProtection="1">
      <alignment vertical="center"/>
      <protection hidden="1"/>
    </xf>
    <xf numFmtId="0" fontId="61" fillId="0" borderId="0" xfId="0" applyFont="1" applyAlignment="1" applyProtection="1">
      <alignment horizontal="center" vertical="center"/>
      <protection hidden="1"/>
    </xf>
    <xf numFmtId="0" fontId="58" fillId="32" borderId="48" xfId="0" applyFont="1" applyFill="1" applyBorder="1" applyProtection="1">
      <protection hidden="1"/>
    </xf>
    <xf numFmtId="0" fontId="8" fillId="33" borderId="0" xfId="0" applyFont="1" applyFill="1" applyAlignment="1" applyProtection="1">
      <alignment horizontal="center" vertical="center"/>
      <protection hidden="1"/>
    </xf>
    <xf numFmtId="0" fontId="58" fillId="32" borderId="11" xfId="0" applyFont="1" applyFill="1" applyBorder="1" applyProtection="1">
      <protection hidden="1"/>
    </xf>
    <xf numFmtId="1" fontId="65" fillId="32" borderId="0" xfId="0" applyNumberFormat="1" applyFont="1" applyFill="1" applyAlignment="1" applyProtection="1">
      <alignment horizontal="center"/>
      <protection hidden="1"/>
    </xf>
    <xf numFmtId="0" fontId="65" fillId="32" borderId="0" xfId="0" applyFont="1" applyFill="1" applyAlignment="1" applyProtection="1">
      <alignment horizontal="center"/>
      <protection locked="0" hidden="1"/>
    </xf>
    <xf numFmtId="0" fontId="58" fillId="32" borderId="11" xfId="0" applyFont="1" applyFill="1" applyBorder="1" applyProtection="1">
      <protection locked="0" hidden="1"/>
    </xf>
    <xf numFmtId="1" fontId="65" fillId="32" borderId="14" xfId="0" applyNumberFormat="1" applyFont="1" applyFill="1" applyBorder="1" applyAlignment="1" applyProtection="1">
      <alignment horizontal="center"/>
      <protection hidden="1"/>
    </xf>
    <xf numFmtId="166" fontId="65" fillId="32" borderId="14" xfId="0" applyNumberFormat="1" applyFont="1" applyFill="1" applyBorder="1" applyAlignment="1" applyProtection="1">
      <alignment horizontal="center"/>
      <protection hidden="1"/>
    </xf>
    <xf numFmtId="0" fontId="65" fillId="32" borderId="14" xfId="0" applyFont="1" applyFill="1" applyBorder="1" applyAlignment="1" applyProtection="1">
      <alignment horizontal="center"/>
      <protection locked="0" hidden="1"/>
    </xf>
    <xf numFmtId="0" fontId="65" fillId="32" borderId="14" xfId="0" applyFont="1" applyFill="1" applyBorder="1" applyProtection="1">
      <protection locked="0" hidden="1"/>
    </xf>
    <xf numFmtId="0" fontId="58" fillId="32" borderId="15" xfId="0" applyFont="1" applyFill="1" applyBorder="1" applyProtection="1">
      <protection locked="0" hidden="1"/>
    </xf>
    <xf numFmtId="2" fontId="56" fillId="0" borderId="142" xfId="0" applyNumberFormat="1" applyFont="1" applyBorder="1" applyAlignment="1" applyProtection="1">
      <alignment horizontal="center" vertical="center"/>
      <protection hidden="1"/>
    </xf>
    <xf numFmtId="0" fontId="63" fillId="0" borderId="0" xfId="0" applyFont="1" applyAlignment="1" applyProtection="1">
      <alignment horizontal="center" vertical="center"/>
      <protection hidden="1"/>
    </xf>
    <xf numFmtId="2" fontId="56" fillId="29" borderId="142" xfId="0" applyNumberFormat="1" applyFont="1" applyFill="1" applyBorder="1" applyAlignment="1" applyProtection="1">
      <alignment horizontal="center" vertical="center"/>
      <protection hidden="1"/>
    </xf>
    <xf numFmtId="0" fontId="7" fillId="44" borderId="50" xfId="0" applyFont="1" applyFill="1" applyBorder="1" applyAlignment="1" applyProtection="1">
      <alignment horizontal="center" vertical="center"/>
      <protection hidden="1"/>
    </xf>
    <xf numFmtId="0" fontId="0" fillId="0" borderId="49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49" xfId="0" applyFont="1" applyBorder="1" applyProtection="1">
      <protection hidden="1"/>
    </xf>
    <xf numFmtId="0" fontId="78" fillId="0" borderId="11" xfId="0" applyFont="1" applyBorder="1" applyProtection="1">
      <protection hidden="1"/>
    </xf>
    <xf numFmtId="2" fontId="78" fillId="0" borderId="10" xfId="0" applyNumberFormat="1" applyFont="1" applyBorder="1" applyProtection="1">
      <protection hidden="1"/>
    </xf>
    <xf numFmtId="168" fontId="78" fillId="0" borderId="11" xfId="0" applyNumberFormat="1" applyFont="1" applyBorder="1" applyProtection="1">
      <protection hidden="1"/>
    </xf>
    <xf numFmtId="166" fontId="78" fillId="0" borderId="13" xfId="0" applyNumberFormat="1" applyFont="1" applyBorder="1" applyProtection="1">
      <protection hidden="1"/>
    </xf>
    <xf numFmtId="166" fontId="78" fillId="0" borderId="15" xfId="0" applyNumberFormat="1" applyFont="1" applyBorder="1" applyProtection="1">
      <protection hidden="1"/>
    </xf>
    <xf numFmtId="0" fontId="2" fillId="0" borderId="45" xfId="0" applyFont="1" applyBorder="1" applyProtection="1">
      <protection hidden="1"/>
    </xf>
    <xf numFmtId="0" fontId="78" fillId="0" borderId="10" xfId="0" applyFont="1" applyBorder="1" applyProtection="1">
      <protection hidden="1"/>
    </xf>
    <xf numFmtId="0" fontId="78" fillId="0" borderId="0" xfId="0" applyFont="1" applyAlignment="1" applyProtection="1">
      <alignment horizontal="center"/>
      <protection hidden="1"/>
    </xf>
    <xf numFmtId="2" fontId="78" fillId="29" borderId="10" xfId="0" applyNumberFormat="1" applyFont="1" applyFill="1" applyBorder="1" applyProtection="1">
      <protection hidden="1"/>
    </xf>
    <xf numFmtId="2" fontId="14" fillId="0" borderId="13" xfId="0" applyNumberFormat="1" applyFont="1" applyBorder="1" applyProtection="1">
      <protection hidden="1"/>
    </xf>
    <xf numFmtId="0" fontId="78" fillId="0" borderId="13" xfId="0" applyFont="1" applyBorder="1" applyProtection="1">
      <protection hidden="1"/>
    </xf>
    <xf numFmtId="0" fontId="14" fillId="27" borderId="0" xfId="0" applyFont="1" applyFill="1" applyProtection="1">
      <protection hidden="1"/>
    </xf>
    <xf numFmtId="0" fontId="0" fillId="45" borderId="0" xfId="0" applyFill="1" applyProtection="1">
      <protection hidden="1"/>
    </xf>
    <xf numFmtId="165" fontId="12" fillId="45" borderId="0" xfId="0" applyNumberFormat="1" applyFont="1" applyFill="1" applyAlignment="1" applyProtection="1">
      <alignment horizontal="left"/>
      <protection hidden="1"/>
    </xf>
    <xf numFmtId="0" fontId="14" fillId="45" borderId="14" xfId="0" applyFont="1" applyFill="1" applyBorder="1" applyProtection="1">
      <protection hidden="1"/>
    </xf>
    <xf numFmtId="0" fontId="14" fillId="45" borderId="16" xfId="0" applyFont="1" applyFill="1" applyBorder="1" applyProtection="1">
      <protection hidden="1"/>
    </xf>
    <xf numFmtId="0" fontId="20" fillId="45" borderId="196" xfId="0" applyFont="1" applyFill="1" applyBorder="1" applyProtection="1">
      <protection hidden="1"/>
    </xf>
    <xf numFmtId="0" fontId="0" fillId="46" borderId="69" xfId="0" applyFill="1" applyBorder="1" applyProtection="1">
      <protection hidden="1"/>
    </xf>
    <xf numFmtId="9" fontId="12" fillId="45" borderId="30" xfId="38" applyFont="1" applyFill="1" applyBorder="1" applyAlignment="1" applyProtection="1">
      <alignment horizontal="centerContinuous"/>
      <protection hidden="1"/>
    </xf>
    <xf numFmtId="0" fontId="0" fillId="45" borderId="38" xfId="0" applyFill="1" applyBorder="1" applyProtection="1">
      <protection hidden="1"/>
    </xf>
    <xf numFmtId="0" fontId="14" fillId="45" borderId="0" xfId="0" applyFont="1" applyFill="1" applyProtection="1">
      <protection hidden="1"/>
    </xf>
    <xf numFmtId="0" fontId="14" fillId="45" borderId="148" xfId="0" applyFont="1" applyFill="1" applyBorder="1" applyProtection="1">
      <protection hidden="1"/>
    </xf>
    <xf numFmtId="166" fontId="14" fillId="45" borderId="0" xfId="0" applyNumberFormat="1" applyFont="1" applyFill="1" applyProtection="1">
      <protection hidden="1"/>
    </xf>
    <xf numFmtId="2" fontId="23" fillId="45" borderId="0" xfId="0" applyNumberFormat="1" applyFont="1" applyFill="1" applyProtection="1">
      <protection hidden="1"/>
    </xf>
    <xf numFmtId="166" fontId="23" fillId="45" borderId="14" xfId="0" applyNumberFormat="1" applyFont="1" applyFill="1" applyBorder="1" applyProtection="1">
      <protection hidden="1"/>
    </xf>
    <xf numFmtId="166" fontId="23" fillId="45" borderId="0" xfId="0" applyNumberFormat="1" applyFont="1" applyFill="1" applyProtection="1">
      <protection hidden="1"/>
    </xf>
    <xf numFmtId="0" fontId="0" fillId="45" borderId="197" xfId="0" applyFill="1" applyBorder="1" applyProtection="1">
      <protection hidden="1"/>
    </xf>
    <xf numFmtId="0" fontId="2" fillId="45" borderId="0" xfId="0" applyFont="1" applyFill="1" applyProtection="1">
      <protection hidden="1"/>
    </xf>
    <xf numFmtId="0" fontId="2" fillId="45" borderId="112" xfId="0" applyFont="1" applyFill="1" applyBorder="1" applyProtection="1">
      <protection hidden="1"/>
    </xf>
    <xf numFmtId="0" fontId="19" fillId="45" borderId="55" xfId="0" applyFont="1" applyFill="1" applyBorder="1" applyAlignment="1" applyProtection="1">
      <alignment horizontal="center"/>
      <protection hidden="1"/>
    </xf>
    <xf numFmtId="0" fontId="10" fillId="45" borderId="55" xfId="0" applyFont="1" applyFill="1" applyBorder="1" applyAlignment="1" applyProtection="1">
      <alignment horizontal="center"/>
      <protection hidden="1"/>
    </xf>
    <xf numFmtId="0" fontId="10" fillId="45" borderId="65" xfId="0" applyFont="1" applyFill="1" applyBorder="1" applyAlignment="1" applyProtection="1">
      <alignment horizontal="center"/>
      <protection hidden="1"/>
    </xf>
    <xf numFmtId="0" fontId="20" fillId="45" borderId="72" xfId="0" applyFont="1" applyFill="1" applyBorder="1" applyAlignment="1" applyProtection="1">
      <alignment horizontal="center" vertical="center"/>
      <protection hidden="1"/>
    </xf>
    <xf numFmtId="0" fontId="10" fillId="45" borderId="79" xfId="0" applyFont="1" applyFill="1" applyBorder="1" applyAlignment="1" applyProtection="1">
      <alignment horizontal="center"/>
      <protection hidden="1"/>
    </xf>
    <xf numFmtId="0" fontId="10" fillId="45" borderId="87" xfId="0" applyFont="1" applyFill="1" applyBorder="1" applyAlignment="1" applyProtection="1">
      <alignment horizontal="center"/>
      <protection hidden="1"/>
    </xf>
    <xf numFmtId="0" fontId="20" fillId="45" borderId="91" xfId="0" applyFont="1" applyFill="1" applyBorder="1" applyProtection="1">
      <protection hidden="1"/>
    </xf>
    <xf numFmtId="0" fontId="25" fillId="45" borderId="93" xfId="0" applyFont="1" applyFill="1" applyBorder="1" applyAlignment="1" applyProtection="1">
      <alignment horizontal="centerContinuous"/>
      <protection hidden="1"/>
    </xf>
    <xf numFmtId="168" fontId="14" fillId="45" borderId="0" xfId="0" applyNumberFormat="1" applyFont="1" applyFill="1" applyProtection="1">
      <protection hidden="1"/>
    </xf>
    <xf numFmtId="0" fontId="0" fillId="45" borderId="79" xfId="0" applyFill="1" applyBorder="1" applyProtection="1">
      <protection hidden="1"/>
    </xf>
    <xf numFmtId="0" fontId="14" fillId="45" borderId="0" xfId="0" applyFont="1" applyFill="1" applyAlignment="1" applyProtection="1">
      <alignment wrapText="1"/>
      <protection hidden="1"/>
    </xf>
    <xf numFmtId="0" fontId="14" fillId="45" borderId="91" xfId="0" applyFont="1" applyFill="1" applyBorder="1" applyProtection="1">
      <protection hidden="1"/>
    </xf>
    <xf numFmtId="0" fontId="7" fillId="45" borderId="93" xfId="0" applyFont="1" applyFill="1" applyBorder="1" applyAlignment="1" applyProtection="1">
      <alignment horizontal="centerContinuous"/>
      <protection hidden="1"/>
    </xf>
    <xf numFmtId="0" fontId="14" fillId="45" borderId="0" xfId="0" applyFont="1" applyFill="1" applyAlignment="1" applyProtection="1">
      <alignment horizontal="center"/>
      <protection hidden="1"/>
    </xf>
    <xf numFmtId="0" fontId="10" fillId="45" borderId="105" xfId="0" applyFont="1" applyFill="1" applyBorder="1" applyAlignment="1" applyProtection="1">
      <alignment horizontal="centerContinuous"/>
      <protection hidden="1"/>
    </xf>
    <xf numFmtId="0" fontId="20" fillId="45" borderId="0" xfId="0" applyFont="1" applyFill="1" applyAlignment="1" applyProtection="1">
      <alignment horizontal="center" vertical="center" wrapText="1"/>
      <protection hidden="1"/>
    </xf>
    <xf numFmtId="0" fontId="14" fillId="45" borderId="55" xfId="0" applyFont="1" applyFill="1" applyBorder="1" applyAlignment="1" applyProtection="1">
      <alignment horizontal="center"/>
      <protection hidden="1"/>
    </xf>
    <xf numFmtId="0" fontId="14" fillId="45" borderId="55" xfId="0" applyFont="1" applyFill="1" applyBorder="1" applyProtection="1">
      <protection hidden="1"/>
    </xf>
    <xf numFmtId="2" fontId="26" fillId="45" borderId="0" xfId="0" applyNumberFormat="1" applyFont="1" applyFill="1" applyProtection="1">
      <protection hidden="1"/>
    </xf>
    <xf numFmtId="166" fontId="26" fillId="45" borderId="14" xfId="0" applyNumberFormat="1" applyFont="1" applyFill="1" applyBorder="1" applyProtection="1">
      <protection hidden="1"/>
    </xf>
    <xf numFmtId="166" fontId="26" fillId="45" borderId="0" xfId="0" applyNumberFormat="1" applyFont="1" applyFill="1" applyProtection="1">
      <protection hidden="1"/>
    </xf>
    <xf numFmtId="0" fontId="7" fillId="45" borderId="105" xfId="0" applyFont="1" applyFill="1" applyBorder="1" applyAlignment="1" applyProtection="1">
      <alignment horizontal="center"/>
      <protection hidden="1"/>
    </xf>
    <xf numFmtId="0" fontId="20" fillId="45" borderId="0" xfId="0" applyFont="1" applyFill="1" applyAlignment="1" applyProtection="1">
      <alignment horizontal="center"/>
      <protection hidden="1"/>
    </xf>
    <xf numFmtId="0" fontId="14" fillId="45" borderId="110" xfId="0" applyFont="1" applyFill="1" applyBorder="1" applyAlignment="1" applyProtection="1">
      <alignment horizontal="center"/>
      <protection hidden="1"/>
    </xf>
    <xf numFmtId="0" fontId="20" fillId="45" borderId="198" xfId="0" applyFont="1" applyFill="1" applyBorder="1" applyAlignment="1" applyProtection="1">
      <alignment horizontal="center"/>
      <protection hidden="1"/>
    </xf>
    <xf numFmtId="2" fontId="10" fillId="0" borderId="199" xfId="0" applyNumberFormat="1" applyFont="1" applyBorder="1" applyProtection="1">
      <protection hidden="1"/>
    </xf>
    <xf numFmtId="0" fontId="10" fillId="0" borderId="200" xfId="0" applyFont="1" applyBorder="1" applyAlignment="1" applyProtection="1">
      <alignment horizontal="center"/>
      <protection hidden="1"/>
    </xf>
    <xf numFmtId="0" fontId="10" fillId="27" borderId="88" xfId="0" applyFont="1" applyFill="1" applyBorder="1" applyAlignment="1" applyProtection="1">
      <alignment horizontal="center"/>
      <protection hidden="1"/>
    </xf>
    <xf numFmtId="0" fontId="10" fillId="27" borderId="87" xfId="0" applyFont="1" applyFill="1" applyBorder="1" applyAlignment="1" applyProtection="1">
      <alignment horizontal="center"/>
      <protection hidden="1"/>
    </xf>
    <xf numFmtId="0" fontId="10" fillId="0" borderId="201" xfId="0" applyFont="1" applyBorder="1" applyAlignment="1" applyProtection="1">
      <alignment horizontal="center"/>
      <protection hidden="1"/>
    </xf>
    <xf numFmtId="0" fontId="10" fillId="27" borderId="83" xfId="0" applyFont="1" applyFill="1" applyBorder="1" applyAlignment="1" applyProtection="1">
      <alignment horizontal="center"/>
      <protection hidden="1"/>
    </xf>
    <xf numFmtId="0" fontId="10" fillId="27" borderId="201" xfId="0" applyFont="1" applyFill="1" applyBorder="1" applyAlignment="1" applyProtection="1">
      <alignment horizontal="center"/>
      <protection hidden="1"/>
    </xf>
    <xf numFmtId="166" fontId="78" fillId="45" borderId="47" xfId="0" applyNumberFormat="1" applyFont="1" applyFill="1" applyBorder="1" applyProtection="1">
      <protection hidden="1"/>
    </xf>
    <xf numFmtId="0" fontId="78" fillId="45" borderId="48" xfId="0" applyFont="1" applyFill="1" applyBorder="1" applyProtection="1">
      <protection hidden="1"/>
    </xf>
    <xf numFmtId="166" fontId="78" fillId="45" borderId="10" xfId="0" applyNumberFormat="1" applyFont="1" applyFill="1" applyBorder="1" applyProtection="1">
      <protection hidden="1"/>
    </xf>
    <xf numFmtId="0" fontId="78" fillId="45" borderId="11" xfId="0" applyFont="1" applyFill="1" applyBorder="1" applyProtection="1">
      <protection hidden="1"/>
    </xf>
    <xf numFmtId="2" fontId="78" fillId="45" borderId="10" xfId="0" applyNumberFormat="1" applyFont="1" applyFill="1" applyBorder="1" applyProtection="1">
      <protection hidden="1"/>
    </xf>
    <xf numFmtId="168" fontId="78" fillId="45" borderId="11" xfId="0" applyNumberFormat="1" applyFont="1" applyFill="1" applyBorder="1" applyProtection="1">
      <protection hidden="1"/>
    </xf>
    <xf numFmtId="166" fontId="78" fillId="45" borderId="13" xfId="0" applyNumberFormat="1" applyFont="1" applyFill="1" applyBorder="1" applyProtection="1">
      <protection hidden="1"/>
    </xf>
    <xf numFmtId="166" fontId="78" fillId="45" borderId="15" xfId="0" applyNumberFormat="1" applyFont="1" applyFill="1" applyBorder="1" applyProtection="1">
      <protection hidden="1"/>
    </xf>
    <xf numFmtId="0" fontId="14" fillId="0" borderId="204" xfId="0" applyFont="1" applyBorder="1" applyProtection="1">
      <protection hidden="1"/>
    </xf>
    <xf numFmtId="0" fontId="14" fillId="0" borderId="205" xfId="0" applyFont="1" applyBorder="1" applyProtection="1">
      <protection hidden="1"/>
    </xf>
    <xf numFmtId="0" fontId="14" fillId="0" borderId="206" xfId="0" applyFont="1" applyBorder="1" applyProtection="1">
      <protection hidden="1"/>
    </xf>
    <xf numFmtId="0" fontId="14" fillId="0" borderId="207" xfId="0" applyFont="1" applyBorder="1" applyProtection="1">
      <protection hidden="1"/>
    </xf>
    <xf numFmtId="0" fontId="20" fillId="28" borderId="208" xfId="0" applyFont="1" applyFill="1" applyBorder="1" applyProtection="1">
      <protection hidden="1"/>
    </xf>
    <xf numFmtId="2" fontId="19" fillId="28" borderId="209" xfId="0" applyNumberFormat="1" applyFont="1" applyFill="1" applyBorder="1" applyProtection="1">
      <protection hidden="1"/>
    </xf>
    <xf numFmtId="0" fontId="19" fillId="28" borderId="210" xfId="0" applyFont="1" applyFill="1" applyBorder="1" applyProtection="1">
      <protection hidden="1"/>
    </xf>
    <xf numFmtId="0" fontId="14" fillId="27" borderId="211" xfId="0" applyFont="1" applyFill="1" applyBorder="1" applyProtection="1">
      <protection hidden="1"/>
    </xf>
    <xf numFmtId="0" fontId="14" fillId="27" borderId="23" xfId="0" applyFont="1" applyFill="1" applyBorder="1" applyProtection="1">
      <protection hidden="1"/>
    </xf>
    <xf numFmtId="0" fontId="14" fillId="45" borderId="198" xfId="0" applyFont="1" applyFill="1" applyBorder="1" applyAlignment="1" applyProtection="1">
      <alignment horizontal="center"/>
      <protection hidden="1"/>
    </xf>
    <xf numFmtId="0" fontId="14" fillId="0" borderId="212" xfId="0" applyFont="1" applyBorder="1" applyProtection="1">
      <protection hidden="1"/>
    </xf>
    <xf numFmtId="168" fontId="14" fillId="0" borderId="198" xfId="0" applyNumberFormat="1" applyFont="1" applyBorder="1" applyProtection="1">
      <protection hidden="1"/>
    </xf>
    <xf numFmtId="0" fontId="14" fillId="0" borderId="23" xfId="0" applyFont="1" applyBorder="1" applyProtection="1">
      <protection hidden="1"/>
    </xf>
    <xf numFmtId="0" fontId="14" fillId="45" borderId="48" xfId="0" applyFont="1" applyFill="1" applyBorder="1" applyProtection="1">
      <protection hidden="1"/>
    </xf>
    <xf numFmtId="166" fontId="14" fillId="45" borderId="10" xfId="0" applyNumberFormat="1" applyFont="1" applyFill="1" applyBorder="1" applyProtection="1">
      <protection hidden="1"/>
    </xf>
    <xf numFmtId="0" fontId="14" fillId="45" borderId="11" xfId="0" applyFont="1" applyFill="1" applyBorder="1" applyProtection="1">
      <protection hidden="1"/>
    </xf>
    <xf numFmtId="2" fontId="26" fillId="45" borderId="10" xfId="0" applyNumberFormat="1" applyFont="1" applyFill="1" applyBorder="1" applyProtection="1">
      <protection hidden="1"/>
    </xf>
    <xf numFmtId="168" fontId="26" fillId="45" borderId="11" xfId="0" applyNumberFormat="1" applyFont="1" applyFill="1" applyBorder="1" applyProtection="1">
      <protection hidden="1"/>
    </xf>
    <xf numFmtId="166" fontId="26" fillId="45" borderId="13" xfId="0" applyNumberFormat="1" applyFont="1" applyFill="1" applyBorder="1" applyProtection="1">
      <protection hidden="1"/>
    </xf>
    <xf numFmtId="166" fontId="26" fillId="45" borderId="15" xfId="0" applyNumberFormat="1" applyFont="1" applyFill="1" applyBorder="1" applyProtection="1">
      <protection hidden="1"/>
    </xf>
    <xf numFmtId="0" fontId="20" fillId="35" borderId="119" xfId="0" applyFont="1" applyFill="1" applyBorder="1" applyAlignment="1">
      <alignment vertical="center"/>
    </xf>
    <xf numFmtId="0" fontId="20" fillId="35" borderId="120" xfId="0" applyFont="1" applyFill="1" applyBorder="1" applyAlignment="1">
      <alignment vertical="center"/>
    </xf>
    <xf numFmtId="2" fontId="50" fillId="30" borderId="84" xfId="0" applyNumberFormat="1" applyFont="1" applyFill="1" applyBorder="1" applyProtection="1">
      <protection locked="0"/>
    </xf>
    <xf numFmtId="10" fontId="81" fillId="30" borderId="84" xfId="38" applyNumberFormat="1" applyFont="1" applyFill="1" applyBorder="1" applyAlignment="1" applyProtection="1">
      <alignment horizontal="center"/>
      <protection locked="0"/>
    </xf>
    <xf numFmtId="10" fontId="81" fillId="30" borderId="85" xfId="38" applyNumberFormat="1" applyFont="1" applyFill="1" applyBorder="1" applyAlignment="1" applyProtection="1">
      <alignment horizontal="center"/>
      <protection locked="0"/>
    </xf>
    <xf numFmtId="10" fontId="10" fillId="44" borderId="50" xfId="38" applyNumberFormat="1" applyFont="1" applyFill="1" applyBorder="1" applyAlignment="1" applyProtection="1">
      <alignment horizontal="center" vertical="center" wrapText="1"/>
      <protection hidden="1"/>
    </xf>
    <xf numFmtId="2" fontId="14" fillId="47" borderId="10" xfId="0" applyNumberFormat="1" applyFont="1" applyFill="1" applyBorder="1" applyProtection="1">
      <protection hidden="1"/>
    </xf>
    <xf numFmtId="168" fontId="14" fillId="47" borderId="11" xfId="0" applyNumberFormat="1" applyFont="1" applyFill="1" applyBorder="1" applyProtection="1">
      <protection hidden="1"/>
    </xf>
    <xf numFmtId="2" fontId="23" fillId="47" borderId="10" xfId="0" applyNumberFormat="1" applyFont="1" applyFill="1" applyBorder="1" applyProtection="1">
      <protection hidden="1"/>
    </xf>
    <xf numFmtId="166" fontId="3" fillId="45" borderId="47" xfId="0" applyNumberFormat="1" applyFont="1" applyFill="1" applyBorder="1" applyProtection="1">
      <protection hidden="1"/>
    </xf>
    <xf numFmtId="0" fontId="3" fillId="45" borderId="47" xfId="0" applyFont="1" applyFill="1" applyBorder="1" applyProtection="1">
      <protection hidden="1"/>
    </xf>
    <xf numFmtId="2" fontId="0" fillId="0" borderId="50" xfId="0" applyNumberFormat="1" applyBorder="1" applyAlignment="1">
      <alignment horizontal="center"/>
    </xf>
    <xf numFmtId="2" fontId="0" fillId="42" borderId="50" xfId="0" applyNumberFormat="1" applyFill="1" applyBorder="1" applyAlignment="1">
      <alignment horizontal="center"/>
    </xf>
    <xf numFmtId="0" fontId="82" fillId="0" borderId="0" xfId="0" applyFont="1" applyAlignment="1" applyProtection="1">
      <alignment horizontal="left"/>
      <protection hidden="1"/>
    </xf>
    <xf numFmtId="0" fontId="83" fillId="0" borderId="0" xfId="0" applyFont="1" applyAlignment="1" applyProtection="1">
      <alignment horizontal="left" vertical="center" wrapText="1"/>
      <protection hidden="1"/>
    </xf>
    <xf numFmtId="170" fontId="83" fillId="0" borderId="0" xfId="0" applyNumberFormat="1" applyFont="1" applyAlignment="1" applyProtection="1">
      <alignment horizontal="left" vertical="center" wrapText="1"/>
      <protection hidden="1"/>
    </xf>
    <xf numFmtId="166" fontId="83" fillId="0" borderId="0" xfId="0" applyNumberFormat="1" applyFont="1" applyAlignment="1" applyProtection="1">
      <alignment horizontal="left" vertical="center" wrapText="1"/>
      <protection hidden="1"/>
    </xf>
    <xf numFmtId="0" fontId="82" fillId="0" borderId="0" xfId="0" applyFont="1" applyAlignment="1" applyProtection="1">
      <alignment horizontal="left"/>
      <protection locked="0" hidden="1"/>
    </xf>
    <xf numFmtId="0" fontId="84" fillId="0" borderId="0" xfId="0" applyFont="1" applyAlignment="1" applyProtection="1">
      <alignment horizontal="left"/>
      <protection hidden="1"/>
    </xf>
    <xf numFmtId="12" fontId="85" fillId="31" borderId="0" xfId="36" applyNumberFormat="1" applyFont="1" applyFill="1" applyAlignment="1" applyProtection="1">
      <alignment horizontal="left"/>
      <protection hidden="1"/>
    </xf>
    <xf numFmtId="0" fontId="85" fillId="31" borderId="0" xfId="36" applyFont="1" applyFill="1" applyAlignment="1" applyProtection="1">
      <alignment horizontal="left"/>
      <protection hidden="1"/>
    </xf>
    <xf numFmtId="2" fontId="85" fillId="31" borderId="0" xfId="36" applyNumberFormat="1" applyFont="1" applyFill="1" applyAlignment="1" applyProtection="1">
      <alignment horizontal="left"/>
      <protection hidden="1"/>
    </xf>
    <xf numFmtId="0" fontId="83" fillId="31" borderId="0" xfId="36" applyFont="1" applyFill="1" applyAlignment="1" applyProtection="1">
      <alignment horizontal="left"/>
      <protection hidden="1"/>
    </xf>
    <xf numFmtId="0" fontId="86" fillId="31" borderId="0" xfId="36" applyFont="1" applyFill="1" applyAlignment="1" applyProtection="1">
      <alignment horizontal="left"/>
      <protection hidden="1"/>
    </xf>
    <xf numFmtId="0" fontId="86" fillId="0" borderId="0" xfId="0" applyFont="1" applyAlignment="1" applyProtection="1">
      <alignment horizontal="left"/>
      <protection hidden="1"/>
    </xf>
    <xf numFmtId="0" fontId="86" fillId="0" borderId="0" xfId="0" applyFont="1" applyAlignment="1" applyProtection="1">
      <alignment horizontal="left"/>
      <protection locked="0" hidden="1"/>
    </xf>
    <xf numFmtId="12" fontId="86" fillId="31" borderId="0" xfId="36" applyNumberFormat="1" applyFont="1" applyFill="1" applyAlignment="1" applyProtection="1">
      <alignment horizontal="left"/>
      <protection hidden="1"/>
    </xf>
    <xf numFmtId="166" fontId="86" fillId="31" borderId="0" xfId="36" applyNumberFormat="1" applyFont="1" applyFill="1" applyAlignment="1" applyProtection="1">
      <alignment horizontal="left"/>
      <protection hidden="1"/>
    </xf>
    <xf numFmtId="12" fontId="86" fillId="0" borderId="0" xfId="36" applyNumberFormat="1" applyFont="1" applyAlignment="1" applyProtection="1">
      <alignment horizontal="left"/>
      <protection hidden="1"/>
    </xf>
    <xf numFmtId="166" fontId="86" fillId="0" borderId="0" xfId="36" applyNumberFormat="1" applyFont="1" applyAlignment="1" applyProtection="1">
      <alignment horizontal="left"/>
      <protection hidden="1"/>
    </xf>
    <xf numFmtId="0" fontId="86" fillId="0" borderId="0" xfId="36" applyFont="1" applyAlignment="1" applyProtection="1">
      <alignment horizontal="left"/>
      <protection hidden="1"/>
    </xf>
    <xf numFmtId="0" fontId="2" fillId="0" borderId="0" xfId="0" applyFont="1" applyAlignment="1" applyProtection="1">
      <alignment horizontal="left"/>
      <protection hidden="1"/>
    </xf>
    <xf numFmtId="0" fontId="3" fillId="0" borderId="0" xfId="0" applyFont="1" applyAlignment="1" applyProtection="1">
      <alignment horizontal="left" vertical="center" wrapText="1"/>
      <protection hidden="1"/>
    </xf>
    <xf numFmtId="0" fontId="2" fillId="0" borderId="0" xfId="0" applyFont="1" applyAlignment="1" applyProtection="1">
      <alignment horizontal="left"/>
      <protection locked="0" hidden="1"/>
    </xf>
    <xf numFmtId="0" fontId="7" fillId="0" borderId="0" xfId="0" applyFont="1" applyAlignment="1" applyProtection="1">
      <alignment horizontal="left"/>
      <protection hidden="1"/>
    </xf>
    <xf numFmtId="12" fontId="10" fillId="31" borderId="0" xfId="36" applyNumberFormat="1" applyFont="1" applyFill="1" applyAlignment="1" applyProtection="1">
      <alignment horizontal="left"/>
      <protection hidden="1"/>
    </xf>
    <xf numFmtId="0" fontId="10" fillId="31" borderId="0" xfId="36" applyFont="1" applyFill="1" applyAlignment="1" applyProtection="1">
      <alignment horizontal="left"/>
      <protection hidden="1"/>
    </xf>
    <xf numFmtId="0" fontId="65" fillId="0" borderId="0" xfId="0" applyFont="1" applyAlignment="1" applyProtection="1">
      <alignment horizontal="left"/>
      <protection locked="0" hidden="1"/>
    </xf>
    <xf numFmtId="0" fontId="2" fillId="0" borderId="0" xfId="47"/>
    <xf numFmtId="0" fontId="7" fillId="0" borderId="0" xfId="47" applyFont="1"/>
    <xf numFmtId="0" fontId="2" fillId="49" borderId="214" xfId="47" applyFill="1" applyBorder="1" applyAlignment="1">
      <alignment horizontal="center"/>
    </xf>
    <xf numFmtId="0" fontId="2" fillId="49" borderId="214" xfId="47" applyFill="1" applyBorder="1" applyAlignment="1">
      <alignment horizontal="left"/>
    </xf>
    <xf numFmtId="0" fontId="2" fillId="0" borderId="214" xfId="47" applyBorder="1" applyAlignment="1">
      <alignment horizontal="center"/>
    </xf>
    <xf numFmtId="0" fontId="2" fillId="0" borderId="214" xfId="47" applyBorder="1" applyAlignment="1">
      <alignment horizontal="left"/>
    </xf>
    <xf numFmtId="0" fontId="84" fillId="50" borderId="50" xfId="47" applyFont="1" applyFill="1" applyBorder="1" applyAlignment="1">
      <alignment horizontal="center"/>
    </xf>
    <xf numFmtId="0" fontId="82" fillId="50" borderId="50" xfId="47" applyFont="1" applyFill="1" applyBorder="1"/>
    <xf numFmtId="0" fontId="2" fillId="0" borderId="154" xfId="47" applyBorder="1" applyAlignment="1">
      <alignment horizontal="center"/>
    </xf>
    <xf numFmtId="0" fontId="2" fillId="0" borderId="227" xfId="47" applyBorder="1"/>
    <xf numFmtId="0" fontId="2" fillId="0" borderId="155" xfId="47" applyBorder="1" applyAlignment="1">
      <alignment horizontal="center"/>
    </xf>
    <xf numFmtId="0" fontId="2" fillId="0" borderId="50" xfId="47" applyBorder="1" applyAlignment="1">
      <alignment horizontal="center"/>
    </xf>
    <xf numFmtId="191" fontId="7" fillId="0" borderId="50" xfId="47" applyNumberFormat="1" applyFont="1" applyBorder="1" applyAlignment="1">
      <alignment horizontal="center"/>
    </xf>
    <xf numFmtId="0" fontId="2" fillId="0" borderId="227" xfId="47" applyBorder="1" applyAlignment="1">
      <alignment horizontal="center"/>
    </xf>
    <xf numFmtId="0" fontId="84" fillId="50" borderId="152" xfId="47" applyFont="1" applyFill="1" applyBorder="1"/>
    <xf numFmtId="0" fontId="84" fillId="50" borderId="226" xfId="47" applyFont="1" applyFill="1" applyBorder="1"/>
    <xf numFmtId="0" fontId="84" fillId="50" borderId="150" xfId="47" applyFont="1" applyFill="1" applyBorder="1"/>
    <xf numFmtId="0" fontId="65" fillId="0" borderId="50" xfId="47" applyFont="1" applyBorder="1" applyAlignment="1">
      <alignment horizontal="left"/>
    </xf>
    <xf numFmtId="0" fontId="84" fillId="50" borderId="50" xfId="47" applyFont="1" applyFill="1" applyBorder="1"/>
    <xf numFmtId="0" fontId="2" fillId="0" borderId="50" xfId="47" applyBorder="1"/>
    <xf numFmtId="0" fontId="2" fillId="0" borderId="154" xfId="47" applyBorder="1"/>
    <xf numFmtId="0" fontId="84" fillId="50" borderId="150" xfId="47" applyFont="1" applyFill="1" applyBorder="1" applyAlignment="1">
      <alignment horizontal="left"/>
    </xf>
    <xf numFmtId="0" fontId="84" fillId="50" borderId="50" xfId="47" applyFont="1" applyFill="1" applyBorder="1" applyAlignment="1">
      <alignment horizontal="left"/>
    </xf>
    <xf numFmtId="0" fontId="84" fillId="50" borderId="150" xfId="47" applyFont="1" applyFill="1" applyBorder="1" applyAlignment="1">
      <alignment horizontal="center"/>
    </xf>
    <xf numFmtId="0" fontId="65" fillId="0" borderId="50" xfId="47" applyFont="1" applyBorder="1"/>
    <xf numFmtId="0" fontId="65" fillId="0" borderId="154" xfId="47" applyFont="1" applyBorder="1"/>
    <xf numFmtId="0" fontId="84" fillId="50" borderId="152" xfId="47" applyFont="1" applyFill="1" applyBorder="1" applyAlignment="1">
      <alignment horizontal="center"/>
    </xf>
    <xf numFmtId="0" fontId="84" fillId="50" borderId="151" xfId="47" applyFont="1" applyFill="1" applyBorder="1" applyAlignment="1">
      <alignment horizontal="center"/>
    </xf>
    <xf numFmtId="0" fontId="84" fillId="50" borderId="10" xfId="47" applyFont="1" applyFill="1" applyBorder="1" applyAlignment="1">
      <alignment horizontal="center"/>
    </xf>
    <xf numFmtId="0" fontId="84" fillId="50" borderId="47" xfId="47" applyFont="1" applyFill="1" applyBorder="1" applyAlignment="1">
      <alignment horizontal="center"/>
    </xf>
    <xf numFmtId="0" fontId="90" fillId="0" borderId="0" xfId="47" applyFont="1"/>
    <xf numFmtId="0" fontId="82" fillId="52" borderId="0" xfId="0" applyFont="1" applyFill="1" applyAlignment="1" applyProtection="1">
      <alignment horizontal="left"/>
      <protection hidden="1"/>
    </xf>
    <xf numFmtId="0" fontId="83" fillId="52" borderId="0" xfId="0" applyFont="1" applyFill="1" applyAlignment="1" applyProtection="1">
      <alignment horizontal="left" vertical="center" wrapText="1"/>
      <protection hidden="1"/>
    </xf>
    <xf numFmtId="0" fontId="82" fillId="52" borderId="0" xfId="0" applyFont="1" applyFill="1" applyAlignment="1" applyProtection="1">
      <alignment horizontal="left"/>
      <protection locked="0" hidden="1"/>
    </xf>
    <xf numFmtId="0" fontId="83" fillId="52" borderId="0" xfId="36" applyFont="1" applyFill="1" applyAlignment="1" applyProtection="1">
      <alignment horizontal="left"/>
      <protection locked="0" hidden="1"/>
    </xf>
    <xf numFmtId="0" fontId="84" fillId="52" borderId="0" xfId="0" applyFont="1" applyFill="1" applyAlignment="1" applyProtection="1">
      <alignment horizontal="left"/>
      <protection hidden="1"/>
    </xf>
    <xf numFmtId="0" fontId="85" fillId="52" borderId="0" xfId="36" applyFont="1" applyFill="1" applyAlignment="1" applyProtection="1">
      <alignment horizontal="left"/>
      <protection hidden="1"/>
    </xf>
    <xf numFmtId="2" fontId="85" fillId="52" borderId="0" xfId="36" applyNumberFormat="1" applyFont="1" applyFill="1" applyAlignment="1" applyProtection="1">
      <alignment horizontal="left"/>
      <protection hidden="1"/>
    </xf>
    <xf numFmtId="0" fontId="83" fillId="52" borderId="0" xfId="36" applyFont="1" applyFill="1" applyAlignment="1" applyProtection="1">
      <alignment horizontal="left"/>
      <protection hidden="1"/>
    </xf>
    <xf numFmtId="0" fontId="86" fillId="52" borderId="0" xfId="36" applyFont="1" applyFill="1" applyAlignment="1" applyProtection="1">
      <alignment horizontal="left"/>
      <protection hidden="1"/>
    </xf>
    <xf numFmtId="166" fontId="86" fillId="52" borderId="0" xfId="36" applyNumberFormat="1" applyFont="1" applyFill="1" applyAlignment="1" applyProtection="1">
      <alignment horizontal="left"/>
      <protection hidden="1"/>
    </xf>
    <xf numFmtId="0" fontId="86" fillId="52" borderId="0" xfId="0" applyFont="1" applyFill="1" applyAlignment="1" applyProtection="1">
      <alignment horizontal="left"/>
      <protection locked="0" hidden="1"/>
    </xf>
    <xf numFmtId="12" fontId="84" fillId="50" borderId="150" xfId="47" applyNumberFormat="1" applyFont="1" applyFill="1" applyBorder="1" applyAlignment="1">
      <alignment horizontal="center"/>
    </xf>
    <xf numFmtId="0" fontId="2" fillId="0" borderId="177" xfId="47" applyBorder="1"/>
    <xf numFmtId="0" fontId="82" fillId="0" borderId="0" xfId="0" applyFont="1" applyAlignment="1">
      <alignment horizontal="center"/>
    </xf>
    <xf numFmtId="0" fontId="2" fillId="0" borderId="230" xfId="47" applyBorder="1"/>
    <xf numFmtId="0" fontId="2" fillId="0" borderId="231" xfId="47" applyBorder="1"/>
    <xf numFmtId="0" fontId="2" fillId="0" borderId="232" xfId="47" applyBorder="1"/>
    <xf numFmtId="0" fontId="2" fillId="0" borderId="233" xfId="47" applyBorder="1"/>
    <xf numFmtId="0" fontId="2" fillId="0" borderId="234" xfId="47" applyBorder="1"/>
    <xf numFmtId="0" fontId="2" fillId="0" borderId="235" xfId="47" applyBorder="1"/>
    <xf numFmtId="0" fontId="2" fillId="0" borderId="236" xfId="47" applyBorder="1"/>
    <xf numFmtId="0" fontId="2" fillId="0" borderId="237" xfId="47" applyBorder="1"/>
    <xf numFmtId="0" fontId="2" fillId="0" borderId="238" xfId="47" applyBorder="1"/>
    <xf numFmtId="0" fontId="2" fillId="0" borderId="239" xfId="47" applyBorder="1"/>
    <xf numFmtId="0" fontId="2" fillId="0" borderId="230" xfId="47" applyBorder="1" applyAlignment="1">
      <alignment horizontal="center"/>
    </xf>
    <xf numFmtId="0" fontId="2" fillId="0" borderId="240" xfId="47" applyBorder="1"/>
    <xf numFmtId="0" fontId="2" fillId="0" borderId="240" xfId="47" applyBorder="1" applyAlignment="1">
      <alignment horizontal="center"/>
    </xf>
    <xf numFmtId="186" fontId="2" fillId="0" borderId="240" xfId="47" applyNumberFormat="1" applyBorder="1" applyAlignment="1">
      <alignment horizontal="center"/>
    </xf>
    <xf numFmtId="0" fontId="88" fillId="0" borderId="231" xfId="47" applyFont="1" applyBorder="1" applyAlignment="1">
      <alignment horizontal="center"/>
    </xf>
    <xf numFmtId="0" fontId="84" fillId="50" borderId="231" xfId="47" applyFont="1" applyFill="1" applyBorder="1" applyAlignment="1">
      <alignment horizontal="center"/>
    </xf>
    <xf numFmtId="0" fontId="2" fillId="0" borderId="245" xfId="47" applyBorder="1"/>
    <xf numFmtId="0" fontId="2" fillId="0" borderId="244" xfId="47" applyBorder="1"/>
    <xf numFmtId="0" fontId="2" fillId="0" borderId="247" xfId="47" applyBorder="1"/>
    <xf numFmtId="0" fontId="2" fillId="0" borderId="230" xfId="47" applyBorder="1" applyAlignment="1">
      <alignment horizontal="left"/>
    </xf>
    <xf numFmtId="0" fontId="2" fillId="0" borderId="246" xfId="47" applyBorder="1"/>
    <xf numFmtId="186" fontId="2" fillId="0" borderId="248" xfId="47" applyNumberFormat="1" applyBorder="1" applyAlignment="1">
      <alignment horizontal="center"/>
    </xf>
    <xf numFmtId="0" fontId="2" fillId="0" borderId="254" xfId="47" applyBorder="1"/>
    <xf numFmtId="0" fontId="2" fillId="0" borderId="255" xfId="47" applyBorder="1"/>
    <xf numFmtId="0" fontId="2" fillId="0" borderId="256" xfId="47" applyBorder="1"/>
    <xf numFmtId="0" fontId="2" fillId="49" borderId="259" xfId="47" applyFill="1" applyBorder="1" applyAlignment="1">
      <alignment horizontal="center"/>
    </xf>
    <xf numFmtId="0" fontId="2" fillId="49" borderId="259" xfId="47" applyFill="1" applyBorder="1" applyAlignment="1">
      <alignment horizontal="left"/>
    </xf>
    <xf numFmtId="0" fontId="2" fillId="49" borderId="230" xfId="47" applyFill="1" applyBorder="1" applyAlignment="1">
      <alignment horizontal="center"/>
    </xf>
    <xf numFmtId="0" fontId="2" fillId="49" borderId="230" xfId="47" applyFill="1" applyBorder="1" applyAlignment="1">
      <alignment horizontal="left"/>
    </xf>
    <xf numFmtId="9" fontId="0" fillId="0" borderId="232" xfId="38" applyFont="1" applyBorder="1" applyAlignment="1" applyProtection="1">
      <alignment horizontal="center"/>
      <protection locked="0"/>
    </xf>
    <xf numFmtId="0" fontId="65" fillId="0" borderId="233" xfId="47" applyFont="1" applyBorder="1" applyProtection="1">
      <protection locked="0"/>
    </xf>
    <xf numFmtId="0" fontId="2" fillId="0" borderId="233" xfId="47" applyBorder="1" applyAlignment="1" applyProtection="1">
      <alignment horizontal="center"/>
      <protection locked="0"/>
    </xf>
    <xf numFmtId="0" fontId="2" fillId="31" borderId="260" xfId="0" applyFont="1" applyFill="1" applyBorder="1" applyProtection="1">
      <protection locked="0" hidden="1"/>
    </xf>
    <xf numFmtId="0" fontId="2" fillId="31" borderId="261" xfId="0" applyFont="1" applyFill="1" applyBorder="1" applyProtection="1">
      <protection locked="0" hidden="1"/>
    </xf>
    <xf numFmtId="0" fontId="2" fillId="31" borderId="262" xfId="0" applyFont="1" applyFill="1" applyBorder="1" applyProtection="1">
      <protection locked="0" hidden="1"/>
    </xf>
    <xf numFmtId="2" fontId="2" fillId="31" borderId="0" xfId="0" applyNumberFormat="1" applyFont="1" applyFill="1" applyAlignment="1" applyProtection="1">
      <alignment horizontal="center"/>
      <protection locked="0" hidden="1"/>
    </xf>
    <xf numFmtId="0" fontId="3" fillId="31" borderId="0" xfId="0" applyFont="1" applyFill="1" applyProtection="1">
      <protection locked="0" hidden="1"/>
    </xf>
    <xf numFmtId="0" fontId="76" fillId="31" borderId="0" xfId="0" applyFont="1" applyFill="1" applyAlignment="1" applyProtection="1">
      <alignment horizontal="right"/>
      <protection locked="0" hidden="1"/>
    </xf>
    <xf numFmtId="170" fontId="3" fillId="31" borderId="0" xfId="0" applyNumberFormat="1" applyFont="1" applyFill="1" applyProtection="1">
      <protection locked="0" hidden="1"/>
    </xf>
    <xf numFmtId="9" fontId="3" fillId="31" borderId="0" xfId="0" applyNumberFormat="1" applyFont="1" applyFill="1" applyProtection="1">
      <protection locked="0" hidden="1"/>
    </xf>
    <xf numFmtId="9" fontId="3" fillId="31" borderId="0" xfId="0" applyNumberFormat="1" applyFont="1" applyFill="1" applyAlignment="1" applyProtection="1">
      <alignment horizontal="center"/>
      <protection locked="0" hidden="1"/>
    </xf>
    <xf numFmtId="0" fontId="76" fillId="43" borderId="0" xfId="0" applyFont="1" applyFill="1" applyAlignment="1" applyProtection="1">
      <alignment horizontal="right"/>
      <protection locked="0" hidden="1"/>
    </xf>
    <xf numFmtId="170" fontId="76" fillId="37" borderId="0" xfId="0" applyNumberFormat="1" applyFont="1" applyFill="1" applyAlignment="1" applyProtection="1">
      <alignment horizontal="right"/>
      <protection locked="0" hidden="1"/>
    </xf>
    <xf numFmtId="0" fontId="21" fillId="31" borderId="0" xfId="0" applyFont="1" applyFill="1" applyAlignment="1" applyProtection="1">
      <alignment horizontal="left"/>
      <protection locked="0" hidden="1"/>
    </xf>
    <xf numFmtId="0" fontId="18" fillId="31" borderId="0" xfId="0" applyFont="1" applyFill="1" applyAlignment="1" applyProtection="1">
      <alignment horizontal="right"/>
      <protection locked="0" hidden="1"/>
    </xf>
    <xf numFmtId="0" fontId="10" fillId="31" borderId="0" xfId="0" applyFont="1" applyFill="1" applyProtection="1">
      <protection locked="0" hidden="1"/>
    </xf>
    <xf numFmtId="0" fontId="2" fillId="31" borderId="0" xfId="0" applyFont="1" applyFill="1"/>
    <xf numFmtId="0" fontId="2" fillId="48" borderId="0" xfId="0" applyFont="1" applyFill="1" applyAlignment="1">
      <alignment horizontal="center"/>
    </xf>
    <xf numFmtId="182" fontId="2" fillId="48" borderId="0" xfId="0" applyNumberFormat="1" applyFont="1" applyFill="1"/>
    <xf numFmtId="166" fontId="7" fillId="31" borderId="0" xfId="0" applyNumberFormat="1" applyFont="1" applyFill="1" applyAlignment="1">
      <alignment horizontal="center"/>
    </xf>
    <xf numFmtId="0" fontId="2" fillId="31" borderId="47" xfId="0" applyFont="1" applyFill="1" applyBorder="1" applyProtection="1">
      <protection locked="0" hidden="1"/>
    </xf>
    <xf numFmtId="0" fontId="2" fillId="31" borderId="148" xfId="0" applyFont="1" applyFill="1" applyBorder="1" applyProtection="1">
      <protection locked="0" hidden="1"/>
    </xf>
    <xf numFmtId="0" fontId="2" fillId="31" borderId="48" xfId="0" applyFont="1" applyFill="1" applyBorder="1" applyProtection="1">
      <protection locked="0" hidden="1"/>
    </xf>
    <xf numFmtId="0" fontId="2" fillId="31" borderId="10" xfId="0" applyFont="1" applyFill="1" applyBorder="1" applyProtection="1">
      <protection locked="0" hidden="1"/>
    </xf>
    <xf numFmtId="0" fontId="2" fillId="31" borderId="11" xfId="0" applyFont="1" applyFill="1" applyBorder="1" applyProtection="1">
      <protection locked="0" hidden="1"/>
    </xf>
    <xf numFmtId="0" fontId="2" fillId="31" borderId="13" xfId="0" applyFont="1" applyFill="1" applyBorder="1" applyProtection="1">
      <protection locked="0" hidden="1"/>
    </xf>
    <xf numFmtId="0" fontId="2" fillId="31" borderId="14" xfId="0" applyFont="1" applyFill="1" applyBorder="1" applyProtection="1">
      <protection locked="0" hidden="1"/>
    </xf>
    <xf numFmtId="0" fontId="2" fillId="31" borderId="15" xfId="0" applyFont="1" applyFill="1" applyBorder="1" applyProtection="1">
      <protection locked="0" hidden="1"/>
    </xf>
    <xf numFmtId="0" fontId="6" fillId="31" borderId="148" xfId="0" applyFont="1" applyFill="1" applyBorder="1" applyAlignment="1" applyProtection="1">
      <alignment horizontal="left" vertical="top"/>
      <protection locked="0" hidden="1"/>
    </xf>
    <xf numFmtId="2" fontId="2" fillId="31" borderId="148" xfId="0" applyNumberFormat="1" applyFont="1" applyFill="1" applyBorder="1" applyAlignment="1" applyProtection="1">
      <alignment horizontal="center"/>
      <protection locked="0" hidden="1"/>
    </xf>
    <xf numFmtId="0" fontId="84" fillId="50" borderId="229" xfId="47" applyFont="1" applyFill="1" applyBorder="1" applyAlignment="1">
      <alignment horizontal="center"/>
    </xf>
    <xf numFmtId="0" fontId="84" fillId="50" borderId="269" xfId="47" applyFont="1" applyFill="1" applyBorder="1"/>
    <xf numFmtId="0" fontId="2" fillId="0" borderId="271" xfId="47" applyBorder="1"/>
    <xf numFmtId="0" fontId="2" fillId="0" borderId="272" xfId="47" applyBorder="1"/>
    <xf numFmtId="0" fontId="88" fillId="0" borderId="50" xfId="47" applyFont="1" applyBorder="1" applyAlignment="1">
      <alignment horizontal="center"/>
    </xf>
    <xf numFmtId="0" fontId="2" fillId="0" borderId="0" xfId="47" applyAlignment="1">
      <alignment horizontal="center"/>
    </xf>
    <xf numFmtId="0" fontId="7" fillId="0" borderId="50" xfId="47" applyFont="1" applyBorder="1" applyAlignment="1" applyProtection="1">
      <alignment horizontal="center"/>
      <protection locked="0"/>
    </xf>
    <xf numFmtId="1" fontId="7" fillId="0" borderId="50" xfId="47" applyNumberFormat="1" applyFont="1" applyBorder="1" applyAlignment="1">
      <alignment horizontal="center"/>
    </xf>
    <xf numFmtId="2" fontId="7" fillId="0" borderId="50" xfId="47" applyNumberFormat="1" applyFont="1" applyBorder="1" applyAlignment="1">
      <alignment horizontal="center"/>
    </xf>
    <xf numFmtId="0" fontId="7" fillId="0" borderId="50" xfId="47" applyFont="1" applyBorder="1" applyAlignment="1">
      <alignment horizontal="center"/>
    </xf>
    <xf numFmtId="193" fontId="7" fillId="0" borderId="50" xfId="47" applyNumberFormat="1" applyFont="1" applyBorder="1" applyAlignment="1">
      <alignment horizontal="center"/>
    </xf>
    <xf numFmtId="166" fontId="7" fillId="0" borderId="50" xfId="47" applyNumberFormat="1" applyFont="1" applyBorder="1" applyAlignment="1">
      <alignment horizontal="center"/>
    </xf>
    <xf numFmtId="170" fontId="7" fillId="0" borderId="50" xfId="38" applyNumberFormat="1" applyFont="1" applyBorder="1" applyAlignment="1">
      <alignment horizontal="center"/>
    </xf>
    <xf numFmtId="184" fontId="7" fillId="0" borderId="50" xfId="47" applyNumberFormat="1" applyFont="1" applyBorder="1" applyAlignment="1">
      <alignment horizontal="center"/>
    </xf>
    <xf numFmtId="10" fontId="7" fillId="0" borderId="50" xfId="47" applyNumberFormat="1" applyFont="1" applyBorder="1" applyAlignment="1">
      <alignment horizontal="center"/>
    </xf>
    <xf numFmtId="194" fontId="7" fillId="0" borderId="50" xfId="47" applyNumberFormat="1" applyFont="1" applyBorder="1" applyAlignment="1">
      <alignment horizontal="center"/>
    </xf>
    <xf numFmtId="9" fontId="7" fillId="0" borderId="153" xfId="47" applyNumberFormat="1" applyFont="1" applyBorder="1" applyAlignment="1">
      <alignment horizontal="center"/>
    </xf>
    <xf numFmtId="9" fontId="84" fillId="50" borderId="50" xfId="0" applyNumberFormat="1" applyFont="1" applyFill="1" applyBorder="1" applyAlignment="1">
      <alignment horizontal="center"/>
    </xf>
    <xf numFmtId="9" fontId="7" fillId="0" borderId="229" xfId="47" applyNumberFormat="1" applyFont="1" applyBorder="1" applyAlignment="1">
      <alignment horizontal="center"/>
    </xf>
    <xf numFmtId="20" fontId="88" fillId="43" borderId="155" xfId="47" applyNumberFormat="1" applyFont="1" applyFill="1" applyBorder="1" applyAlignment="1">
      <alignment horizontal="center"/>
    </xf>
    <xf numFmtId="10" fontId="88" fillId="0" borderId="154" xfId="38" applyNumberFormat="1" applyFont="1" applyBorder="1" applyAlignment="1">
      <alignment horizontal="center"/>
    </xf>
    <xf numFmtId="0" fontId="84" fillId="50" borderId="226" xfId="47" applyFont="1" applyFill="1" applyBorder="1" applyAlignment="1">
      <alignment horizontal="center"/>
    </xf>
    <xf numFmtId="0" fontId="84" fillId="50" borderId="153" xfId="47" applyFont="1" applyFill="1" applyBorder="1" applyAlignment="1">
      <alignment horizontal="center"/>
    </xf>
    <xf numFmtId="0" fontId="84" fillId="50" borderId="154" xfId="47" applyFont="1" applyFill="1" applyBorder="1" applyAlignment="1">
      <alignment horizontal="center"/>
    </xf>
    <xf numFmtId="0" fontId="84" fillId="50" borderId="226" xfId="47" applyFont="1" applyFill="1" applyBorder="1" applyAlignment="1">
      <alignment horizontal="left"/>
    </xf>
    <xf numFmtId="0" fontId="87" fillId="50" borderId="231" xfId="47" applyFont="1" applyFill="1" applyBorder="1"/>
    <xf numFmtId="0" fontId="87" fillId="50" borderId="234" xfId="47" applyFont="1" applyFill="1" applyBorder="1"/>
    <xf numFmtId="0" fontId="87" fillId="50" borderId="236" xfId="47" applyFont="1" applyFill="1" applyBorder="1"/>
    <xf numFmtId="0" fontId="2" fillId="53" borderId="226" xfId="47" applyFill="1" applyBorder="1" applyAlignment="1" applyProtection="1">
      <alignment horizontal="center"/>
      <protection locked="0"/>
    </xf>
    <xf numFmtId="187" fontId="2" fillId="53" borderId="50" xfId="47" applyNumberFormat="1" applyFill="1" applyBorder="1" applyAlignment="1" applyProtection="1">
      <alignment horizontal="center"/>
      <protection locked="0"/>
    </xf>
    <xf numFmtId="189" fontId="2" fillId="53" borderId="227" xfId="47" applyNumberFormat="1" applyFill="1" applyBorder="1" applyAlignment="1" applyProtection="1">
      <alignment horizontal="center"/>
      <protection locked="0"/>
    </xf>
    <xf numFmtId="15" fontId="2" fillId="53" borderId="50" xfId="47" applyNumberFormat="1" applyFill="1" applyBorder="1" applyAlignment="1" applyProtection="1">
      <alignment horizontal="center"/>
      <protection locked="0"/>
    </xf>
    <xf numFmtId="188" fontId="2" fillId="53" borderId="50" xfId="47" applyNumberFormat="1" applyFill="1" applyBorder="1" applyAlignment="1" applyProtection="1">
      <alignment horizontal="center"/>
      <protection locked="0"/>
    </xf>
    <xf numFmtId="0" fontId="2" fillId="53" borderId="50" xfId="47" applyFill="1" applyBorder="1" applyAlignment="1" applyProtection="1">
      <alignment horizontal="center"/>
      <protection locked="0"/>
    </xf>
    <xf numFmtId="190" fontId="7" fillId="53" borderId="226" xfId="47" applyNumberFormat="1" applyFont="1" applyFill="1" applyBorder="1" applyAlignment="1">
      <alignment horizontal="center"/>
    </xf>
    <xf numFmtId="190" fontId="7" fillId="53" borderId="50" xfId="47" applyNumberFormat="1" applyFont="1" applyFill="1" applyBorder="1" applyAlignment="1">
      <alignment horizontal="center"/>
    </xf>
    <xf numFmtId="166" fontId="7" fillId="53" borderId="155" xfId="47" applyNumberFormat="1" applyFont="1" applyFill="1" applyBorder="1" applyAlignment="1">
      <alignment horizontal="center"/>
    </xf>
    <xf numFmtId="2" fontId="2" fillId="53" borderId="50" xfId="47" applyNumberFormat="1" applyFill="1" applyBorder="1" applyAlignment="1" applyProtection="1">
      <alignment horizontal="center"/>
      <protection locked="0"/>
    </xf>
    <xf numFmtId="10" fontId="2" fillId="53" borderId="50" xfId="38" applyNumberFormat="1" applyFill="1" applyBorder="1" applyAlignment="1" applyProtection="1">
      <alignment horizontal="center"/>
      <protection locked="0"/>
    </xf>
    <xf numFmtId="0" fontId="2" fillId="53" borderId="227" xfId="47" applyFill="1" applyBorder="1" applyAlignment="1" applyProtection="1">
      <alignment horizontal="center"/>
      <protection locked="0"/>
    </xf>
    <xf numFmtId="0" fontId="2" fillId="53" borderId="155" xfId="47" applyFill="1" applyBorder="1" applyAlignment="1" applyProtection="1">
      <alignment horizontal="center"/>
      <protection locked="0"/>
    </xf>
    <xf numFmtId="10" fontId="0" fillId="53" borderId="50" xfId="38" applyNumberFormat="1" applyFont="1" applyFill="1" applyBorder="1" applyAlignment="1" applyProtection="1">
      <alignment horizontal="center"/>
      <protection locked="0"/>
    </xf>
    <xf numFmtId="0" fontId="2" fillId="53" borderId="218" xfId="47" applyFill="1" applyBorder="1" applyAlignment="1" applyProtection="1">
      <alignment horizontal="center"/>
      <protection locked="0"/>
    </xf>
    <xf numFmtId="0" fontId="88" fillId="53" borderId="226" xfId="47" applyFont="1" applyFill="1" applyBorder="1" applyAlignment="1">
      <alignment horizontal="center"/>
    </xf>
    <xf numFmtId="0" fontId="88" fillId="53" borderId="153" xfId="47" applyFont="1" applyFill="1" applyBorder="1" applyAlignment="1">
      <alignment horizontal="center"/>
    </xf>
    <xf numFmtId="0" fontId="92" fillId="53" borderId="50" xfId="47" applyFont="1" applyFill="1" applyBorder="1"/>
    <xf numFmtId="0" fontId="92" fillId="53" borderId="154" xfId="47" applyFont="1" applyFill="1" applyBorder="1"/>
    <xf numFmtId="0" fontId="2" fillId="53" borderId="50" xfId="47" applyFill="1" applyBorder="1"/>
    <xf numFmtId="0" fontId="2" fillId="53" borderId="154" xfId="47" applyFill="1" applyBorder="1"/>
    <xf numFmtId="0" fontId="2" fillId="53" borderId="227" xfId="47" applyFill="1" applyBorder="1"/>
    <xf numFmtId="0" fontId="2" fillId="53" borderId="155" xfId="47" applyFill="1" applyBorder="1"/>
    <xf numFmtId="9" fontId="88" fillId="53" borderId="50" xfId="38" applyFont="1" applyFill="1" applyBorder="1" applyAlignment="1">
      <alignment horizontal="center"/>
    </xf>
    <xf numFmtId="20" fontId="88" fillId="53" borderId="151" xfId="47" applyNumberFormat="1" applyFont="1" applyFill="1" applyBorder="1" applyAlignment="1" applyProtection="1">
      <alignment horizontal="center"/>
      <protection locked="0"/>
    </xf>
    <xf numFmtId="20" fontId="88" fillId="53" borderId="227" xfId="47" applyNumberFormat="1" applyFont="1" applyFill="1" applyBorder="1" applyAlignment="1" applyProtection="1">
      <alignment horizontal="center"/>
      <protection locked="0"/>
    </xf>
    <xf numFmtId="194" fontId="88" fillId="53" borderId="150" xfId="47" applyNumberFormat="1" applyFont="1" applyFill="1" applyBorder="1" applyAlignment="1">
      <alignment horizontal="center"/>
    </xf>
    <xf numFmtId="194" fontId="88" fillId="53" borderId="50" xfId="47" applyNumberFormat="1" applyFont="1" applyFill="1" applyBorder="1" applyAlignment="1">
      <alignment horizontal="center"/>
    </xf>
    <xf numFmtId="184" fontId="88" fillId="53" borderId="150" xfId="47" applyNumberFormat="1" applyFont="1" applyFill="1" applyBorder="1" applyAlignment="1" applyProtection="1">
      <alignment horizontal="center"/>
      <protection locked="0"/>
    </xf>
    <xf numFmtId="0" fontId="2" fillId="53" borderId="50" xfId="47" applyFill="1" applyBorder="1" applyAlignment="1">
      <alignment horizontal="center"/>
    </xf>
    <xf numFmtId="0" fontId="2" fillId="53" borderId="154" xfId="47" applyFill="1" applyBorder="1" applyAlignment="1">
      <alignment horizontal="center"/>
    </xf>
    <xf numFmtId="193" fontId="7" fillId="0" borderId="50" xfId="47" applyNumberFormat="1" applyFont="1" applyBorder="1" applyAlignment="1" applyProtection="1">
      <alignment horizontal="center"/>
      <protection locked="0"/>
    </xf>
    <xf numFmtId="192" fontId="7" fillId="0" borderId="50" xfId="47" applyNumberFormat="1" applyFont="1" applyBorder="1" applyAlignment="1">
      <alignment horizontal="center"/>
    </xf>
    <xf numFmtId="198" fontId="84" fillId="50" borderId="270" xfId="47" applyNumberFormat="1" applyFont="1" applyFill="1" applyBorder="1" applyAlignment="1">
      <alignment horizontal="center"/>
    </xf>
    <xf numFmtId="2" fontId="7" fillId="0" borderId="227" xfId="47" applyNumberFormat="1" applyFont="1" applyBorder="1" applyAlignment="1">
      <alignment horizontal="center"/>
    </xf>
    <xf numFmtId="197" fontId="84" fillId="50" borderId="152" xfId="47" applyNumberFormat="1" applyFont="1" applyFill="1" applyBorder="1" applyAlignment="1">
      <alignment horizontal="center"/>
    </xf>
    <xf numFmtId="197" fontId="84" fillId="50" borderId="150" xfId="47" applyNumberFormat="1" applyFont="1" applyFill="1" applyBorder="1" applyAlignment="1">
      <alignment horizontal="center"/>
    </xf>
    <xf numFmtId="197" fontId="84" fillId="50" borderId="151" xfId="47" applyNumberFormat="1" applyFont="1" applyFill="1" applyBorder="1" applyAlignment="1">
      <alignment horizontal="center"/>
    </xf>
    <xf numFmtId="0" fontId="88" fillId="0" borderId="276" xfId="47" applyFont="1" applyBorder="1" applyAlignment="1">
      <alignment horizontal="center"/>
    </xf>
    <xf numFmtId="0" fontId="88" fillId="0" borderId="277" xfId="47" applyFont="1" applyBorder="1" applyAlignment="1">
      <alignment horizontal="center"/>
    </xf>
    <xf numFmtId="0" fontId="88" fillId="0" borderId="278" xfId="47" applyFont="1" applyBorder="1" applyAlignment="1">
      <alignment horizontal="center"/>
    </xf>
    <xf numFmtId="196" fontId="88" fillId="0" borderId="50" xfId="47" applyNumberFormat="1" applyFont="1" applyBorder="1" applyAlignment="1">
      <alignment horizontal="center"/>
    </xf>
    <xf numFmtId="0" fontId="3" fillId="0" borderId="0" xfId="0" applyFont="1" applyAlignment="1" applyProtection="1">
      <alignment wrapText="1"/>
      <protection hidden="1"/>
    </xf>
    <xf numFmtId="0" fontId="84" fillId="50" borderId="10" xfId="47" applyFont="1" applyFill="1" applyBorder="1"/>
    <xf numFmtId="0" fontId="84" fillId="50" borderId="10" xfId="47" applyFont="1" applyFill="1" applyBorder="1" applyAlignment="1">
      <alignment horizontal="left"/>
    </xf>
    <xf numFmtId="0" fontId="88" fillId="0" borderId="281" xfId="47" applyFont="1" applyBorder="1"/>
    <xf numFmtId="0" fontId="84" fillId="50" borderId="13" xfId="47" applyFont="1" applyFill="1" applyBorder="1" applyAlignment="1">
      <alignment horizontal="left"/>
    </xf>
    <xf numFmtId="0" fontId="2" fillId="0" borderId="282" xfId="47" applyBorder="1"/>
    <xf numFmtId="0" fontId="65" fillId="0" borderId="271" xfId="47" applyFont="1" applyBorder="1"/>
    <xf numFmtId="9" fontId="0" fillId="0" borderId="144" xfId="38" applyFont="1" applyFill="1" applyBorder="1" applyAlignment="1">
      <alignment horizontal="center"/>
    </xf>
    <xf numFmtId="0" fontId="7" fillId="53" borderId="270" xfId="47" applyFont="1" applyFill="1" applyBorder="1" applyAlignment="1">
      <alignment horizontal="center"/>
    </xf>
    <xf numFmtId="0" fontId="7" fillId="53" borderId="50" xfId="47" applyFont="1" applyFill="1" applyBorder="1" applyAlignment="1" applyProtection="1">
      <alignment horizontal="center"/>
      <protection locked="0"/>
    </xf>
    <xf numFmtId="2" fontId="7" fillId="53" borderId="0" xfId="0" applyNumberFormat="1" applyFont="1" applyFill="1" applyAlignment="1" applyProtection="1">
      <alignment horizontal="center"/>
      <protection locked="0"/>
    </xf>
    <xf numFmtId="0" fontId="7" fillId="53" borderId="0" xfId="0" applyFont="1" applyFill="1" applyAlignment="1" applyProtection="1">
      <alignment horizontal="center"/>
      <protection locked="0"/>
    </xf>
    <xf numFmtId="170" fontId="7" fillId="53" borderId="0" xfId="0" applyNumberFormat="1" applyFont="1" applyFill="1" applyAlignment="1" applyProtection="1">
      <alignment horizontal="center"/>
      <protection locked="0"/>
    </xf>
    <xf numFmtId="9" fontId="7" fillId="53" borderId="50" xfId="0" applyNumberFormat="1" applyFont="1" applyFill="1" applyBorder="1" applyAlignment="1" applyProtection="1">
      <alignment horizontal="center"/>
      <protection locked="0"/>
    </xf>
    <xf numFmtId="2" fontId="10" fillId="31" borderId="185" xfId="0" applyNumberFormat="1" applyFont="1" applyFill="1" applyBorder="1" applyProtection="1">
      <protection locked="0" hidden="1"/>
    </xf>
    <xf numFmtId="1" fontId="76" fillId="31" borderId="192" xfId="0" applyNumberFormat="1" applyFont="1" applyFill="1" applyBorder="1" applyProtection="1">
      <protection locked="0" hidden="1"/>
    </xf>
    <xf numFmtId="1" fontId="10" fillId="0" borderId="0" xfId="0" applyNumberFormat="1" applyFont="1" applyAlignment="1" applyProtection="1">
      <alignment horizontal="center"/>
      <protection locked="0" hidden="1"/>
    </xf>
    <xf numFmtId="1" fontId="10" fillId="40" borderId="0" xfId="0" quotePrefix="1" applyNumberFormat="1" applyFont="1" applyFill="1" applyAlignment="1" applyProtection="1">
      <alignment horizontal="center"/>
      <protection locked="0" hidden="1"/>
    </xf>
    <xf numFmtId="1" fontId="10" fillId="0" borderId="112" xfId="0" applyNumberFormat="1" applyFont="1" applyBorder="1" applyAlignment="1" applyProtection="1">
      <alignment horizontal="center"/>
      <protection locked="0" hidden="1"/>
    </xf>
    <xf numFmtId="1" fontId="10" fillId="31" borderId="0" xfId="0" applyNumberFormat="1" applyFont="1" applyFill="1" applyAlignment="1" applyProtection="1">
      <alignment horizontal="center"/>
      <protection locked="0" hidden="1"/>
    </xf>
    <xf numFmtId="1" fontId="10" fillId="31" borderId="112" xfId="0" applyNumberFormat="1" applyFont="1" applyFill="1" applyBorder="1" applyAlignment="1" applyProtection="1">
      <alignment horizontal="center"/>
      <protection locked="0" hidden="1"/>
    </xf>
    <xf numFmtId="170" fontId="10" fillId="0" borderId="113" xfId="38" applyNumberFormat="1" applyFont="1" applyFill="1" applyBorder="1" applyAlignment="1" applyProtection="1">
      <alignment horizontal="center"/>
      <protection locked="0" hidden="1"/>
    </xf>
    <xf numFmtId="2" fontId="10" fillId="40" borderId="0" xfId="0" applyNumberFormat="1" applyFont="1" applyFill="1" applyAlignment="1" applyProtection="1">
      <alignment horizontal="center"/>
      <protection locked="0" hidden="1"/>
    </xf>
    <xf numFmtId="2" fontId="10" fillId="40" borderId="112" xfId="0" applyNumberFormat="1" applyFont="1" applyFill="1" applyBorder="1" applyAlignment="1" applyProtection="1">
      <alignment horizontal="center"/>
      <protection locked="0" hidden="1"/>
    </xf>
    <xf numFmtId="2" fontId="3" fillId="31" borderId="0" xfId="0" applyNumberFormat="1" applyFont="1" applyFill="1" applyAlignment="1" applyProtection="1">
      <alignment horizontal="center"/>
      <protection locked="0" hidden="1"/>
    </xf>
    <xf numFmtId="2" fontId="3" fillId="31" borderId="112" xfId="0" applyNumberFormat="1" applyFont="1" applyFill="1" applyBorder="1" applyAlignment="1" applyProtection="1">
      <alignment horizontal="center"/>
      <protection locked="0" hidden="1"/>
    </xf>
    <xf numFmtId="2" fontId="3" fillId="31" borderId="113" xfId="0" applyNumberFormat="1" applyFont="1" applyFill="1" applyBorder="1" applyAlignment="1" applyProtection="1">
      <alignment horizontal="center"/>
      <protection locked="0" hidden="1"/>
    </xf>
    <xf numFmtId="2" fontId="2" fillId="53" borderId="284" xfId="47" applyNumberFormat="1" applyFill="1" applyBorder="1" applyAlignment="1">
      <alignment horizontal="center"/>
    </xf>
    <xf numFmtId="2" fontId="2" fillId="53" borderId="283" xfId="47" applyNumberFormat="1" applyFill="1" applyBorder="1" applyAlignment="1">
      <alignment horizontal="center"/>
    </xf>
    <xf numFmtId="2" fontId="2" fillId="53" borderId="145" xfId="47" applyNumberFormat="1" applyFill="1" applyBorder="1" applyAlignment="1">
      <alignment horizontal="center"/>
    </xf>
    <xf numFmtId="195" fontId="7" fillId="55" borderId="50" xfId="47" applyNumberFormat="1" applyFont="1" applyFill="1" applyBorder="1"/>
    <xf numFmtId="199" fontId="7" fillId="0" borderId="50" xfId="47" applyNumberFormat="1" applyFont="1" applyBorder="1" applyAlignment="1">
      <alignment horizontal="center"/>
    </xf>
    <xf numFmtId="0" fontId="84" fillId="50" borderId="249" xfId="47" applyFont="1" applyFill="1" applyBorder="1"/>
    <xf numFmtId="0" fontId="88" fillId="43" borderId="50" xfId="47" applyFont="1" applyFill="1" applyBorder="1" applyAlignment="1" applyProtection="1">
      <alignment horizontal="center"/>
      <protection locked="0"/>
    </xf>
    <xf numFmtId="0" fontId="2" fillId="0" borderId="286" xfId="47" applyBorder="1"/>
    <xf numFmtId="0" fontId="2" fillId="0" borderId="287" xfId="47" applyBorder="1"/>
    <xf numFmtId="0" fontId="87" fillId="56" borderId="288" xfId="0" applyFont="1" applyFill="1" applyBorder="1"/>
    <xf numFmtId="0" fontId="87" fillId="56" borderId="289" xfId="0" applyFont="1" applyFill="1" applyBorder="1" applyAlignment="1">
      <alignment horizontal="center"/>
    </xf>
    <xf numFmtId="0" fontId="1" fillId="49" borderId="288" xfId="0" applyFont="1" applyFill="1" applyBorder="1"/>
    <xf numFmtId="0" fontId="1" fillId="49" borderId="289" xfId="0" applyFont="1" applyFill="1" applyBorder="1" applyAlignment="1">
      <alignment horizontal="center"/>
    </xf>
    <xf numFmtId="0" fontId="1" fillId="0" borderId="288" xfId="0" applyFont="1" applyBorder="1"/>
    <xf numFmtId="0" fontId="1" fillId="0" borderId="289" xfId="0" applyFont="1" applyBorder="1" applyAlignment="1">
      <alignment horizontal="center"/>
    </xf>
    <xf numFmtId="0" fontId="85" fillId="50" borderId="50" xfId="47" applyFont="1" applyFill="1" applyBorder="1" applyAlignment="1">
      <alignment horizontal="left"/>
    </xf>
    <xf numFmtId="0" fontId="2" fillId="53" borderId="215" xfId="47" applyFill="1" applyBorder="1" applyAlignment="1" applyProtection="1">
      <alignment horizontal="center"/>
      <protection locked="0"/>
    </xf>
    <xf numFmtId="0" fontId="2" fillId="53" borderId="112" xfId="47" applyFill="1" applyBorder="1" applyAlignment="1" applyProtection="1">
      <alignment horizontal="center"/>
      <protection locked="0"/>
    </xf>
    <xf numFmtId="0" fontId="2" fillId="53" borderId="14" xfId="47" applyFill="1" applyBorder="1" applyAlignment="1" applyProtection="1">
      <alignment horizontal="center"/>
      <protection locked="0"/>
    </xf>
    <xf numFmtId="0" fontId="84" fillId="57" borderId="226" xfId="47" applyFont="1" applyFill="1" applyBorder="1" applyAlignment="1" applyProtection="1">
      <alignment horizontal="center"/>
      <protection locked="0"/>
    </xf>
    <xf numFmtId="0" fontId="89" fillId="43" borderId="148" xfId="47" applyFont="1" applyFill="1" applyBorder="1" applyAlignment="1">
      <alignment horizontal="center"/>
    </xf>
    <xf numFmtId="0" fontId="89" fillId="43" borderId="194" xfId="47" applyFont="1" applyFill="1" applyBorder="1" applyAlignment="1">
      <alignment horizontal="center"/>
    </xf>
    <xf numFmtId="0" fontId="89" fillId="43" borderId="195" xfId="47" applyFont="1" applyFill="1" applyBorder="1" applyAlignment="1">
      <alignment horizontal="center"/>
    </xf>
    <xf numFmtId="0" fontId="89" fillId="43" borderId="47" xfId="47" applyFont="1" applyFill="1" applyBorder="1" applyAlignment="1">
      <alignment horizontal="center"/>
    </xf>
    <xf numFmtId="0" fontId="88" fillId="0" borderId="144" xfId="47" applyFont="1" applyBorder="1" applyAlignment="1">
      <alignment horizontal="right"/>
    </xf>
    <xf numFmtId="199" fontId="2" fillId="43" borderId="251" xfId="47" applyNumberFormat="1" applyFill="1" applyBorder="1" applyAlignment="1" applyProtection="1">
      <alignment horizontal="left"/>
      <protection locked="0"/>
    </xf>
    <xf numFmtId="0" fontId="88" fillId="53" borderId="50" xfId="47" applyFont="1" applyFill="1" applyBorder="1" applyAlignment="1" applyProtection="1">
      <alignment horizontal="center"/>
      <protection locked="0"/>
    </xf>
    <xf numFmtId="0" fontId="82" fillId="0" borderId="248" xfId="47" applyFont="1" applyBorder="1" applyAlignment="1">
      <alignment horizontal="center"/>
    </xf>
    <xf numFmtId="15" fontId="7" fillId="0" borderId="50" xfId="47" applyNumberFormat="1" applyFont="1" applyBorder="1" applyAlignment="1">
      <alignment horizontal="center"/>
    </xf>
    <xf numFmtId="0" fontId="2" fillId="0" borderId="226" xfId="47" applyBorder="1" applyAlignment="1">
      <alignment horizontal="center"/>
    </xf>
    <xf numFmtId="0" fontId="2" fillId="0" borderId="229" xfId="47" applyBorder="1" applyAlignment="1">
      <alignment horizontal="center"/>
    </xf>
    <xf numFmtId="200" fontId="7" fillId="53" borderId="50" xfId="47" applyNumberFormat="1" applyFont="1" applyFill="1" applyBorder="1" applyAlignment="1">
      <alignment horizontal="center"/>
    </xf>
    <xf numFmtId="201" fontId="7" fillId="53" borderId="50" xfId="47" applyNumberFormat="1" applyFont="1" applyFill="1" applyBorder="1" applyAlignment="1">
      <alignment horizontal="center"/>
    </xf>
    <xf numFmtId="0" fontId="2" fillId="48" borderId="0" xfId="0" applyFont="1" applyFill="1" applyProtection="1">
      <protection locked="0" hidden="1"/>
    </xf>
    <xf numFmtId="0" fontId="88" fillId="51" borderId="285" xfId="47" applyFont="1" applyFill="1" applyBorder="1" applyAlignment="1">
      <alignment horizontal="right"/>
    </xf>
    <xf numFmtId="0" fontId="7" fillId="51" borderId="271" xfId="47" applyFont="1" applyFill="1" applyBorder="1" applyAlignment="1">
      <alignment horizontal="left"/>
    </xf>
    <xf numFmtId="0" fontId="88" fillId="51" borderId="273" xfId="47" applyFont="1" applyFill="1" applyBorder="1" applyAlignment="1">
      <alignment horizontal="center"/>
    </xf>
    <xf numFmtId="0" fontId="88" fillId="51" borderId="275" xfId="47" applyFont="1" applyFill="1" applyBorder="1" applyAlignment="1">
      <alignment horizontal="center"/>
    </xf>
    <xf numFmtId="166" fontId="7" fillId="0" borderId="267" xfId="47" applyNumberFormat="1" applyFont="1" applyBorder="1" applyAlignment="1">
      <alignment horizontal="center"/>
    </xf>
    <xf numFmtId="204" fontId="7" fillId="53" borderId="227" xfId="47" applyNumberFormat="1" applyFont="1" applyFill="1" applyBorder="1" applyAlignment="1">
      <alignment horizontal="center"/>
    </xf>
    <xf numFmtId="0" fontId="11" fillId="0" borderId="0" xfId="0" applyFont="1" applyAlignment="1" applyProtection="1">
      <alignment horizontal="center"/>
      <protection hidden="1"/>
    </xf>
    <xf numFmtId="0" fontId="11" fillId="0" borderId="96" xfId="0" applyFont="1" applyBorder="1" applyAlignment="1" applyProtection="1">
      <alignment horizontal="center"/>
      <protection hidden="1"/>
    </xf>
    <xf numFmtId="2" fontId="11" fillId="0" borderId="96" xfId="0" applyNumberFormat="1" applyFont="1" applyBorder="1" applyAlignment="1" applyProtection="1">
      <alignment horizontal="center"/>
      <protection hidden="1"/>
    </xf>
    <xf numFmtId="0" fontId="16" fillId="0" borderId="96" xfId="0" applyFont="1" applyBorder="1" applyAlignment="1" applyProtection="1">
      <alignment horizontal="centerContinuous"/>
      <protection hidden="1"/>
    </xf>
    <xf numFmtId="0" fontId="12" fillId="0" borderId="96" xfId="0" applyFont="1" applyBorder="1" applyAlignment="1" applyProtection="1">
      <alignment horizontal="center"/>
      <protection hidden="1"/>
    </xf>
    <xf numFmtId="0" fontId="12" fillId="0" borderId="156" xfId="0" applyFont="1" applyBorder="1" applyAlignment="1" applyProtection="1">
      <alignment horizontal="center"/>
      <protection hidden="1"/>
    </xf>
    <xf numFmtId="0" fontId="11" fillId="0" borderId="156" xfId="0" applyFont="1" applyBorder="1" applyAlignment="1" applyProtection="1">
      <alignment horizontal="center"/>
      <protection hidden="1"/>
    </xf>
    <xf numFmtId="10" fontId="11" fillId="0" borderId="156" xfId="38" applyNumberFormat="1" applyFont="1" applyFill="1" applyBorder="1" applyAlignment="1" applyProtection="1">
      <alignment horizontal="center"/>
      <protection hidden="1"/>
    </xf>
    <xf numFmtId="0" fontId="16" fillId="53" borderId="96" xfId="0" applyFont="1" applyFill="1" applyBorder="1" applyAlignment="1" applyProtection="1">
      <alignment horizontal="centerContinuous"/>
      <protection hidden="1"/>
    </xf>
    <xf numFmtId="165" fontId="11" fillId="0" borderId="0" xfId="0" applyNumberFormat="1" applyFont="1" applyAlignment="1" applyProtection="1">
      <alignment horizontal="right"/>
      <protection hidden="1"/>
    </xf>
    <xf numFmtId="0" fontId="3" fillId="0" borderId="24" xfId="0" applyFont="1" applyBorder="1" applyProtection="1">
      <protection hidden="1"/>
    </xf>
    <xf numFmtId="0" fontId="3" fillId="0" borderId="25" xfId="0" applyFont="1" applyBorder="1" applyAlignment="1" applyProtection="1">
      <alignment horizontal="center"/>
      <protection hidden="1"/>
    </xf>
    <xf numFmtId="0" fontId="12" fillId="0" borderId="26" xfId="0" applyFont="1" applyBorder="1" applyAlignment="1" applyProtection="1">
      <alignment horizontal="center"/>
      <protection hidden="1"/>
    </xf>
    <xf numFmtId="0" fontId="12" fillId="0" borderId="27" xfId="0" applyFont="1" applyBorder="1" applyAlignment="1" applyProtection="1">
      <alignment horizontal="center"/>
      <protection hidden="1"/>
    </xf>
    <xf numFmtId="0" fontId="3" fillId="0" borderId="28" xfId="0" applyFont="1" applyBorder="1" applyAlignment="1" applyProtection="1">
      <alignment horizontal="center"/>
      <protection hidden="1"/>
    </xf>
    <xf numFmtId="0" fontId="14" fillId="0" borderId="25" xfId="0" applyFont="1" applyBorder="1" applyAlignment="1" applyProtection="1">
      <alignment horizontal="center"/>
      <protection hidden="1"/>
    </xf>
    <xf numFmtId="0" fontId="12" fillId="0" borderId="33" xfId="0" applyFont="1" applyBorder="1" applyAlignment="1" applyProtection="1">
      <alignment horizontal="center"/>
      <protection hidden="1"/>
    </xf>
    <xf numFmtId="0" fontId="14" fillId="0" borderId="28" xfId="0" applyFont="1" applyBorder="1" applyAlignment="1" applyProtection="1">
      <alignment horizontal="center"/>
      <protection hidden="1"/>
    </xf>
    <xf numFmtId="2" fontId="12" fillId="0" borderId="34" xfId="0" applyNumberFormat="1" applyFont="1" applyBorder="1" applyAlignment="1" applyProtection="1">
      <alignment horizontal="center"/>
      <protection hidden="1"/>
    </xf>
    <xf numFmtId="10" fontId="14" fillId="0" borderId="26" xfId="38" applyNumberFormat="1" applyFont="1" applyBorder="1" applyProtection="1">
      <protection hidden="1"/>
    </xf>
    <xf numFmtId="10" fontId="14" fillId="45" borderId="27" xfId="38" applyNumberFormat="1" applyFont="1" applyFill="1" applyBorder="1" applyProtection="1">
      <protection hidden="1"/>
    </xf>
    <xf numFmtId="0" fontId="12" fillId="0" borderId="34" xfId="0" applyFont="1" applyBorder="1" applyAlignment="1" applyProtection="1">
      <alignment horizontal="center"/>
      <protection hidden="1"/>
    </xf>
    <xf numFmtId="10" fontId="3" fillId="0" borderId="26" xfId="38" applyNumberFormat="1" applyFont="1" applyBorder="1" applyProtection="1">
      <protection hidden="1"/>
    </xf>
    <xf numFmtId="0" fontId="3" fillId="0" borderId="35" xfId="0" applyFont="1" applyBorder="1" applyProtection="1">
      <protection hidden="1"/>
    </xf>
    <xf numFmtId="10" fontId="14" fillId="0" borderId="26" xfId="38" applyNumberFormat="1" applyFont="1" applyBorder="1" applyAlignment="1" applyProtection="1">
      <alignment horizontal="right"/>
      <protection hidden="1"/>
    </xf>
    <xf numFmtId="0" fontId="12" fillId="0" borderId="69" xfId="0" applyFont="1" applyBorder="1" applyAlignment="1" applyProtection="1">
      <alignment horizontal="center"/>
      <protection hidden="1"/>
    </xf>
    <xf numFmtId="166" fontId="14" fillId="0" borderId="96" xfId="0" applyNumberFormat="1" applyFont="1" applyBorder="1" applyAlignment="1" applyProtection="1">
      <alignment horizontal="center"/>
      <protection hidden="1"/>
    </xf>
    <xf numFmtId="0" fontId="3" fillId="0" borderId="98" xfId="0" applyFont="1" applyBorder="1" applyAlignment="1" applyProtection="1">
      <alignment horizontal="center"/>
      <protection hidden="1"/>
    </xf>
    <xf numFmtId="2" fontId="14" fillId="0" borderId="96" xfId="0" applyNumberFormat="1" applyFont="1" applyBorder="1" applyAlignment="1" applyProtection="1">
      <alignment horizontal="center"/>
      <protection hidden="1"/>
    </xf>
    <xf numFmtId="2" fontId="26" fillId="53" borderId="55" xfId="25" applyNumberFormat="1" applyFont="1" applyFill="1" applyBorder="1" applyAlignment="1" applyProtection="1">
      <alignment horizontal="center"/>
      <protection hidden="1"/>
    </xf>
    <xf numFmtId="2" fontId="26" fillId="53" borderId="0" xfId="25" applyNumberFormat="1" applyFont="1" applyFill="1" applyBorder="1" applyAlignment="1" applyProtection="1">
      <alignment horizontal="center"/>
      <protection hidden="1"/>
    </xf>
    <xf numFmtId="1" fontId="14" fillId="0" borderId="96" xfId="0" applyNumberFormat="1" applyFont="1" applyBorder="1" applyAlignment="1" applyProtection="1">
      <alignment horizontal="center"/>
      <protection hidden="1"/>
    </xf>
    <xf numFmtId="205" fontId="3" fillId="0" borderId="0" xfId="23" applyNumberFormat="1" applyFont="1" applyAlignment="1" applyProtection="1">
      <alignment horizontal="center"/>
      <protection hidden="1"/>
    </xf>
    <xf numFmtId="2" fontId="14" fillId="0" borderId="81" xfId="0" applyNumberFormat="1" applyFont="1" applyBorder="1" applyAlignment="1" applyProtection="1">
      <alignment horizontal="center"/>
      <protection hidden="1"/>
    </xf>
    <xf numFmtId="2" fontId="10" fillId="0" borderId="81" xfId="0" applyNumberFormat="1" applyFont="1" applyBorder="1" applyAlignment="1" applyProtection="1">
      <alignment horizontal="center"/>
      <protection hidden="1"/>
    </xf>
    <xf numFmtId="166" fontId="14" fillId="0" borderId="81" xfId="0" applyNumberFormat="1" applyFont="1" applyBorder="1" applyAlignment="1" applyProtection="1">
      <alignment horizontal="center"/>
      <protection hidden="1"/>
    </xf>
    <xf numFmtId="1" fontId="10" fillId="0" borderId="81" xfId="0" applyNumberFormat="1" applyFont="1" applyBorder="1" applyAlignment="1" applyProtection="1">
      <alignment horizontal="center"/>
      <protection hidden="1"/>
    </xf>
    <xf numFmtId="166" fontId="10" fillId="0" borderId="81" xfId="0" applyNumberFormat="1" applyFont="1" applyBorder="1" applyAlignment="1" applyProtection="1">
      <alignment horizontal="center"/>
      <protection hidden="1"/>
    </xf>
    <xf numFmtId="0" fontId="82" fillId="0" borderId="230" xfId="47" applyFont="1" applyBorder="1"/>
    <xf numFmtId="0" fontId="82" fillId="0" borderId="230" xfId="47" applyFont="1" applyBorder="1" applyAlignment="1">
      <alignment horizontal="center"/>
    </xf>
    <xf numFmtId="0" fontId="2" fillId="0" borderId="153" xfId="47" applyBorder="1" applyAlignment="1">
      <alignment horizontal="center"/>
    </xf>
    <xf numFmtId="168" fontId="7" fillId="53" borderId="153" xfId="47" applyNumberFormat="1" applyFont="1" applyFill="1" applyBorder="1" applyAlignment="1">
      <alignment horizontal="center"/>
    </xf>
    <xf numFmtId="168" fontId="7" fillId="53" borderId="154" xfId="47" applyNumberFormat="1" applyFont="1" applyFill="1" applyBorder="1" applyAlignment="1">
      <alignment horizontal="center"/>
    </xf>
    <xf numFmtId="2" fontId="10" fillId="0" borderId="77" xfId="0" applyNumberFormat="1" applyFont="1" applyBorder="1" applyAlignment="1" applyProtection="1">
      <alignment horizontal="center"/>
      <protection hidden="1"/>
    </xf>
    <xf numFmtId="2" fontId="10" fillId="0" borderId="85" xfId="0" applyNumberFormat="1" applyFont="1" applyBorder="1" applyAlignment="1" applyProtection="1">
      <alignment horizontal="center"/>
      <protection hidden="1"/>
    </xf>
    <xf numFmtId="2" fontId="10" fillId="0" borderId="79" xfId="0" applyNumberFormat="1" applyFont="1" applyBorder="1" applyAlignment="1" applyProtection="1">
      <alignment horizontal="center"/>
      <protection hidden="1"/>
    </xf>
    <xf numFmtId="2" fontId="10" fillId="0" borderId="87" xfId="0" applyNumberFormat="1" applyFont="1" applyBorder="1" applyAlignment="1" applyProtection="1">
      <alignment horizontal="center"/>
      <protection hidden="1"/>
    </xf>
    <xf numFmtId="0" fontId="2" fillId="0" borderId="294" xfId="47" applyBorder="1"/>
    <xf numFmtId="0" fontId="2" fillId="50" borderId="293" xfId="47" applyFill="1" applyBorder="1"/>
    <xf numFmtId="0" fontId="2" fillId="50" borderId="295" xfId="47" applyFill="1" applyBorder="1"/>
    <xf numFmtId="2" fontId="7" fillId="0" borderId="17" xfId="47" applyNumberFormat="1" applyFont="1" applyBorder="1" applyAlignment="1">
      <alignment horizontal="center"/>
    </xf>
    <xf numFmtId="0" fontId="2" fillId="51" borderId="298" xfId="47" applyFill="1" applyBorder="1"/>
    <xf numFmtId="0" fontId="2" fillId="51" borderId="299" xfId="47" applyFill="1" applyBorder="1"/>
    <xf numFmtId="0" fontId="2" fillId="50" borderId="300" xfId="47" applyFill="1" applyBorder="1"/>
    <xf numFmtId="0" fontId="2" fillId="50" borderId="301" xfId="47" applyFill="1" applyBorder="1"/>
    <xf numFmtId="0" fontId="2" fillId="50" borderId="302" xfId="47" applyFill="1" applyBorder="1"/>
    <xf numFmtId="0" fontId="2" fillId="50" borderId="303" xfId="47" applyFill="1" applyBorder="1"/>
    <xf numFmtId="0" fontId="2" fillId="50" borderId="304" xfId="47" applyFill="1" applyBorder="1"/>
    <xf numFmtId="0" fontId="2" fillId="50" borderId="305" xfId="47" applyFill="1" applyBorder="1"/>
    <xf numFmtId="0" fontId="2" fillId="50" borderId="306" xfId="47" applyFill="1" applyBorder="1"/>
    <xf numFmtId="0" fontId="2" fillId="58" borderId="307" xfId="47" applyFill="1" applyBorder="1"/>
    <xf numFmtId="0" fontId="2" fillId="58" borderId="308" xfId="47" applyFill="1" applyBorder="1"/>
    <xf numFmtId="0" fontId="2" fillId="58" borderId="309" xfId="47" applyFill="1" applyBorder="1"/>
    <xf numFmtId="0" fontId="2" fillId="0" borderId="0" xfId="0" applyFont="1" applyAlignment="1">
      <alignment horizontal="center"/>
    </xf>
    <xf numFmtId="202" fontId="8" fillId="0" borderId="265" xfId="47" applyNumberFormat="1" applyFont="1" applyBorder="1" applyAlignment="1">
      <alignment horizontal="right" vertical="center"/>
    </xf>
    <xf numFmtId="1" fontId="10" fillId="31" borderId="149" xfId="0" applyNumberFormat="1" applyFont="1" applyFill="1" applyBorder="1" applyAlignment="1" applyProtection="1">
      <alignment horizontal="center"/>
      <protection locked="0" hidden="1"/>
    </xf>
    <xf numFmtId="166" fontId="10" fillId="31" borderId="149" xfId="0" applyNumberFormat="1" applyFont="1" applyFill="1" applyBorder="1" applyAlignment="1" applyProtection="1">
      <alignment horizontal="center"/>
      <protection locked="0" hidden="1"/>
    </xf>
    <xf numFmtId="0" fontId="96" fillId="0" borderId="240" xfId="47" applyFont="1" applyBorder="1" applyAlignment="1">
      <alignment horizontal="center"/>
    </xf>
    <xf numFmtId="0" fontId="84" fillId="50" borderId="274" xfId="47" applyFont="1" applyFill="1" applyBorder="1" applyAlignment="1">
      <alignment horizontal="left"/>
    </xf>
    <xf numFmtId="0" fontId="84" fillId="50" borderId="273" xfId="47" applyFont="1" applyFill="1" applyBorder="1" applyAlignment="1">
      <alignment horizontal="left"/>
    </xf>
    <xf numFmtId="0" fontId="84" fillId="50" borderId="249" xfId="47" applyFont="1" applyFill="1" applyBorder="1" applyAlignment="1">
      <alignment horizontal="center"/>
    </xf>
    <xf numFmtId="0" fontId="84" fillId="50" borderId="250" xfId="47" applyFont="1" applyFill="1" applyBorder="1" applyAlignment="1">
      <alignment horizontal="center"/>
    </xf>
    <xf numFmtId="0" fontId="84" fillId="50" borderId="252" xfId="47" applyFont="1" applyFill="1" applyBorder="1" applyAlignment="1">
      <alignment horizontal="center"/>
    </xf>
    <xf numFmtId="0" fontId="2" fillId="51" borderId="246" xfId="47" applyFill="1" applyBorder="1" applyAlignment="1">
      <alignment horizontal="center"/>
    </xf>
    <xf numFmtId="0" fontId="2" fillId="51" borderId="251" xfId="47" applyFill="1" applyBorder="1" applyAlignment="1">
      <alignment horizontal="center"/>
    </xf>
    <xf numFmtId="0" fontId="5" fillId="0" borderId="255" xfId="47" applyFont="1" applyBorder="1" applyAlignment="1">
      <alignment horizontal="center" vertical="center" wrapText="1"/>
    </xf>
    <xf numFmtId="0" fontId="5" fillId="0" borderId="230" xfId="47" applyFont="1" applyBorder="1" applyAlignment="1">
      <alignment horizontal="center" vertical="center" wrapText="1"/>
    </xf>
    <xf numFmtId="0" fontId="5" fillId="0" borderId="235" xfId="47" applyFont="1" applyBorder="1" applyAlignment="1">
      <alignment horizontal="center" vertical="center" wrapText="1"/>
    </xf>
    <xf numFmtId="0" fontId="7" fillId="53" borderId="257" xfId="47" applyFont="1" applyFill="1" applyBorder="1" applyAlignment="1" applyProtection="1">
      <alignment horizontal="center"/>
      <protection locked="0"/>
    </xf>
    <xf numFmtId="0" fontId="7" fillId="53" borderId="215" xfId="47" applyFont="1" applyFill="1" applyBorder="1" applyAlignment="1" applyProtection="1">
      <alignment horizontal="center"/>
      <protection locked="0"/>
    </xf>
    <xf numFmtId="0" fontId="7" fillId="53" borderId="216" xfId="47" applyFont="1" applyFill="1" applyBorder="1" applyAlignment="1" applyProtection="1">
      <alignment horizontal="center"/>
      <protection locked="0"/>
    </xf>
    <xf numFmtId="0" fontId="7" fillId="53" borderId="258" xfId="47" applyFont="1" applyFill="1" applyBorder="1" applyAlignment="1" applyProtection="1">
      <alignment horizontal="center"/>
      <protection locked="0"/>
    </xf>
    <xf numFmtId="0" fontId="7" fillId="53" borderId="113" xfId="47" applyFont="1" applyFill="1" applyBorder="1" applyAlignment="1" applyProtection="1">
      <alignment horizontal="center"/>
      <protection locked="0"/>
    </xf>
    <xf numFmtId="0" fontId="7" fillId="53" borderId="217" xfId="47" applyFont="1" applyFill="1" applyBorder="1" applyAlignment="1" applyProtection="1">
      <alignment horizontal="center"/>
      <protection locked="0"/>
    </xf>
    <xf numFmtId="0" fontId="7" fillId="53" borderId="253" xfId="47" applyFont="1" applyFill="1" applyBorder="1" applyAlignment="1" applyProtection="1">
      <alignment horizontal="center"/>
      <protection locked="0"/>
    </xf>
    <xf numFmtId="0" fontId="7" fillId="53" borderId="14" xfId="47" applyFont="1" applyFill="1" applyBorder="1" applyAlignment="1" applyProtection="1">
      <alignment horizontal="center"/>
      <protection locked="0"/>
    </xf>
    <xf numFmtId="0" fontId="7" fillId="53" borderId="15" xfId="47" applyFont="1" applyFill="1" applyBorder="1" applyAlignment="1" applyProtection="1">
      <alignment horizontal="center"/>
      <protection locked="0"/>
    </xf>
    <xf numFmtId="0" fontId="89" fillId="48" borderId="143" xfId="47" applyFont="1" applyFill="1" applyBorder="1" applyAlignment="1">
      <alignment horizontal="center"/>
    </xf>
    <xf numFmtId="0" fontId="89" fillId="48" borderId="194" xfId="47" applyFont="1" applyFill="1" applyBorder="1" applyAlignment="1">
      <alignment horizontal="center"/>
    </xf>
    <xf numFmtId="0" fontId="89" fillId="48" borderId="195" xfId="47" applyFont="1" applyFill="1" applyBorder="1" applyAlignment="1">
      <alignment horizontal="center"/>
    </xf>
    <xf numFmtId="0" fontId="87" fillId="50" borderId="241" xfId="47" applyFont="1" applyFill="1" applyBorder="1" applyAlignment="1">
      <alignment horizontal="center"/>
    </xf>
    <xf numFmtId="0" fontId="87" fillId="50" borderId="35" xfId="47" applyFont="1" applyFill="1" applyBorder="1" applyAlignment="1">
      <alignment horizontal="center"/>
    </xf>
    <xf numFmtId="183" fontId="7" fillId="53" borderId="35" xfId="47" applyNumberFormat="1" applyFont="1" applyFill="1" applyBorder="1" applyAlignment="1" applyProtection="1">
      <alignment horizontal="center"/>
      <protection locked="0"/>
    </xf>
    <xf numFmtId="184" fontId="7" fillId="53" borderId="35" xfId="47" applyNumberFormat="1" applyFont="1" applyFill="1" applyBorder="1" applyAlignment="1" applyProtection="1">
      <alignment horizontal="center"/>
      <protection locked="0"/>
    </xf>
    <xf numFmtId="184" fontId="7" fillId="53" borderId="45" xfId="47" applyNumberFormat="1" applyFont="1" applyFill="1" applyBorder="1" applyAlignment="1" applyProtection="1">
      <alignment horizontal="center"/>
      <protection locked="0"/>
    </xf>
    <xf numFmtId="184" fontId="7" fillId="53" borderId="242" xfId="47" applyNumberFormat="1" applyFont="1" applyFill="1" applyBorder="1" applyAlignment="1" applyProtection="1">
      <alignment horizontal="center"/>
      <protection locked="0"/>
    </xf>
    <xf numFmtId="0" fontId="84" fillId="50" borderId="221" xfId="47" applyFont="1" applyFill="1" applyBorder="1" applyAlignment="1">
      <alignment horizontal="center"/>
    </xf>
    <xf numFmtId="0" fontId="84" fillId="50" borderId="197" xfId="47" applyFont="1" applyFill="1" applyBorder="1" applyAlignment="1">
      <alignment horizontal="center"/>
    </xf>
    <xf numFmtId="0" fontId="88" fillId="0" borderId="263" xfId="47" applyFont="1" applyBorder="1" applyAlignment="1">
      <alignment horizontal="center"/>
    </xf>
    <xf numFmtId="0" fontId="88" fillId="0" borderId="266" xfId="47" applyFont="1" applyBorder="1" applyAlignment="1">
      <alignment horizontal="center"/>
    </xf>
    <xf numFmtId="0" fontId="84" fillId="50" borderId="10" xfId="47" applyFont="1" applyFill="1" applyBorder="1" applyAlignment="1">
      <alignment horizontal="center"/>
    </xf>
    <xf numFmtId="0" fontId="84" fillId="50" borderId="0" xfId="47" applyFont="1" applyFill="1" applyAlignment="1">
      <alignment horizontal="center"/>
    </xf>
    <xf numFmtId="0" fontId="88" fillId="0" borderId="264" xfId="47" applyFont="1" applyBorder="1" applyAlignment="1">
      <alignment horizontal="center"/>
    </xf>
    <xf numFmtId="0" fontId="88" fillId="0" borderId="268" xfId="47" applyFont="1" applyBorder="1" applyAlignment="1">
      <alignment horizontal="center"/>
    </xf>
    <xf numFmtId="0" fontId="84" fillId="50" borderId="222" xfId="47" applyFont="1" applyFill="1" applyBorder="1" applyAlignment="1">
      <alignment horizontal="center"/>
    </xf>
    <xf numFmtId="0" fontId="84" fillId="50" borderId="223" xfId="47" applyFont="1" applyFill="1" applyBorder="1" applyAlignment="1">
      <alignment horizontal="center"/>
    </xf>
    <xf numFmtId="0" fontId="88" fillId="53" borderId="13" xfId="47" applyFont="1" applyFill="1" applyBorder="1" applyAlignment="1" applyProtection="1">
      <alignment horizontal="center"/>
      <protection locked="0"/>
    </xf>
    <xf numFmtId="0" fontId="88" fillId="53" borderId="14" xfId="47" applyFont="1" applyFill="1" applyBorder="1" applyAlignment="1" applyProtection="1">
      <alignment horizontal="center"/>
      <protection locked="0"/>
    </xf>
    <xf numFmtId="0" fontId="88" fillId="53" borderId="15" xfId="47" applyFont="1" applyFill="1" applyBorder="1" applyAlignment="1" applyProtection="1">
      <alignment horizontal="center"/>
      <protection locked="0"/>
    </xf>
    <xf numFmtId="0" fontId="87" fillId="50" borderId="151" xfId="47" applyFont="1" applyFill="1" applyBorder="1" applyAlignment="1">
      <alignment horizontal="center"/>
    </xf>
    <xf numFmtId="0" fontId="87" fillId="50" borderId="227" xfId="47" applyFont="1" applyFill="1" applyBorder="1" applyAlignment="1">
      <alignment horizontal="center"/>
    </xf>
    <xf numFmtId="185" fontId="7" fillId="0" borderId="227" xfId="47" applyNumberFormat="1" applyFont="1" applyBorder="1" applyAlignment="1">
      <alignment horizontal="center"/>
    </xf>
    <xf numFmtId="0" fontId="84" fillId="50" borderId="218" xfId="47" applyFont="1" applyFill="1" applyBorder="1" applyAlignment="1">
      <alignment horizontal="center"/>
    </xf>
    <xf numFmtId="0" fontId="84" fillId="50" borderId="219" xfId="47" applyFont="1" applyFill="1" applyBorder="1" applyAlignment="1">
      <alignment horizontal="center"/>
    </xf>
    <xf numFmtId="0" fontId="88" fillId="53" borderId="218" xfId="47" applyFont="1" applyFill="1" applyBorder="1" applyAlignment="1" applyProtection="1">
      <alignment horizontal="center"/>
      <protection locked="0"/>
    </xf>
    <xf numFmtId="0" fontId="88" fillId="53" borderId="224" xfId="47" applyFont="1" applyFill="1" applyBorder="1" applyAlignment="1" applyProtection="1">
      <alignment horizontal="center"/>
      <protection locked="0"/>
    </xf>
    <xf numFmtId="0" fontId="6" fillId="53" borderId="143" xfId="47" applyFont="1" applyFill="1" applyBorder="1" applyAlignment="1">
      <alignment horizontal="center"/>
    </xf>
    <xf numFmtId="0" fontId="6" fillId="53" borderId="194" xfId="47" applyFont="1" applyFill="1" applyBorder="1" applyAlignment="1">
      <alignment horizontal="center"/>
    </xf>
    <xf numFmtId="0" fontId="6" fillId="53" borderId="195" xfId="47" applyFont="1" applyFill="1" applyBorder="1" applyAlignment="1">
      <alignment horizontal="center"/>
    </xf>
    <xf numFmtId="0" fontId="84" fillId="50" borderId="151" xfId="47" applyFont="1" applyFill="1" applyBorder="1" applyAlignment="1">
      <alignment horizontal="center"/>
    </xf>
    <xf numFmtId="0" fontId="84" fillId="50" borderId="227" xfId="47" applyFont="1" applyFill="1" applyBorder="1" applyAlignment="1">
      <alignment horizontal="center"/>
    </xf>
    <xf numFmtId="0" fontId="84" fillId="50" borderId="225" xfId="47" applyFont="1" applyFill="1" applyBorder="1" applyAlignment="1">
      <alignment horizontal="center"/>
    </xf>
    <xf numFmtId="0" fontId="84" fillId="50" borderId="215" xfId="47" applyFont="1" applyFill="1" applyBorder="1" applyAlignment="1">
      <alignment horizontal="center"/>
    </xf>
    <xf numFmtId="0" fontId="2" fillId="0" borderId="226" xfId="47" applyBorder="1" applyAlignment="1">
      <alignment horizontal="center"/>
    </xf>
    <xf numFmtId="0" fontId="84" fillId="50" borderId="220" xfId="47" applyFont="1" applyFill="1" applyBorder="1" applyAlignment="1">
      <alignment horizontal="center"/>
    </xf>
    <xf numFmtId="0" fontId="84" fillId="50" borderId="113" xfId="47" applyFont="1" applyFill="1" applyBorder="1" applyAlignment="1">
      <alignment horizontal="center"/>
    </xf>
    <xf numFmtId="0" fontId="2" fillId="0" borderId="50" xfId="47" applyBorder="1" applyAlignment="1">
      <alignment horizontal="center"/>
    </xf>
    <xf numFmtId="0" fontId="84" fillId="50" borderId="243" xfId="47" applyFont="1" applyFill="1" applyBorder="1" applyAlignment="1">
      <alignment horizontal="center"/>
    </xf>
    <xf numFmtId="203" fontId="88" fillId="53" borderId="229" xfId="47" applyNumberFormat="1" applyFont="1" applyFill="1" applyBorder="1" applyAlignment="1" applyProtection="1">
      <alignment horizontal="center"/>
      <protection locked="0"/>
    </xf>
    <xf numFmtId="203" fontId="88" fillId="53" borderId="243" xfId="47" applyNumberFormat="1" applyFont="1" applyFill="1" applyBorder="1" applyAlignment="1" applyProtection="1">
      <alignment horizontal="center"/>
      <protection locked="0"/>
    </xf>
    <xf numFmtId="203" fontId="88" fillId="53" borderId="47" xfId="47" applyNumberFormat="1" applyFont="1" applyFill="1" applyBorder="1" applyAlignment="1" applyProtection="1">
      <alignment horizontal="center"/>
      <protection locked="0"/>
    </xf>
    <xf numFmtId="203" fontId="88" fillId="53" borderId="148" xfId="47" applyNumberFormat="1" applyFont="1" applyFill="1" applyBorder="1" applyAlignment="1" applyProtection="1">
      <alignment horizontal="center"/>
      <protection locked="0"/>
    </xf>
    <xf numFmtId="203" fontId="88" fillId="53" borderId="48" xfId="47" applyNumberFormat="1" applyFont="1" applyFill="1" applyBorder="1" applyAlignment="1" applyProtection="1">
      <alignment horizontal="center"/>
      <protection locked="0"/>
    </xf>
    <xf numFmtId="0" fontId="94" fillId="50" borderId="143" xfId="47" applyFont="1" applyFill="1" applyBorder="1" applyAlignment="1">
      <alignment horizontal="center"/>
    </xf>
    <xf numFmtId="0" fontId="94" fillId="50" borderId="194" xfId="47" applyFont="1" applyFill="1" applyBorder="1" applyAlignment="1">
      <alignment horizontal="center"/>
    </xf>
    <xf numFmtId="0" fontId="94" fillId="50" borderId="195" xfId="47" applyFont="1" applyFill="1" applyBorder="1" applyAlignment="1">
      <alignment horizontal="center"/>
    </xf>
    <xf numFmtId="0" fontId="84" fillId="50" borderId="152" xfId="47" applyFont="1" applyFill="1" applyBorder="1" applyAlignment="1">
      <alignment horizontal="right"/>
    </xf>
    <xf numFmtId="0" fontId="84" fillId="50" borderId="226" xfId="47" applyFont="1" applyFill="1" applyBorder="1" applyAlignment="1">
      <alignment horizontal="right"/>
    </xf>
    <xf numFmtId="0" fontId="2" fillId="0" borderId="229" xfId="47" applyBorder="1" applyAlignment="1">
      <alignment horizontal="center"/>
    </xf>
    <xf numFmtId="0" fontId="2" fillId="0" borderId="215" xfId="47" applyBorder="1" applyAlignment="1">
      <alignment horizontal="center"/>
    </xf>
    <xf numFmtId="0" fontId="2" fillId="0" borderId="216" xfId="47" applyBorder="1" applyAlignment="1">
      <alignment horizontal="center"/>
    </xf>
    <xf numFmtId="0" fontId="84" fillId="50" borderId="150" xfId="47" applyFont="1" applyFill="1" applyBorder="1" applyAlignment="1">
      <alignment horizontal="center"/>
    </xf>
    <xf numFmtId="0" fontId="84" fillId="50" borderId="50" xfId="47" applyFont="1" applyFill="1" applyBorder="1" applyAlignment="1">
      <alignment horizontal="center"/>
    </xf>
    <xf numFmtId="0" fontId="2" fillId="53" borderId="148" xfId="47" applyFill="1" applyBorder="1" applyAlignment="1" applyProtection="1">
      <alignment horizontal="center"/>
      <protection locked="0"/>
    </xf>
    <xf numFmtId="0" fontId="2" fillId="53" borderId="48" xfId="47" applyFill="1" applyBorder="1" applyAlignment="1" applyProtection="1">
      <alignment horizontal="center"/>
      <protection locked="0"/>
    </xf>
    <xf numFmtId="186" fontId="2" fillId="53" borderId="223" xfId="47" applyNumberFormat="1" applyFill="1" applyBorder="1" applyAlignment="1" applyProtection="1">
      <alignment horizontal="center"/>
      <protection locked="0"/>
    </xf>
    <xf numFmtId="186" fontId="2" fillId="53" borderId="224" xfId="47" applyNumberFormat="1" applyFill="1" applyBorder="1" applyAlignment="1" applyProtection="1">
      <alignment horizontal="center"/>
      <protection locked="0"/>
    </xf>
    <xf numFmtId="166" fontId="2" fillId="53" borderId="177" xfId="47" applyNumberFormat="1" applyFill="1" applyBorder="1" applyAlignment="1" applyProtection="1">
      <alignment horizontal="left"/>
      <protection locked="0"/>
    </xf>
    <xf numFmtId="166" fontId="2" fillId="53" borderId="217" xfId="47" applyNumberFormat="1" applyFill="1" applyBorder="1" applyAlignment="1" applyProtection="1">
      <alignment horizontal="left"/>
      <protection locked="0"/>
    </xf>
    <xf numFmtId="0" fontId="2" fillId="0" borderId="227" xfId="47" applyBorder="1" applyAlignment="1">
      <alignment horizontal="center"/>
    </xf>
    <xf numFmtId="166" fontId="2" fillId="53" borderId="218" xfId="47" applyNumberFormat="1" applyFill="1" applyBorder="1" applyAlignment="1" applyProtection="1">
      <alignment horizontal="left"/>
      <protection locked="0"/>
    </xf>
    <xf numFmtId="166" fontId="2" fillId="53" borderId="223" xfId="47" applyNumberFormat="1" applyFill="1" applyBorder="1" applyAlignment="1" applyProtection="1">
      <alignment horizontal="left"/>
      <protection locked="0"/>
    </xf>
    <xf numFmtId="166" fontId="2" fillId="0" borderId="228" xfId="47" applyNumberFormat="1" applyBorder="1" applyAlignment="1" applyProtection="1">
      <alignment horizontal="left"/>
      <protection locked="0"/>
    </xf>
    <xf numFmtId="166" fontId="2" fillId="0" borderId="194" xfId="47" applyNumberFormat="1" applyBorder="1" applyAlignment="1" applyProtection="1">
      <alignment horizontal="left"/>
      <protection locked="0"/>
    </xf>
    <xf numFmtId="166" fontId="2" fillId="53" borderId="113" xfId="47" applyNumberFormat="1" applyFill="1" applyBorder="1" applyAlignment="1" applyProtection="1">
      <alignment horizontal="left"/>
      <protection locked="0"/>
    </xf>
    <xf numFmtId="166" fontId="2" fillId="0" borderId="218" xfId="47" applyNumberFormat="1" applyBorder="1" applyAlignment="1" applyProtection="1">
      <alignment horizontal="left"/>
      <protection locked="0"/>
    </xf>
    <xf numFmtId="166" fontId="2" fillId="0" borderId="224" xfId="47" applyNumberFormat="1" applyBorder="1" applyAlignment="1" applyProtection="1">
      <alignment horizontal="left"/>
      <protection locked="0"/>
    </xf>
    <xf numFmtId="0" fontId="2" fillId="0" borderId="234" xfId="47" applyBorder="1" applyAlignment="1" applyProtection="1">
      <alignment horizontal="center"/>
      <protection locked="0"/>
    </xf>
    <xf numFmtId="0" fontId="2" fillId="0" borderId="230" xfId="47" applyBorder="1" applyAlignment="1" applyProtection="1">
      <alignment horizontal="center"/>
      <protection locked="0"/>
    </xf>
    <xf numFmtId="0" fontId="2" fillId="0" borderId="235" xfId="47" applyBorder="1" applyAlignment="1" applyProtection="1">
      <alignment horizontal="center"/>
      <protection locked="0"/>
    </xf>
    <xf numFmtId="0" fontId="2" fillId="0" borderId="236" xfId="47" applyBorder="1" applyAlignment="1" applyProtection="1">
      <alignment horizontal="center"/>
      <protection locked="0"/>
    </xf>
    <xf numFmtId="0" fontId="2" fillId="0" borderId="237" xfId="47" applyBorder="1" applyAlignment="1" applyProtection="1">
      <alignment horizontal="center"/>
      <protection locked="0"/>
    </xf>
    <xf numFmtId="0" fontId="2" fillId="0" borderId="238" xfId="47" applyBorder="1" applyAlignment="1" applyProtection="1">
      <alignment horizontal="center"/>
      <protection locked="0"/>
    </xf>
    <xf numFmtId="0" fontId="89" fillId="48" borderId="148" xfId="47" applyFont="1" applyFill="1" applyBorder="1" applyAlignment="1">
      <alignment horizontal="center"/>
    </xf>
    <xf numFmtId="0" fontId="89" fillId="48" borderId="48" xfId="47" applyFont="1" applyFill="1" applyBorder="1" applyAlignment="1">
      <alignment horizontal="center"/>
    </xf>
    <xf numFmtId="0" fontId="88" fillId="0" borderId="151" xfId="47" applyFont="1" applyBorder="1" applyAlignment="1">
      <alignment horizontal="center"/>
    </xf>
    <xf numFmtId="0" fontId="88" fillId="0" borderId="227" xfId="47" applyFont="1" applyBorder="1" applyAlignment="1">
      <alignment horizontal="center"/>
    </xf>
    <xf numFmtId="0" fontId="94" fillId="50" borderId="290" xfId="47" applyFont="1" applyFill="1" applyBorder="1" applyAlignment="1">
      <alignment horizontal="center" vertical="center"/>
    </xf>
    <xf numFmtId="0" fontId="2" fillId="0" borderId="218" xfId="47" applyBorder="1" applyAlignment="1" applyProtection="1">
      <alignment horizontal="left"/>
      <protection locked="0"/>
    </xf>
    <xf numFmtId="0" fontId="2" fillId="0" borderId="224" xfId="47" applyBorder="1" applyAlignment="1" applyProtection="1">
      <alignment horizontal="left"/>
      <protection locked="0"/>
    </xf>
    <xf numFmtId="0" fontId="84" fillId="50" borderId="269" xfId="47" applyFont="1" applyFill="1" applyBorder="1" applyAlignment="1">
      <alignment horizontal="left"/>
    </xf>
    <xf numFmtId="0" fontId="84" fillId="50" borderId="270" xfId="47" applyFont="1" applyFill="1" applyBorder="1" applyAlignment="1">
      <alignment horizontal="left"/>
    </xf>
    <xf numFmtId="0" fontId="84" fillId="50" borderId="292" xfId="47" applyFont="1" applyFill="1" applyBorder="1" applyAlignment="1">
      <alignment horizontal="left"/>
    </xf>
    <xf numFmtId="0" fontId="88" fillId="51" borderId="285" xfId="47" applyFont="1" applyFill="1" applyBorder="1" applyAlignment="1">
      <alignment horizontal="center"/>
    </xf>
    <xf numFmtId="0" fontId="88" fillId="51" borderId="271" xfId="47" applyFont="1" applyFill="1" applyBorder="1" applyAlignment="1">
      <alignment horizontal="center"/>
    </xf>
    <xf numFmtId="0" fontId="89" fillId="43" borderId="194" xfId="47" applyFont="1" applyFill="1" applyBorder="1" applyAlignment="1">
      <alignment horizontal="center"/>
    </xf>
    <xf numFmtId="0" fontId="7" fillId="0" borderId="143" xfId="47" applyFont="1" applyBorder="1" applyAlignment="1">
      <alignment horizontal="center"/>
    </xf>
    <xf numFmtId="0" fontId="7" fillId="0" borderId="194" xfId="47" applyFont="1" applyBorder="1" applyAlignment="1">
      <alignment horizontal="center"/>
    </xf>
    <xf numFmtId="0" fontId="7" fillId="0" borderId="291" xfId="47" applyFont="1" applyBorder="1" applyAlignment="1">
      <alignment horizontal="center"/>
    </xf>
    <xf numFmtId="0" fontId="89" fillId="48" borderId="143" xfId="47" applyFont="1" applyFill="1" applyBorder="1" applyAlignment="1">
      <alignment horizontal="center" vertical="center"/>
    </xf>
    <xf numFmtId="0" fontId="89" fillId="48" borderId="194" xfId="47" applyFont="1" applyFill="1" applyBorder="1" applyAlignment="1">
      <alignment horizontal="center" vertical="center"/>
    </xf>
    <xf numFmtId="0" fontId="89" fillId="48" borderId="195" xfId="47" applyFont="1" applyFill="1" applyBorder="1" applyAlignment="1">
      <alignment horizontal="center" vertical="center"/>
    </xf>
    <xf numFmtId="0" fontId="2" fillId="0" borderId="274" xfId="47" applyBorder="1" applyAlignment="1" applyProtection="1">
      <alignment horizontal="center"/>
      <protection locked="0"/>
    </xf>
    <xf numFmtId="0" fontId="2" fillId="0" borderId="273" xfId="47" applyBorder="1" applyAlignment="1" applyProtection="1">
      <alignment horizontal="center"/>
      <protection locked="0"/>
    </xf>
    <xf numFmtId="0" fontId="2" fillId="0" borderId="275" xfId="47" applyBorder="1" applyAlignment="1" applyProtection="1">
      <alignment horizontal="center"/>
      <protection locked="0"/>
    </xf>
    <xf numFmtId="0" fontId="2" fillId="0" borderId="13" xfId="47" applyBorder="1" applyAlignment="1" applyProtection="1">
      <alignment horizontal="center"/>
      <protection locked="0"/>
    </xf>
    <xf numFmtId="0" fontId="2" fillId="0" borderId="14" xfId="47" applyBorder="1" applyAlignment="1" applyProtection="1">
      <alignment horizontal="center"/>
      <protection locked="0"/>
    </xf>
    <xf numFmtId="0" fontId="2" fillId="0" borderId="15" xfId="47" applyBorder="1" applyAlignment="1" applyProtection="1">
      <alignment horizontal="center"/>
      <protection locked="0"/>
    </xf>
    <xf numFmtId="0" fontId="95" fillId="48" borderId="143" xfId="47" applyFont="1" applyFill="1" applyBorder="1" applyAlignment="1">
      <alignment horizontal="center"/>
    </xf>
    <xf numFmtId="0" fontId="95" fillId="48" borderId="194" xfId="47" applyFont="1" applyFill="1" applyBorder="1" applyAlignment="1">
      <alignment horizontal="center"/>
    </xf>
    <xf numFmtId="0" fontId="95" fillId="48" borderId="195" xfId="47" applyFont="1" applyFill="1" applyBorder="1" applyAlignment="1">
      <alignment horizontal="center"/>
    </xf>
    <xf numFmtId="9" fontId="0" fillId="0" borderId="246" xfId="38" applyFont="1" applyBorder="1" applyAlignment="1" applyProtection="1">
      <alignment horizontal="center"/>
      <protection locked="0"/>
    </xf>
    <xf numFmtId="9" fontId="0" fillId="0" borderId="251" xfId="38" applyFont="1" applyBorder="1" applyAlignment="1" applyProtection="1">
      <alignment horizontal="center"/>
      <protection locked="0"/>
    </xf>
    <xf numFmtId="0" fontId="5" fillId="51" borderId="297" xfId="47" applyFont="1" applyFill="1" applyBorder="1" applyAlignment="1">
      <alignment horizontal="center"/>
    </xf>
    <xf numFmtId="0" fontId="5" fillId="51" borderId="298" xfId="47" applyFont="1" applyFill="1" applyBorder="1" applyAlignment="1">
      <alignment horizontal="center"/>
    </xf>
    <xf numFmtId="0" fontId="77" fillId="51" borderId="298" xfId="47" applyFont="1" applyFill="1" applyBorder="1" applyAlignment="1">
      <alignment horizontal="center"/>
    </xf>
    <xf numFmtId="0" fontId="88" fillId="55" borderId="285" xfId="47" applyFont="1" applyFill="1" applyBorder="1" applyAlignment="1">
      <alignment horizontal="center"/>
    </xf>
    <xf numFmtId="0" fontId="88" fillId="55" borderId="271" xfId="47" applyFont="1" applyFill="1" applyBorder="1" applyAlignment="1">
      <alignment horizontal="center"/>
    </xf>
    <xf numFmtId="0" fontId="88" fillId="51" borderId="245" xfId="47" applyFont="1" applyFill="1" applyBorder="1" applyAlignment="1">
      <alignment horizontal="center"/>
    </xf>
    <xf numFmtId="0" fontId="88" fillId="51" borderId="296" xfId="47" applyFont="1" applyFill="1" applyBorder="1" applyAlignment="1">
      <alignment horizontal="center"/>
    </xf>
    <xf numFmtId="0" fontId="88" fillId="51" borderId="275" xfId="47" applyFont="1" applyFill="1" applyBorder="1" applyAlignment="1">
      <alignment horizontal="center"/>
    </xf>
    <xf numFmtId="0" fontId="84" fillId="50" borderId="279" xfId="47" applyFont="1" applyFill="1" applyBorder="1" applyAlignment="1">
      <alignment horizontal="left"/>
    </xf>
    <xf numFmtId="0" fontId="84" fillId="50" borderId="280" xfId="47" applyFont="1" applyFill="1" applyBorder="1" applyAlignment="1">
      <alignment horizontal="left"/>
    </xf>
    <xf numFmtId="0" fontId="88" fillId="0" borderId="240" xfId="47" applyFont="1" applyBorder="1" applyAlignment="1">
      <alignment horizontal="center"/>
    </xf>
    <xf numFmtId="0" fontId="88" fillId="0" borderId="248" xfId="47" applyFont="1" applyBorder="1" applyAlignment="1">
      <alignment horizontal="center"/>
    </xf>
    <xf numFmtId="0" fontId="92" fillId="53" borderId="148" xfId="47" applyFont="1" applyFill="1" applyBorder="1" applyAlignment="1" applyProtection="1">
      <alignment horizontal="center"/>
      <protection locked="0"/>
    </xf>
    <xf numFmtId="0" fontId="92" fillId="53" borderId="148" xfId="47" applyFont="1" applyFill="1" applyBorder="1" applyAlignment="1">
      <alignment horizontal="center"/>
    </xf>
    <xf numFmtId="0" fontId="11" fillId="0" borderId="156" xfId="0" applyFont="1" applyBorder="1" applyAlignment="1" applyProtection="1">
      <alignment horizontal="center"/>
      <protection hidden="1"/>
    </xf>
    <xf numFmtId="0" fontId="14" fillId="0" borderId="87" xfId="0" applyFont="1" applyBorder="1" applyAlignment="1" applyProtection="1">
      <alignment horizontal="center"/>
      <protection hidden="1"/>
    </xf>
    <xf numFmtId="0" fontId="14" fillId="0" borderId="160" xfId="0" applyFont="1" applyBorder="1" applyAlignment="1" applyProtection="1">
      <alignment horizontal="left"/>
      <protection hidden="1"/>
    </xf>
    <xf numFmtId="0" fontId="14" fillId="0" borderId="87" xfId="0" applyFont="1" applyBorder="1" applyAlignment="1" applyProtection="1">
      <alignment horizontal="left"/>
      <protection hidden="1"/>
    </xf>
    <xf numFmtId="0" fontId="14" fillId="0" borderId="173" xfId="0" applyFont="1" applyBorder="1" applyAlignment="1" applyProtection="1">
      <alignment horizontal="left"/>
      <protection hidden="1"/>
    </xf>
    <xf numFmtId="0" fontId="9" fillId="0" borderId="96" xfId="0" applyFont="1" applyBorder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149" xfId="0" applyFont="1" applyBorder="1" applyAlignment="1" applyProtection="1">
      <alignment horizontal="center"/>
      <protection hidden="1"/>
    </xf>
    <xf numFmtId="0" fontId="6" fillId="0" borderId="174" xfId="0" applyFont="1" applyBorder="1" applyAlignment="1" applyProtection="1">
      <alignment horizontal="center"/>
      <protection hidden="1"/>
    </xf>
    <xf numFmtId="0" fontId="7" fillId="0" borderId="0" xfId="0" applyFont="1" applyAlignment="1" applyProtection="1">
      <alignment horizontal="center"/>
      <protection hidden="1"/>
    </xf>
    <xf numFmtId="0" fontId="8" fillId="27" borderId="92" xfId="0" applyFont="1" applyFill="1" applyBorder="1" applyAlignment="1" applyProtection="1">
      <alignment horizontal="center"/>
      <protection hidden="1"/>
    </xf>
    <xf numFmtId="0" fontId="8" fillId="27" borderId="93" xfId="0" applyFont="1" applyFill="1" applyBorder="1" applyAlignment="1" applyProtection="1">
      <alignment horizontal="center"/>
      <protection hidden="1"/>
    </xf>
    <xf numFmtId="0" fontId="8" fillId="27" borderId="94" xfId="0" applyFont="1" applyFill="1" applyBorder="1" applyAlignment="1" applyProtection="1">
      <alignment horizontal="center"/>
      <protection hidden="1"/>
    </xf>
    <xf numFmtId="0" fontId="10" fillId="27" borderId="167" xfId="0" applyFont="1" applyFill="1" applyBorder="1" applyAlignment="1" applyProtection="1">
      <alignment horizontal="center"/>
      <protection hidden="1"/>
    </xf>
    <xf numFmtId="0" fontId="10" fillId="27" borderId="106" xfId="0" applyFont="1" applyFill="1" applyBorder="1" applyAlignment="1" applyProtection="1">
      <alignment horizontal="center"/>
      <protection hidden="1"/>
    </xf>
    <xf numFmtId="0" fontId="7" fillId="27" borderId="47" xfId="0" applyFont="1" applyFill="1" applyBorder="1" applyAlignment="1" applyProtection="1">
      <alignment horizontal="center"/>
      <protection hidden="1"/>
    </xf>
    <xf numFmtId="0" fontId="7" fillId="27" borderId="148" xfId="0" applyFont="1" applyFill="1" applyBorder="1" applyAlignment="1" applyProtection="1">
      <alignment horizontal="center"/>
      <protection hidden="1"/>
    </xf>
    <xf numFmtId="0" fontId="7" fillId="27" borderId="48" xfId="0" applyFont="1" applyFill="1" applyBorder="1" applyAlignment="1" applyProtection="1">
      <alignment horizontal="center"/>
      <protection hidden="1"/>
    </xf>
    <xf numFmtId="0" fontId="8" fillId="0" borderId="96" xfId="0" applyFont="1" applyBorder="1" applyAlignment="1" applyProtection="1">
      <alignment horizontal="center"/>
      <protection hidden="1"/>
    </xf>
    <xf numFmtId="0" fontId="8" fillId="0" borderId="172" xfId="0" applyFont="1" applyBorder="1" applyAlignment="1" applyProtection="1">
      <alignment horizontal="center"/>
      <protection hidden="1"/>
    </xf>
    <xf numFmtId="0" fontId="10" fillId="27" borderId="47" xfId="0" applyFont="1" applyFill="1" applyBorder="1" applyAlignment="1" applyProtection="1">
      <alignment horizontal="center" vertical="center" wrapText="1"/>
      <protection hidden="1"/>
    </xf>
    <xf numFmtId="0" fontId="0" fillId="0" borderId="148" xfId="0" applyBorder="1" applyAlignment="1" applyProtection="1">
      <alignment horizontal="center" vertical="center" wrapText="1"/>
      <protection hidden="1"/>
    </xf>
    <xf numFmtId="0" fontId="0" fillId="0" borderId="48" xfId="0" applyBorder="1" applyAlignment="1" applyProtection="1">
      <alignment horizontal="center" vertical="center" wrapText="1"/>
      <protection hidden="1"/>
    </xf>
    <xf numFmtId="0" fontId="0" fillId="0" borderId="202" xfId="0" applyBorder="1" applyAlignment="1" applyProtection="1">
      <alignment horizontal="center" vertical="center" wrapText="1"/>
      <protection hidden="1"/>
    </xf>
    <xf numFmtId="0" fontId="0" fillId="0" borderId="175" xfId="0" applyBorder="1" applyAlignment="1" applyProtection="1">
      <alignment horizontal="center" vertical="center" wrapText="1"/>
      <protection hidden="1"/>
    </xf>
    <xf numFmtId="0" fontId="0" fillId="0" borderId="203" xfId="0" applyBorder="1" applyAlignment="1" applyProtection="1">
      <alignment horizontal="center" vertical="center" wrapText="1"/>
      <protection hidden="1"/>
    </xf>
    <xf numFmtId="0" fontId="14" fillId="0" borderId="79" xfId="0" applyFont="1" applyBorder="1" applyAlignment="1" applyProtection="1">
      <alignment horizontal="center"/>
      <protection hidden="1"/>
    </xf>
    <xf numFmtId="174" fontId="14" fillId="0" borderId="89" xfId="0" applyNumberFormat="1" applyFont="1" applyBorder="1" applyAlignment="1" applyProtection="1">
      <alignment horizontal="left"/>
      <protection hidden="1"/>
    </xf>
    <xf numFmtId="0" fontId="14" fillId="0" borderId="90" xfId="0" applyFont="1" applyBorder="1" applyAlignment="1" applyProtection="1">
      <alignment horizontal="left"/>
      <protection hidden="1"/>
    </xf>
    <xf numFmtId="0" fontId="14" fillId="0" borderId="176" xfId="0" applyFont="1" applyBorder="1" applyAlignment="1" applyProtection="1">
      <alignment horizontal="left"/>
      <protection hidden="1"/>
    </xf>
    <xf numFmtId="0" fontId="18" fillId="0" borderId="96" xfId="0" applyFont="1" applyBorder="1" applyAlignment="1" applyProtection="1">
      <alignment horizontal="center"/>
      <protection hidden="1"/>
    </xf>
    <xf numFmtId="0" fontId="18" fillId="0" borderId="172" xfId="0" applyFont="1" applyBorder="1" applyAlignment="1" applyProtection="1">
      <alignment horizontal="center"/>
      <protection hidden="1"/>
    </xf>
    <xf numFmtId="20" fontId="14" fillId="0" borderId="156" xfId="0" applyNumberFormat="1" applyFont="1" applyBorder="1" applyAlignment="1" applyProtection="1">
      <alignment horizontal="center"/>
      <protection hidden="1"/>
    </xf>
    <xf numFmtId="20" fontId="14" fillId="0" borderId="161" xfId="0" applyNumberFormat="1" applyFont="1" applyBorder="1" applyAlignment="1" applyProtection="1">
      <alignment horizontal="center"/>
      <protection hidden="1"/>
    </xf>
    <xf numFmtId="0" fontId="7" fillId="27" borderId="92" xfId="0" applyFont="1" applyFill="1" applyBorder="1" applyAlignment="1" applyProtection="1">
      <alignment horizontal="center"/>
      <protection hidden="1"/>
    </xf>
    <xf numFmtId="0" fontId="7" fillId="27" borderId="93" xfId="0" applyFont="1" applyFill="1" applyBorder="1" applyAlignment="1" applyProtection="1">
      <alignment horizontal="center"/>
      <protection hidden="1"/>
    </xf>
    <xf numFmtId="0" fontId="7" fillId="27" borderId="94" xfId="0" applyFont="1" applyFill="1" applyBorder="1" applyAlignment="1" applyProtection="1">
      <alignment horizontal="center"/>
      <protection hidden="1"/>
    </xf>
    <xf numFmtId="168" fontId="3" fillId="0" borderId="157" xfId="0" applyNumberFormat="1" applyFont="1" applyBorder="1" applyAlignment="1" applyProtection="1">
      <alignment horizontal="left"/>
      <protection hidden="1"/>
    </xf>
    <xf numFmtId="168" fontId="14" fillId="0" borderId="158" xfId="0" applyNumberFormat="1" applyFont="1" applyBorder="1" applyAlignment="1" applyProtection="1">
      <alignment horizontal="left"/>
      <protection hidden="1"/>
    </xf>
    <xf numFmtId="168" fontId="14" fillId="0" borderId="159" xfId="0" applyNumberFormat="1" applyFont="1" applyBorder="1" applyAlignment="1" applyProtection="1">
      <alignment horizontal="left"/>
      <protection hidden="1"/>
    </xf>
    <xf numFmtId="0" fontId="19" fillId="24" borderId="57" xfId="0" applyFont="1" applyFill="1" applyBorder="1" applyAlignment="1" applyProtection="1">
      <alignment horizontal="center" vertical="center" wrapText="1"/>
      <protection hidden="1"/>
    </xf>
    <xf numFmtId="0" fontId="19" fillId="24" borderId="162" xfId="0" applyFont="1" applyFill="1" applyBorder="1" applyAlignment="1" applyProtection="1">
      <alignment horizontal="center" vertical="center" wrapText="1"/>
      <protection hidden="1"/>
    </xf>
    <xf numFmtId="0" fontId="24" fillId="27" borderId="167" xfId="0" applyFont="1" applyFill="1" applyBorder="1" applyAlignment="1" applyProtection="1">
      <alignment horizontal="center"/>
      <protection hidden="1"/>
    </xf>
    <xf numFmtId="0" fontId="24" fillId="27" borderId="168" xfId="0" applyFont="1" applyFill="1" applyBorder="1" applyAlignment="1" applyProtection="1">
      <alignment horizontal="center"/>
      <protection hidden="1"/>
    </xf>
    <xf numFmtId="171" fontId="3" fillId="0" borderId="160" xfId="0" applyNumberFormat="1" applyFont="1" applyBorder="1" applyAlignment="1" applyProtection="1">
      <alignment horizontal="left"/>
      <protection hidden="1"/>
    </xf>
    <xf numFmtId="171" fontId="14" fillId="0" borderId="87" xfId="0" applyNumberFormat="1" applyFont="1" applyBorder="1" applyAlignment="1" applyProtection="1">
      <alignment horizontal="left"/>
      <protection hidden="1"/>
    </xf>
    <xf numFmtId="171" fontId="14" fillId="0" borderId="173" xfId="0" applyNumberFormat="1" applyFont="1" applyBorder="1" applyAlignment="1" applyProtection="1">
      <alignment horizontal="left"/>
      <protection hidden="1"/>
    </xf>
    <xf numFmtId="166" fontId="7" fillId="27" borderId="104" xfId="0" applyNumberFormat="1" applyFont="1" applyFill="1" applyBorder="1" applyAlignment="1" applyProtection="1">
      <alignment horizontal="center"/>
      <protection hidden="1"/>
    </xf>
    <xf numFmtId="166" fontId="7" fillId="27" borderId="105" xfId="0" applyNumberFormat="1" applyFont="1" applyFill="1" applyBorder="1" applyAlignment="1" applyProtection="1">
      <alignment horizontal="center"/>
      <protection hidden="1"/>
    </xf>
    <xf numFmtId="0" fontId="10" fillId="0" borderId="79" xfId="0" applyFont="1" applyBorder="1" applyAlignment="1" applyProtection="1">
      <alignment horizontal="center"/>
      <protection hidden="1"/>
    </xf>
    <xf numFmtId="168" fontId="14" fillId="0" borderId="160" xfId="0" applyNumberFormat="1" applyFont="1" applyBorder="1" applyAlignment="1" applyProtection="1">
      <alignment horizontal="left"/>
      <protection hidden="1"/>
    </xf>
    <xf numFmtId="44" fontId="10" fillId="32" borderId="57" xfId="25" applyFont="1" applyFill="1" applyBorder="1" applyAlignment="1" applyProtection="1">
      <alignment vertical="center"/>
      <protection hidden="1"/>
    </xf>
    <xf numFmtId="44" fontId="10" fillId="32" borderId="162" xfId="25" applyFont="1" applyFill="1" applyBorder="1" applyAlignment="1" applyProtection="1">
      <alignment vertical="center"/>
      <protection hidden="1"/>
    </xf>
    <xf numFmtId="44" fontId="10" fillId="32" borderId="67" xfId="25" applyFont="1" applyFill="1" applyBorder="1" applyAlignment="1" applyProtection="1">
      <alignment vertical="center"/>
      <protection hidden="1"/>
    </xf>
    <xf numFmtId="44" fontId="10" fillId="32" borderId="163" xfId="25" applyFont="1" applyFill="1" applyBorder="1" applyAlignment="1" applyProtection="1">
      <alignment vertical="center"/>
      <protection hidden="1"/>
    </xf>
    <xf numFmtId="0" fontId="7" fillId="27" borderId="164" xfId="0" applyFont="1" applyFill="1" applyBorder="1" applyAlignment="1" applyProtection="1">
      <alignment horizontal="center"/>
      <protection hidden="1"/>
    </xf>
    <xf numFmtId="0" fontId="7" fillId="27" borderId="165" xfId="0" applyFont="1" applyFill="1" applyBorder="1" applyAlignment="1" applyProtection="1">
      <alignment horizontal="center"/>
      <protection hidden="1"/>
    </xf>
    <xf numFmtId="0" fontId="7" fillId="27" borderId="166" xfId="0" applyFont="1" applyFill="1" applyBorder="1" applyAlignment="1" applyProtection="1">
      <alignment horizontal="center"/>
      <protection hidden="1"/>
    </xf>
    <xf numFmtId="166" fontId="25" fillId="27" borderId="169" xfId="0" applyNumberFormat="1" applyFont="1" applyFill="1" applyBorder="1" applyAlignment="1" applyProtection="1">
      <alignment horizontal="center"/>
      <protection hidden="1"/>
    </xf>
    <xf numFmtId="166" fontId="25" fillId="27" borderId="170" xfId="0" applyNumberFormat="1" applyFont="1" applyFill="1" applyBorder="1" applyAlignment="1" applyProtection="1">
      <alignment horizontal="center"/>
      <protection hidden="1"/>
    </xf>
    <xf numFmtId="166" fontId="25" fillId="27" borderId="171" xfId="0" applyNumberFormat="1" applyFont="1" applyFill="1" applyBorder="1" applyAlignment="1" applyProtection="1">
      <alignment horizontal="center"/>
      <protection hidden="1"/>
    </xf>
    <xf numFmtId="0" fontId="10" fillId="27" borderId="105" xfId="0" applyFont="1" applyFill="1" applyBorder="1" applyAlignment="1" applyProtection="1">
      <alignment horizontal="center"/>
      <protection hidden="1"/>
    </xf>
    <xf numFmtId="0" fontId="7" fillId="0" borderId="193" xfId="0" applyFont="1" applyBorder="1" applyAlignment="1" applyProtection="1">
      <alignment horizontal="center" vertical="center" wrapText="1"/>
      <protection hidden="1"/>
    </xf>
    <xf numFmtId="0" fontId="7" fillId="0" borderId="146" xfId="0" applyFont="1" applyBorder="1" applyAlignment="1" applyProtection="1">
      <alignment horizontal="center" vertical="center" wrapText="1"/>
      <protection hidden="1"/>
    </xf>
    <xf numFmtId="0" fontId="78" fillId="0" borderId="143" xfId="0" applyFont="1" applyBorder="1" applyAlignment="1" applyProtection="1">
      <alignment horizontal="center"/>
      <protection hidden="1"/>
    </xf>
    <xf numFmtId="0" fontId="78" fillId="0" borderId="194" xfId="0" applyFont="1" applyBorder="1" applyAlignment="1" applyProtection="1">
      <alignment horizontal="center"/>
      <protection hidden="1"/>
    </xf>
    <xf numFmtId="0" fontId="78" fillId="0" borderId="195" xfId="0" applyFont="1" applyBorder="1" applyAlignment="1" applyProtection="1">
      <alignment horizontal="center"/>
      <protection hidden="1"/>
    </xf>
    <xf numFmtId="0" fontId="78" fillId="45" borderId="194" xfId="0" applyFont="1" applyFill="1" applyBorder="1" applyAlignment="1" applyProtection="1">
      <alignment horizontal="center"/>
      <protection hidden="1"/>
    </xf>
    <xf numFmtId="0" fontId="78" fillId="45" borderId="143" xfId="0" applyFont="1" applyFill="1" applyBorder="1" applyAlignment="1" applyProtection="1">
      <alignment horizontal="center"/>
      <protection hidden="1"/>
    </xf>
    <xf numFmtId="0" fontId="78" fillId="45" borderId="195" xfId="0" applyFont="1" applyFill="1" applyBorder="1" applyAlignment="1" applyProtection="1">
      <alignment horizontal="center"/>
      <protection hidden="1"/>
    </xf>
    <xf numFmtId="0" fontId="8" fillId="44" borderId="50" xfId="0" applyFont="1" applyFill="1" applyBorder="1" applyAlignment="1" applyProtection="1">
      <alignment horizontal="center" vertical="center" wrapText="1"/>
      <protection hidden="1"/>
    </xf>
    <xf numFmtId="0" fontId="7" fillId="44" borderId="50" xfId="0" applyFont="1" applyFill="1" applyBorder="1" applyAlignment="1" applyProtection="1">
      <alignment horizontal="center" vertical="center"/>
      <protection hidden="1"/>
    </xf>
    <xf numFmtId="0" fontId="7" fillId="44" borderId="177" xfId="0" applyFont="1" applyFill="1" applyBorder="1" applyAlignment="1" applyProtection="1">
      <alignment horizontal="center" vertical="center"/>
      <protection hidden="1"/>
    </xf>
    <xf numFmtId="0" fontId="7" fillId="44" borderId="113" xfId="0" applyFont="1" applyFill="1" applyBorder="1" applyAlignment="1" applyProtection="1">
      <alignment horizontal="center" vertical="center"/>
      <protection hidden="1"/>
    </xf>
    <xf numFmtId="0" fontId="7" fillId="44" borderId="213" xfId="0" applyFont="1" applyFill="1" applyBorder="1" applyAlignment="1" applyProtection="1">
      <alignment horizontal="center" vertical="center"/>
      <protection hidden="1"/>
    </xf>
    <xf numFmtId="0" fontId="83" fillId="0" borderId="0" xfId="0" applyFont="1" applyAlignment="1" applyProtection="1">
      <alignment horizontal="left" vertical="center" wrapText="1"/>
      <protection hidden="1"/>
    </xf>
    <xf numFmtId="0" fontId="83" fillId="0" borderId="0" xfId="0" applyFont="1" applyAlignment="1" applyProtection="1">
      <alignment horizontal="left"/>
      <protection hidden="1"/>
    </xf>
    <xf numFmtId="0" fontId="7" fillId="44" borderId="50" xfId="0" applyFont="1" applyFill="1" applyBorder="1" applyAlignment="1" applyProtection="1">
      <alignment horizontal="center"/>
      <protection hidden="1"/>
    </xf>
    <xf numFmtId="0" fontId="59" fillId="0" borderId="0" xfId="0" applyFont="1" applyAlignment="1" applyProtection="1">
      <alignment horizontal="center" vertical="center"/>
      <protection hidden="1"/>
    </xf>
    <xf numFmtId="0" fontId="5" fillId="0" borderId="10" xfId="0" applyFont="1" applyBorder="1" applyAlignment="1" applyProtection="1">
      <alignment horizontal="center" vertical="center" wrapText="1"/>
      <protection hidden="1"/>
    </xf>
    <xf numFmtId="0" fontId="5" fillId="0" borderId="0" xfId="0" applyFont="1" applyAlignment="1" applyProtection="1">
      <alignment horizontal="center" vertical="center" wrapText="1"/>
      <protection hidden="1"/>
    </xf>
    <xf numFmtId="0" fontId="5" fillId="0" borderId="11" xfId="0" applyFont="1" applyBorder="1" applyAlignment="1" applyProtection="1">
      <alignment horizontal="center" vertical="center" wrapText="1"/>
      <protection hidden="1"/>
    </xf>
    <xf numFmtId="0" fontId="7" fillId="32" borderId="0" xfId="0" applyFont="1" applyFill="1" applyAlignment="1" applyProtection="1">
      <alignment vertical="center" wrapText="1"/>
      <protection hidden="1"/>
    </xf>
    <xf numFmtId="0" fontId="7" fillId="32" borderId="0" xfId="0" applyFont="1" applyFill="1" applyAlignment="1" applyProtection="1">
      <alignment vertical="center"/>
      <protection hidden="1"/>
    </xf>
    <xf numFmtId="0" fontId="57" fillId="43" borderId="0" xfId="0" applyFont="1" applyFill="1" applyAlignment="1" applyProtection="1">
      <alignment horizontal="left"/>
      <protection hidden="1"/>
    </xf>
    <xf numFmtId="0" fontId="64" fillId="0" borderId="0" xfId="0" applyFont="1" applyAlignment="1" applyProtection="1">
      <alignment horizontal="center"/>
      <protection hidden="1"/>
    </xf>
    <xf numFmtId="0" fontId="64" fillId="0" borderId="138" xfId="0" applyFont="1" applyBorder="1" applyAlignment="1" applyProtection="1">
      <alignment horizontal="center"/>
      <protection hidden="1"/>
    </xf>
    <xf numFmtId="0" fontId="8" fillId="33" borderId="148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1" fontId="68" fillId="32" borderId="10" xfId="0" applyNumberFormat="1" applyFont="1" applyFill="1" applyBorder="1" applyAlignment="1" applyProtection="1">
      <alignment horizontal="center"/>
      <protection hidden="1"/>
    </xf>
    <xf numFmtId="1" fontId="66" fillId="0" borderId="178" xfId="0" applyNumberFormat="1" applyFont="1" applyBorder="1" applyProtection="1">
      <protection hidden="1"/>
    </xf>
    <xf numFmtId="0" fontId="69" fillId="0" borderId="0" xfId="0" applyFont="1" applyAlignment="1">
      <alignment horizontal="center"/>
    </xf>
    <xf numFmtId="0" fontId="61" fillId="0" borderId="0" xfId="0" applyFont="1" applyAlignment="1">
      <alignment horizontal="center"/>
    </xf>
    <xf numFmtId="0" fontId="57" fillId="0" borderId="0" xfId="0" applyFont="1" applyAlignment="1" applyProtection="1">
      <alignment horizontal="left"/>
      <protection hidden="1"/>
    </xf>
    <xf numFmtId="0" fontId="65" fillId="32" borderId="10" xfId="0" applyFont="1" applyFill="1" applyBorder="1" applyAlignment="1" applyProtection="1">
      <alignment horizontal="center"/>
      <protection hidden="1"/>
    </xf>
    <xf numFmtId="0" fontId="0" fillId="0" borderId="178" xfId="0" applyBorder="1" applyProtection="1">
      <protection hidden="1"/>
    </xf>
    <xf numFmtId="0" fontId="8" fillId="33" borderId="47" xfId="0" applyFont="1" applyFill="1" applyBorder="1" applyAlignment="1" applyProtection="1">
      <alignment horizontal="center" vertical="center" wrapText="1"/>
      <protection hidden="1"/>
    </xf>
    <xf numFmtId="0" fontId="8" fillId="33" borderId="148" xfId="0" applyFont="1" applyFill="1" applyBorder="1" applyAlignment="1" applyProtection="1">
      <alignment horizontal="center" vertical="center" wrapText="1"/>
      <protection hidden="1"/>
    </xf>
    <xf numFmtId="0" fontId="8" fillId="33" borderId="10" xfId="0" applyFont="1" applyFill="1" applyBorder="1" applyAlignment="1" applyProtection="1">
      <alignment horizontal="center" vertical="center" wrapText="1"/>
      <protection hidden="1"/>
    </xf>
    <xf numFmtId="0" fontId="8" fillId="33" borderId="0" xfId="0" applyFont="1" applyFill="1" applyAlignment="1" applyProtection="1">
      <alignment horizontal="center" vertical="center" wrapText="1"/>
      <protection hidden="1"/>
    </xf>
    <xf numFmtId="2" fontId="57" fillId="0" borderId="14" xfId="0" applyNumberFormat="1" applyFont="1" applyBorder="1" applyAlignment="1" applyProtection="1">
      <alignment horizontal="center"/>
      <protection hidden="1"/>
    </xf>
    <xf numFmtId="2" fontId="57" fillId="0" borderId="148" xfId="0" applyNumberFormat="1" applyFont="1" applyBorder="1" applyAlignment="1" applyProtection="1">
      <alignment horizontal="center"/>
      <protection hidden="1"/>
    </xf>
    <xf numFmtId="2" fontId="57" fillId="0" borderId="0" xfId="0" applyNumberFormat="1" applyFont="1" applyAlignment="1" applyProtection="1">
      <alignment horizontal="center"/>
      <protection hidden="1"/>
    </xf>
    <xf numFmtId="0" fontId="8" fillId="32" borderId="13" xfId="0" applyFont="1" applyFill="1" applyBorder="1" applyAlignment="1" applyProtection="1">
      <alignment horizontal="center"/>
      <protection hidden="1"/>
    </xf>
    <xf numFmtId="0" fontId="8" fillId="32" borderId="14" xfId="0" applyFont="1" applyFill="1" applyBorder="1" applyAlignment="1" applyProtection="1">
      <alignment horizontal="center"/>
      <protection hidden="1"/>
    </xf>
    <xf numFmtId="0" fontId="19" fillId="38" borderId="188" xfId="0" applyFont="1" applyFill="1" applyBorder="1" applyAlignment="1" applyProtection="1">
      <alignment horizontal="center"/>
      <protection locked="0" hidden="1"/>
    </xf>
    <xf numFmtId="0" fontId="19" fillId="38" borderId="189" xfId="0" applyFont="1" applyFill="1" applyBorder="1" applyAlignment="1" applyProtection="1">
      <alignment horizontal="center"/>
      <protection locked="0" hidden="1"/>
    </xf>
    <xf numFmtId="170" fontId="10" fillId="41" borderId="0" xfId="0" applyNumberFormat="1" applyFont="1" applyFill="1" applyAlignment="1" applyProtection="1">
      <alignment horizontal="center" vertical="center"/>
      <protection locked="0" hidden="1"/>
    </xf>
    <xf numFmtId="170" fontId="10" fillId="41" borderId="112" xfId="0" applyNumberFormat="1" applyFont="1" applyFill="1" applyBorder="1" applyAlignment="1" applyProtection="1">
      <alignment horizontal="center" vertical="center"/>
      <protection locked="0" hidden="1"/>
    </xf>
    <xf numFmtId="0" fontId="84" fillId="50" borderId="0" xfId="0" applyFont="1" applyFill="1" applyAlignment="1">
      <alignment horizontal="center"/>
    </xf>
    <xf numFmtId="0" fontId="7" fillId="31" borderId="0" xfId="0" applyFont="1" applyFill="1" applyAlignment="1">
      <alignment horizontal="center"/>
    </xf>
    <xf numFmtId="0" fontId="91" fillId="50" borderId="0" xfId="0" applyFont="1" applyFill="1" applyAlignment="1">
      <alignment horizontal="center"/>
    </xf>
    <xf numFmtId="0" fontId="91" fillId="50" borderId="31" xfId="0" applyFont="1" applyFill="1" applyBorder="1" applyAlignment="1">
      <alignment horizontal="center"/>
    </xf>
    <xf numFmtId="0" fontId="91" fillId="54" borderId="0" xfId="0" applyFont="1" applyFill="1" applyAlignment="1">
      <alignment horizontal="center"/>
    </xf>
    <xf numFmtId="0" fontId="91" fillId="54" borderId="31" xfId="0" applyFont="1" applyFill="1" applyBorder="1" applyAlignment="1">
      <alignment horizontal="center"/>
    </xf>
    <xf numFmtId="0" fontId="53" fillId="0" borderId="130" xfId="0" applyFont="1" applyBorder="1" applyAlignment="1">
      <alignment horizontal="center"/>
    </xf>
    <xf numFmtId="0" fontId="53" fillId="0" borderId="131" xfId="0" applyFont="1" applyBorder="1" applyAlignment="1">
      <alignment horizontal="center"/>
    </xf>
    <xf numFmtId="0" fontId="53" fillId="0" borderId="179" xfId="0" applyFont="1" applyBorder="1" applyAlignment="1">
      <alignment horizontal="center"/>
    </xf>
    <xf numFmtId="0" fontId="0" fillId="30" borderId="180" xfId="0" applyFill="1" applyBorder="1" applyAlignment="1" applyProtection="1">
      <alignment vertical="top" wrapText="1"/>
      <protection locked="0"/>
    </xf>
    <xf numFmtId="0" fontId="0" fillId="30" borderId="181" xfId="0" applyFill="1" applyBorder="1" applyAlignment="1" applyProtection="1">
      <alignment vertical="top" wrapText="1"/>
      <protection locked="0"/>
    </xf>
    <xf numFmtId="0" fontId="0" fillId="30" borderId="49" xfId="0" applyFill="1" applyBorder="1" applyAlignment="1" applyProtection="1">
      <alignment vertical="top" wrapText="1"/>
      <protection locked="0"/>
    </xf>
    <xf numFmtId="0" fontId="0" fillId="30" borderId="31" xfId="0" applyFill="1" applyBorder="1" applyAlignment="1" applyProtection="1">
      <alignment vertical="top" wrapText="1"/>
      <protection locked="0"/>
    </xf>
    <xf numFmtId="0" fontId="0" fillId="30" borderId="45" xfId="0" applyFill="1" applyBorder="1" applyAlignment="1" applyProtection="1">
      <alignment vertical="top" wrapText="1"/>
      <protection locked="0"/>
    </xf>
    <xf numFmtId="0" fontId="0" fillId="30" borderId="46" xfId="0" applyFill="1" applyBorder="1" applyAlignment="1" applyProtection="1">
      <alignment vertical="top" wrapText="1"/>
      <protection locked="0"/>
    </xf>
    <xf numFmtId="9" fontId="52" fillId="0" borderId="85" xfId="38" applyFont="1" applyFill="1" applyBorder="1" applyAlignment="1" applyProtection="1">
      <alignment horizontal="center" vertical="center"/>
    </xf>
    <xf numFmtId="9" fontId="52" fillId="0" borderId="182" xfId="38" applyFont="1" applyFill="1" applyBorder="1" applyAlignment="1" applyProtection="1">
      <alignment horizontal="center" vertical="center"/>
    </xf>
    <xf numFmtId="9" fontId="52" fillId="0" borderId="126" xfId="38" applyFont="1" applyFill="1" applyBorder="1" applyAlignment="1" applyProtection="1">
      <alignment horizontal="center" vertical="center"/>
    </xf>
    <xf numFmtId="9" fontId="52" fillId="0" borderId="183" xfId="38" applyFont="1" applyFill="1" applyBorder="1" applyAlignment="1" applyProtection="1">
      <alignment horizontal="center" vertical="center"/>
    </xf>
    <xf numFmtId="0" fontId="49" fillId="24" borderId="115" xfId="0" applyFont="1" applyFill="1" applyBorder="1" applyAlignment="1">
      <alignment horizontal="center" vertical="center" wrapText="1"/>
    </xf>
    <xf numFmtId="0" fontId="49" fillId="24" borderId="116" xfId="0" applyFont="1" applyFill="1" applyBorder="1" applyAlignment="1">
      <alignment horizontal="center" vertical="center" wrapText="1"/>
    </xf>
    <xf numFmtId="0" fontId="50" fillId="0" borderId="119" xfId="0" applyFont="1" applyBorder="1" applyAlignment="1">
      <alignment horizontal="center"/>
    </xf>
    <xf numFmtId="0" fontId="50" fillId="0" borderId="179" xfId="0" applyFont="1" applyBorder="1" applyAlignment="1">
      <alignment horizontal="center"/>
    </xf>
    <xf numFmtId="0" fontId="50" fillId="0" borderId="85" xfId="0" applyFont="1" applyBorder="1" applyAlignment="1">
      <alignment horizontal="center"/>
    </xf>
    <xf numFmtId="0" fontId="50" fillId="0" borderId="182" xfId="0" applyFont="1" applyBorder="1" applyAlignment="1">
      <alignment horizontal="center"/>
    </xf>
    <xf numFmtId="0" fontId="3" fillId="34" borderId="5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top"/>
    </xf>
    <xf numFmtId="0" fontId="3" fillId="34" borderId="184" xfId="0" applyFont="1" applyFill="1" applyBorder="1" applyAlignment="1">
      <alignment horizontal="center" vertical="center" wrapText="1"/>
    </xf>
    <xf numFmtId="0" fontId="3" fillId="34" borderId="137" xfId="0" applyFont="1" applyFill="1" applyBorder="1" applyAlignment="1">
      <alignment horizontal="center" vertical="center" wrapText="1"/>
    </xf>
    <xf numFmtId="0" fontId="20" fillId="35" borderId="77" xfId="0" applyFont="1" applyFill="1" applyBorder="1" applyAlignment="1">
      <alignment horizontal="center" vertical="center"/>
    </xf>
    <xf numFmtId="0" fontId="20" fillId="35" borderId="79" xfId="0" applyFont="1" applyFill="1" applyBorder="1" applyAlignment="1">
      <alignment horizontal="center" vertical="center"/>
    </xf>
    <xf numFmtId="0" fontId="20" fillId="35" borderId="75" xfId="0" applyFont="1" applyFill="1" applyBorder="1" applyAlignment="1">
      <alignment horizontal="center" vertical="center"/>
    </xf>
  </cellXfs>
  <cellStyles count="48">
    <cellStyle name="20% - Énfasis1" xfId="1" xr:uid="{00000000-0005-0000-0000-000000000000}"/>
    <cellStyle name="20% - Énfasis2" xfId="2" xr:uid="{00000000-0005-0000-0000-000001000000}"/>
    <cellStyle name="20% - Énfasis3" xfId="3" xr:uid="{00000000-0005-0000-0000-000002000000}"/>
    <cellStyle name="20% - Énfasis4" xfId="4" xr:uid="{00000000-0005-0000-0000-000003000000}"/>
    <cellStyle name="20% - Énfasis5" xfId="5" xr:uid="{00000000-0005-0000-0000-000004000000}"/>
    <cellStyle name="20% - Énfasis6" xfId="6" xr:uid="{00000000-0005-0000-0000-000005000000}"/>
    <cellStyle name="40% - Énfasis1" xfId="7" xr:uid="{00000000-0005-0000-0000-000006000000}"/>
    <cellStyle name="40% - Énfasis2" xfId="8" xr:uid="{00000000-0005-0000-0000-000007000000}"/>
    <cellStyle name="40% - Énfasis3" xfId="9" xr:uid="{00000000-0005-0000-0000-000008000000}"/>
    <cellStyle name="40% - Énfasis4" xfId="10" xr:uid="{00000000-0005-0000-0000-000009000000}"/>
    <cellStyle name="40% - Énfasis5" xfId="11" xr:uid="{00000000-0005-0000-0000-00000A000000}"/>
    <cellStyle name="40% - Énfasis6" xfId="12" xr:uid="{00000000-0005-0000-0000-00000B000000}"/>
    <cellStyle name="60% - Énfasis1" xfId="13" xr:uid="{00000000-0005-0000-0000-00000C000000}"/>
    <cellStyle name="60% - Énfasis2" xfId="14" xr:uid="{00000000-0005-0000-0000-00000D000000}"/>
    <cellStyle name="60% - Énfasis3" xfId="15" xr:uid="{00000000-0005-0000-0000-00000E000000}"/>
    <cellStyle name="60% - Énfasis4" xfId="16" xr:uid="{00000000-0005-0000-0000-00000F000000}"/>
    <cellStyle name="60% - Énfasis5" xfId="17" xr:uid="{00000000-0005-0000-0000-000010000000}"/>
    <cellStyle name="60% - Énfasis6" xfId="18" xr:uid="{00000000-0005-0000-0000-000011000000}"/>
    <cellStyle name="Buena" xfId="19" xr:uid="{00000000-0005-0000-0000-000012000000}"/>
    <cellStyle name="Cálculo" xfId="20" xr:uid="{00000000-0005-0000-0000-000013000000}"/>
    <cellStyle name="Celda de comprobación" xfId="21" xr:uid="{00000000-0005-0000-0000-000014000000}"/>
    <cellStyle name="Celda vinculada" xfId="22" xr:uid="{00000000-0005-0000-0000-000015000000}"/>
    <cellStyle name="Comma_Curva integral v.1.1.xls SLP grava 20 bomba" xfId="24" xr:uid="{00000000-0005-0000-0000-000017000000}"/>
    <cellStyle name="Encabezado 4" xfId="26" xr:uid="{00000000-0005-0000-0000-000019000000}"/>
    <cellStyle name="Énfasis1" xfId="27" xr:uid="{00000000-0005-0000-0000-00001A000000}"/>
    <cellStyle name="Énfasis2" xfId="28" xr:uid="{00000000-0005-0000-0000-00001B000000}"/>
    <cellStyle name="Énfasis3" xfId="29" xr:uid="{00000000-0005-0000-0000-00001C000000}"/>
    <cellStyle name="Énfasis4" xfId="30" xr:uid="{00000000-0005-0000-0000-00001D000000}"/>
    <cellStyle name="Énfasis5" xfId="31" xr:uid="{00000000-0005-0000-0000-00001E000000}"/>
    <cellStyle name="Énfasis6" xfId="32" xr:uid="{00000000-0005-0000-0000-00001F000000}"/>
    <cellStyle name="Entrada" xfId="33" xr:uid="{00000000-0005-0000-0000-000020000000}"/>
    <cellStyle name="Incorrecto" xfId="34" xr:uid="{00000000-0005-0000-0000-000021000000}"/>
    <cellStyle name="Millares" xfId="23" builtinId="3"/>
    <cellStyle name="Moneda" xfId="25" builtinId="4"/>
    <cellStyle name="Neutral" xfId="35" builtinId="28" customBuiltin="1"/>
    <cellStyle name="Normal" xfId="0" builtinId="0"/>
    <cellStyle name="Normal 2" xfId="47" xr:uid="{206D646D-D604-4A5A-9E55-0C7C73E5AFE6}"/>
    <cellStyle name="Normal_~5789045" xfId="36" xr:uid="{00000000-0005-0000-0000-000024000000}"/>
    <cellStyle name="Notas" xfId="37" xr:uid="{00000000-0005-0000-0000-000025000000}"/>
    <cellStyle name="Porcentaje" xfId="38" builtinId="5"/>
    <cellStyle name="Salida" xfId="39" xr:uid="{00000000-0005-0000-0000-000027000000}"/>
    <cellStyle name="Texto de advertencia" xfId="40" xr:uid="{00000000-0005-0000-0000-000028000000}"/>
    <cellStyle name="Texto explicativo" xfId="41" xr:uid="{00000000-0005-0000-0000-000029000000}"/>
    <cellStyle name="Título" xfId="42" xr:uid="{00000000-0005-0000-0000-00002A000000}"/>
    <cellStyle name="Título 1" xfId="43" xr:uid="{00000000-0005-0000-0000-00002B000000}"/>
    <cellStyle name="Título 2" xfId="44" xr:uid="{00000000-0005-0000-0000-00002C000000}"/>
    <cellStyle name="Título 3" xfId="45" xr:uid="{00000000-0005-0000-0000-00002D000000}"/>
    <cellStyle name="Total" xfId="46" builtinId="25" customBuiltin="1"/>
  </cellStyles>
  <dxfs count="100"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ont>
        <condense val="0"/>
        <extend val="0"/>
        <color indexed="57"/>
      </font>
      <fill>
        <patternFill patternType="solid">
          <bgColor indexed="31"/>
        </patternFill>
      </fill>
    </dxf>
    <dxf>
      <fill>
        <patternFill>
          <bgColor indexed="31"/>
        </patternFill>
      </fill>
    </dxf>
    <dxf>
      <font>
        <condense val="0"/>
        <extend val="0"/>
        <color indexed="57"/>
      </font>
      <fill>
        <patternFill patternType="solid"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ont>
        <condense val="0"/>
        <extend val="0"/>
        <color auto="1"/>
      </font>
      <fill>
        <patternFill>
          <bgColor indexed="31"/>
        </patternFill>
      </fill>
    </dxf>
    <dxf>
      <fill>
        <patternFill>
          <bgColor indexed="31"/>
        </patternFill>
      </fill>
    </dxf>
    <dxf>
      <font>
        <condense val="0"/>
        <extend val="0"/>
        <color indexed="57"/>
      </font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ont>
        <condense val="0"/>
        <extend val="0"/>
        <color auto="1"/>
      </font>
      <fill>
        <patternFill patternType="solid"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ont>
        <condense val="0"/>
        <extend val="0"/>
        <color indexed="57"/>
      </font>
      <fill>
        <patternFill>
          <bgColor indexed="31"/>
        </patternFill>
      </fill>
    </dxf>
    <dxf>
      <font>
        <condense val="0"/>
        <extend val="0"/>
        <color indexed="8"/>
      </font>
      <fill>
        <patternFill patternType="none">
          <bgColor indexed="65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ont>
        <condense val="0"/>
        <extend val="0"/>
        <color indexed="8"/>
      </font>
      <fill>
        <patternFill patternType="none">
          <bgColor indexed="65"/>
        </patternFill>
      </fill>
    </dxf>
    <dxf>
      <font>
        <condense val="0"/>
        <extend val="0"/>
        <color indexed="8"/>
      </font>
      <fill>
        <patternFill patternType="none">
          <bgColor indexed="65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ont>
        <condense val="0"/>
        <extend val="0"/>
        <color auto="1"/>
      </font>
      <fill>
        <patternFill>
          <bgColor indexed="31"/>
        </patternFill>
      </fill>
    </dxf>
    <dxf>
      <fill>
        <patternFill>
          <bgColor indexed="31"/>
        </patternFill>
      </fill>
    </dxf>
    <dxf>
      <font>
        <condense val="0"/>
        <extend val="0"/>
        <color auto="1"/>
      </font>
      <fill>
        <patternFill patternType="solid">
          <bgColor indexed="31"/>
        </patternFill>
      </fill>
    </dxf>
    <dxf>
      <font>
        <condense val="0"/>
        <extend val="0"/>
        <color auto="1"/>
      </font>
      <fill>
        <patternFill>
          <bgColor indexed="31"/>
        </patternFill>
      </fill>
    </dxf>
    <dxf>
      <font>
        <condense val="0"/>
        <extend val="0"/>
        <color indexed="57"/>
      </font>
      <fill>
        <patternFill patternType="solid">
          <bgColor indexed="31"/>
        </patternFill>
      </fill>
    </dxf>
    <dxf>
      <font>
        <condense val="0"/>
        <extend val="0"/>
        <color indexed="57"/>
      </font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ont>
        <condense val="0"/>
        <extend val="0"/>
        <color auto="1"/>
      </font>
      <fill>
        <patternFill>
          <bgColor indexed="31"/>
        </patternFill>
      </fill>
    </dxf>
    <dxf>
      <font>
        <condense val="0"/>
        <extend val="0"/>
        <color auto="1"/>
      </font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ont>
        <condense val="0"/>
        <extend val="0"/>
        <color auto="1"/>
      </font>
      <fill>
        <patternFill patternType="solid">
          <bgColor indexed="31"/>
        </patternFill>
      </fill>
    </dxf>
    <dxf>
      <font>
        <condense val="0"/>
        <extend val="0"/>
        <color auto="1"/>
      </font>
      <fill>
        <patternFill patternType="solid"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numFmt numFmtId="13" formatCode="0%"/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numFmt numFmtId="13" formatCode="0%"/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ont>
        <condense val="0"/>
        <extend val="0"/>
        <color indexed="8"/>
      </font>
      <fill>
        <patternFill patternType="none">
          <bgColor indexed="65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46208953363172"/>
          <c:y val="5.2238901146552073E-2"/>
          <c:w val="0.84802494540224949"/>
          <c:h val="0.77238946695259436"/>
        </c:manualLayout>
      </c:layout>
      <c:lineChart>
        <c:grouping val="standard"/>
        <c:varyColors val="0"/>
        <c:ser>
          <c:idx val="3"/>
          <c:order val="0"/>
          <c:tx>
            <c:strRef>
              <c:f>'2° Granulometrías'!$D$6</c:f>
              <c:strCache>
                <c:ptCount val="1"/>
                <c:pt idx="0">
                  <c:v>GB2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'2° Granulometrías'!$AC$38:$AC$44</c:f>
              <c:strCache>
                <c:ptCount val="7"/>
                <c:pt idx="0">
                  <c:v>1"</c:v>
                </c:pt>
                <c:pt idx="1">
                  <c:v>3/4"</c:v>
                </c:pt>
                <c:pt idx="2">
                  <c:v>1/2"</c:v>
                </c:pt>
                <c:pt idx="3">
                  <c:v>3/8"</c:v>
                </c:pt>
                <c:pt idx="4">
                  <c:v># 4</c:v>
                </c:pt>
                <c:pt idx="5">
                  <c:v># 8</c:v>
                </c:pt>
                <c:pt idx="6">
                  <c:v>0    </c:v>
                </c:pt>
              </c:strCache>
            </c:strRef>
          </c:cat>
          <c:val>
            <c:numRef>
              <c:f>'2° Granulometrías'!$AD$38:$AD$44</c:f>
              <c:numCache>
                <c:formatCode>0.00</c:formatCode>
                <c:ptCount val="7"/>
                <c:pt idx="0">
                  <c:v>90</c:v>
                </c:pt>
                <c:pt idx="1">
                  <c:v>64.400000000000006</c:v>
                </c:pt>
                <c:pt idx="2">
                  <c:v>40.299999999999997</c:v>
                </c:pt>
                <c:pt idx="3">
                  <c:v>10.47</c:v>
                </c:pt>
                <c:pt idx="4">
                  <c:v>0.32</c:v>
                </c:pt>
                <c:pt idx="5">
                  <c:v>0.15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EB-4E8C-A2AC-6CFAEDBC54A6}"/>
            </c:ext>
          </c:extLst>
        </c:ser>
        <c:ser>
          <c:idx val="4"/>
          <c:order val="1"/>
          <c:tx>
            <c:v>Limite Inferior</c:v>
          </c:tx>
          <c:spPr>
            <a:ln w="3175">
              <a:solidFill>
                <a:srgbClr val="00008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'2° Granulometrías'!$AC$38:$AC$44</c:f>
              <c:strCache>
                <c:ptCount val="7"/>
                <c:pt idx="0">
                  <c:v>1"</c:v>
                </c:pt>
                <c:pt idx="1">
                  <c:v>3/4"</c:v>
                </c:pt>
                <c:pt idx="2">
                  <c:v>1/2"</c:v>
                </c:pt>
                <c:pt idx="3">
                  <c:v>3/8"</c:v>
                </c:pt>
                <c:pt idx="4">
                  <c:v># 4</c:v>
                </c:pt>
                <c:pt idx="5">
                  <c:v># 8</c:v>
                </c:pt>
                <c:pt idx="6">
                  <c:v>0    </c:v>
                </c:pt>
              </c:strCache>
            </c:strRef>
          </c:cat>
          <c:val>
            <c:numRef>
              <c:f>'2° Granulometrías'!$AE$38:$AE$44</c:f>
              <c:numCache>
                <c:formatCode>#\ ?/?</c:formatCode>
                <c:ptCount val="7"/>
                <c:pt idx="0">
                  <c:v>100</c:v>
                </c:pt>
                <c:pt idx="1">
                  <c:v>90</c:v>
                </c:pt>
                <c:pt idx="2">
                  <c:v>40</c:v>
                </c:pt>
                <c:pt idx="3">
                  <c:v>20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EB-4E8C-A2AC-6CFAEDBC54A6}"/>
            </c:ext>
          </c:extLst>
        </c:ser>
        <c:ser>
          <c:idx val="5"/>
          <c:order val="2"/>
          <c:tx>
            <c:v>Limite Superior</c:v>
          </c:tx>
          <c:spPr>
            <a:ln w="3175">
              <a:solidFill>
                <a:srgbClr val="00008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'2° Granulometrías'!$AC$38:$AC$44</c:f>
              <c:strCache>
                <c:ptCount val="7"/>
                <c:pt idx="0">
                  <c:v>1"</c:v>
                </c:pt>
                <c:pt idx="1">
                  <c:v>3/4"</c:v>
                </c:pt>
                <c:pt idx="2">
                  <c:v>1/2"</c:v>
                </c:pt>
                <c:pt idx="3">
                  <c:v>3/8"</c:v>
                </c:pt>
                <c:pt idx="4">
                  <c:v># 4</c:v>
                </c:pt>
                <c:pt idx="5">
                  <c:v># 8</c:v>
                </c:pt>
                <c:pt idx="6">
                  <c:v>0    </c:v>
                </c:pt>
              </c:strCache>
            </c:strRef>
          </c:cat>
          <c:val>
            <c:numRef>
              <c:f>'2° Granulometrías'!$AF$38:$AF$44</c:f>
              <c:numCache>
                <c:formatCode>#\ ?/?</c:formatCode>
                <c:ptCount val="7"/>
                <c:pt idx="0">
                  <c:v>100</c:v>
                </c:pt>
                <c:pt idx="1">
                  <c:v>100</c:v>
                </c:pt>
                <c:pt idx="2">
                  <c:v>70</c:v>
                </c:pt>
                <c:pt idx="3">
                  <c:v>55</c:v>
                </c:pt>
                <c:pt idx="4">
                  <c:v>10</c:v>
                </c:pt>
                <c:pt idx="5">
                  <c:v>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EB-4E8C-A2AC-6CFAEDBC54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318912"/>
        <c:axId val="133350528"/>
      </c:lineChart>
      <c:catAx>
        <c:axId val="133318912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25400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80"/>
                </a:solidFill>
                <a:latin typeface="Helv"/>
                <a:ea typeface="Helv"/>
                <a:cs typeface="Helv"/>
              </a:defRPr>
            </a:pPr>
            <a:endParaRPr lang="en-US"/>
          </a:p>
        </c:txPr>
        <c:crossAx val="1333505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33350528"/>
        <c:scaling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80"/>
                </a:solidFill>
                <a:latin typeface="Helv"/>
                <a:ea typeface="Helv"/>
                <a:cs typeface="Helv"/>
              </a:defRPr>
            </a:pPr>
            <a:endParaRPr lang="en-US"/>
          </a:p>
        </c:txPr>
        <c:crossAx val="133318912"/>
        <c:crosses val="autoZero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1905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80"/>
          </a:solidFill>
          <a:latin typeface="Helv"/>
          <a:ea typeface="Helv"/>
          <a:cs typeface="Helv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29135053110779"/>
          <c:y val="5.3846153846153863E-2"/>
          <c:w val="0.85432473444613322"/>
          <c:h val="0.76538461538461799"/>
        </c:manualLayout>
      </c:layout>
      <c:lineChart>
        <c:grouping val="standard"/>
        <c:varyColors val="0"/>
        <c:ser>
          <c:idx val="3"/>
          <c:order val="0"/>
          <c:tx>
            <c:strRef>
              <c:f>'2° Granulometrías'!$H$6</c:f>
              <c:strCache>
                <c:ptCount val="1"/>
                <c:pt idx="0">
                  <c:v>GB4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'2° Granulometrías'!$AH$38:$AH$44</c:f>
              <c:strCache>
                <c:ptCount val="7"/>
                <c:pt idx="0">
                  <c:v>2"</c:v>
                </c:pt>
                <c:pt idx="1">
                  <c:v>1 1/2"</c:v>
                </c:pt>
                <c:pt idx="2">
                  <c:v>1"</c:v>
                </c:pt>
                <c:pt idx="3">
                  <c:v>3/4"</c:v>
                </c:pt>
                <c:pt idx="4">
                  <c:v>1/2"</c:v>
                </c:pt>
                <c:pt idx="5">
                  <c:v>3/8"</c:v>
                </c:pt>
                <c:pt idx="6">
                  <c:v># 4</c:v>
                </c:pt>
              </c:strCache>
            </c:strRef>
          </c:cat>
          <c:val>
            <c:numRef>
              <c:f>'2° Granulometrías'!$AI$38:$AI$44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F-4D46-8037-080908ACA72E}"/>
            </c:ext>
          </c:extLst>
        </c:ser>
        <c:ser>
          <c:idx val="4"/>
          <c:order val="1"/>
          <c:spPr>
            <a:ln w="3175">
              <a:solidFill>
                <a:srgbClr val="00008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'2° Granulometrías'!$AH$38:$AH$44</c:f>
              <c:strCache>
                <c:ptCount val="7"/>
                <c:pt idx="0">
                  <c:v>2"</c:v>
                </c:pt>
                <c:pt idx="1">
                  <c:v>1 1/2"</c:v>
                </c:pt>
                <c:pt idx="2">
                  <c:v>1"</c:v>
                </c:pt>
                <c:pt idx="3">
                  <c:v>3/4"</c:v>
                </c:pt>
                <c:pt idx="4">
                  <c:v>1/2"</c:v>
                </c:pt>
                <c:pt idx="5">
                  <c:v>3/8"</c:v>
                </c:pt>
                <c:pt idx="6">
                  <c:v># 4</c:v>
                </c:pt>
              </c:strCache>
            </c:strRef>
          </c:cat>
          <c:val>
            <c:numRef>
              <c:f>'2° Granulometrías'!$AJ$38:$AJ$44</c:f>
              <c:numCache>
                <c:formatCode>#\ ?/?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F-4D46-8037-080908ACA72E}"/>
            </c:ext>
          </c:extLst>
        </c:ser>
        <c:ser>
          <c:idx val="5"/>
          <c:order val="2"/>
          <c:spPr>
            <a:ln w="3175">
              <a:solidFill>
                <a:srgbClr val="00008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'2° Granulometrías'!$AH$38:$AH$44</c:f>
              <c:strCache>
                <c:ptCount val="7"/>
                <c:pt idx="0">
                  <c:v>2"</c:v>
                </c:pt>
                <c:pt idx="1">
                  <c:v>1 1/2"</c:v>
                </c:pt>
                <c:pt idx="2">
                  <c:v>1"</c:v>
                </c:pt>
                <c:pt idx="3">
                  <c:v>3/4"</c:v>
                </c:pt>
                <c:pt idx="4">
                  <c:v>1/2"</c:v>
                </c:pt>
                <c:pt idx="5">
                  <c:v>3/8"</c:v>
                </c:pt>
                <c:pt idx="6">
                  <c:v># 4</c:v>
                </c:pt>
              </c:strCache>
            </c:strRef>
          </c:cat>
          <c:val>
            <c:numRef>
              <c:f>'2° Granulometrías'!$AK$38:$AK$44</c:f>
              <c:numCache>
                <c:formatCode>#\ ?/?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8F-4D46-8037-080908ACA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028480"/>
        <c:axId val="133075712"/>
      </c:lineChart>
      <c:catAx>
        <c:axId val="133028480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25400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80"/>
                </a:solidFill>
                <a:latin typeface="Helv"/>
                <a:ea typeface="Helv"/>
                <a:cs typeface="Helv"/>
              </a:defRPr>
            </a:pPr>
            <a:endParaRPr lang="en-US"/>
          </a:p>
        </c:txPr>
        <c:crossAx val="1330757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33075712"/>
        <c:scaling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80"/>
                </a:solidFill>
                <a:latin typeface="Helv"/>
                <a:ea typeface="Helv"/>
                <a:cs typeface="Helv"/>
              </a:defRPr>
            </a:pPr>
            <a:endParaRPr lang="en-US"/>
          </a:p>
        </c:txPr>
        <c:crossAx val="133028480"/>
        <c:crosses val="autoZero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19050">
      <a:solidFill>
        <a:sysClr val="windowText" lastClr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80"/>
          </a:solidFill>
          <a:latin typeface="Helv"/>
          <a:ea typeface="Helv"/>
          <a:cs typeface="Helv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29135053110779"/>
          <c:y val="5.3846153846153863E-2"/>
          <c:w val="0.85432473444613322"/>
          <c:h val="0.76538461538461799"/>
        </c:manualLayout>
      </c:layout>
      <c:lineChart>
        <c:grouping val="standard"/>
        <c:varyColors val="0"/>
        <c:ser>
          <c:idx val="3"/>
          <c:order val="0"/>
          <c:tx>
            <c:strRef>
              <c:f>'2° Granulometrías'!$L$6</c:f>
              <c:strCache>
                <c:ptCount val="1"/>
                <c:pt idx="0">
                  <c:v>GB1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'2° Granulometrías'!$AM$38:$AM$44</c:f>
              <c:strCache>
                <c:ptCount val="7"/>
                <c:pt idx="0">
                  <c:v>1/2"</c:v>
                </c:pt>
                <c:pt idx="1">
                  <c:v>3/8"</c:v>
                </c:pt>
                <c:pt idx="2">
                  <c:v># 4</c:v>
                </c:pt>
                <c:pt idx="3">
                  <c:v># 8</c:v>
                </c:pt>
                <c:pt idx="4">
                  <c:v># 16</c:v>
                </c:pt>
                <c:pt idx="5">
                  <c:v>0    </c:v>
                </c:pt>
                <c:pt idx="6">
                  <c:v>0    </c:v>
                </c:pt>
              </c:strCache>
            </c:strRef>
          </c:cat>
          <c:val>
            <c:numRef>
              <c:f>'2° Granulometrías'!$AN$38:$AN$44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85-4A00-BE66-173604AC0E5D}"/>
            </c:ext>
          </c:extLst>
        </c:ser>
        <c:ser>
          <c:idx val="4"/>
          <c:order val="1"/>
          <c:spPr>
            <a:ln w="3175">
              <a:solidFill>
                <a:srgbClr val="00008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'2° Granulometrías'!$AM$38:$AM$44</c:f>
              <c:strCache>
                <c:ptCount val="7"/>
                <c:pt idx="0">
                  <c:v>1/2"</c:v>
                </c:pt>
                <c:pt idx="1">
                  <c:v>3/8"</c:v>
                </c:pt>
                <c:pt idx="2">
                  <c:v># 4</c:v>
                </c:pt>
                <c:pt idx="3">
                  <c:v># 8</c:v>
                </c:pt>
                <c:pt idx="4">
                  <c:v># 16</c:v>
                </c:pt>
                <c:pt idx="5">
                  <c:v>0    </c:v>
                </c:pt>
                <c:pt idx="6">
                  <c:v>0    </c:v>
                </c:pt>
              </c:strCache>
            </c:strRef>
          </c:cat>
          <c:val>
            <c:numRef>
              <c:f>'2° Granulometrías'!$AO$38:$AO$44</c:f>
              <c:numCache>
                <c:formatCode>#\ ?/?</c:formatCode>
                <c:ptCount val="7"/>
                <c:pt idx="0">
                  <c:v>100</c:v>
                </c:pt>
                <c:pt idx="1">
                  <c:v>85</c:v>
                </c:pt>
                <c:pt idx="2">
                  <c:v>10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85-4A00-BE66-173604AC0E5D}"/>
            </c:ext>
          </c:extLst>
        </c:ser>
        <c:ser>
          <c:idx val="5"/>
          <c:order val="2"/>
          <c:spPr>
            <a:ln w="3175">
              <a:solidFill>
                <a:srgbClr val="00008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'2° Granulometrías'!$AM$38:$AM$44</c:f>
              <c:strCache>
                <c:ptCount val="7"/>
                <c:pt idx="0">
                  <c:v>1/2"</c:v>
                </c:pt>
                <c:pt idx="1">
                  <c:v>3/8"</c:v>
                </c:pt>
                <c:pt idx="2">
                  <c:v># 4</c:v>
                </c:pt>
                <c:pt idx="3">
                  <c:v># 8</c:v>
                </c:pt>
                <c:pt idx="4">
                  <c:v># 16</c:v>
                </c:pt>
                <c:pt idx="5">
                  <c:v>0    </c:v>
                </c:pt>
                <c:pt idx="6">
                  <c:v>0    </c:v>
                </c:pt>
              </c:strCache>
            </c:strRef>
          </c:cat>
          <c:val>
            <c:numRef>
              <c:f>'2° Granulometrías'!$AP$38:$AP$44</c:f>
              <c:numCache>
                <c:formatCode>#\ ?/?</c:formatCode>
                <c:ptCount val="7"/>
                <c:pt idx="0">
                  <c:v>100</c:v>
                </c:pt>
                <c:pt idx="1">
                  <c:v>100</c:v>
                </c:pt>
                <c:pt idx="2">
                  <c:v>55</c:v>
                </c:pt>
                <c:pt idx="3">
                  <c:v>15</c:v>
                </c:pt>
                <c:pt idx="4">
                  <c:v>15</c:v>
                </c:pt>
                <c:pt idx="5">
                  <c:v>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85-4A00-BE66-173604AC0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028480"/>
        <c:axId val="133075712"/>
      </c:lineChart>
      <c:catAx>
        <c:axId val="133028480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25400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80"/>
                </a:solidFill>
                <a:latin typeface="Helv"/>
                <a:ea typeface="Helv"/>
                <a:cs typeface="Helv"/>
              </a:defRPr>
            </a:pPr>
            <a:endParaRPr lang="en-US"/>
          </a:p>
        </c:txPr>
        <c:crossAx val="1330757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33075712"/>
        <c:scaling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80"/>
                </a:solidFill>
                <a:latin typeface="Helv"/>
                <a:ea typeface="Helv"/>
                <a:cs typeface="Helv"/>
              </a:defRPr>
            </a:pPr>
            <a:endParaRPr lang="en-US"/>
          </a:p>
        </c:txPr>
        <c:crossAx val="133028480"/>
        <c:crosses val="autoZero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1905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80"/>
          </a:solidFill>
          <a:latin typeface="Helv"/>
          <a:ea typeface="Helv"/>
          <a:cs typeface="Helv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1448506597485"/>
          <c:y val="5.2434648710530454E-2"/>
          <c:w val="0.84525859022283034"/>
          <c:h val="0.77153840245494865"/>
        </c:manualLayout>
      </c:layout>
      <c:lineChart>
        <c:grouping val="standard"/>
        <c:varyColors val="0"/>
        <c:ser>
          <c:idx val="3"/>
          <c:order val="0"/>
          <c:tx>
            <c:strRef>
              <c:f>'2° Granulometrías'!$P$6</c:f>
              <c:strCache>
                <c:ptCount val="1"/>
                <c:pt idx="0">
                  <c:v>AC2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'2° Granulometrías'!$B$14:$B$20</c:f>
              <c:strCache>
                <c:ptCount val="7"/>
                <c:pt idx="0">
                  <c:v>3/8"</c:v>
                </c:pt>
                <c:pt idx="1">
                  <c:v># 4</c:v>
                </c:pt>
                <c:pt idx="2">
                  <c:v># 8</c:v>
                </c:pt>
                <c:pt idx="3">
                  <c:v># 16</c:v>
                </c:pt>
                <c:pt idx="4">
                  <c:v># 30</c:v>
                </c:pt>
                <c:pt idx="5">
                  <c:v># 50</c:v>
                </c:pt>
                <c:pt idx="6">
                  <c:v># 100</c:v>
                </c:pt>
              </c:strCache>
            </c:strRef>
          </c:cat>
          <c:val>
            <c:numRef>
              <c:f>'2° Granulometrías'!$P$14:$P$20</c:f>
              <c:numCache>
                <c:formatCode>0.0</c:formatCode>
                <c:ptCount val="7"/>
                <c:pt idx="0">
                  <c:v>100</c:v>
                </c:pt>
                <c:pt idx="1">
                  <c:v>88</c:v>
                </c:pt>
                <c:pt idx="2">
                  <c:v>67</c:v>
                </c:pt>
                <c:pt idx="3">
                  <c:v>54.32</c:v>
                </c:pt>
                <c:pt idx="4">
                  <c:v>38.97</c:v>
                </c:pt>
                <c:pt idx="5">
                  <c:v>27.46</c:v>
                </c:pt>
                <c:pt idx="6">
                  <c:v>11.19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CB-4317-BDF5-91701848858E}"/>
            </c:ext>
          </c:extLst>
        </c:ser>
        <c:ser>
          <c:idx val="4"/>
          <c:order val="1"/>
          <c:tx>
            <c:v>Limite Inferior</c:v>
          </c:tx>
          <c:spPr>
            <a:ln w="3175">
              <a:solidFill>
                <a:srgbClr val="00008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'2° Granulometrías'!$B$14:$B$20</c:f>
              <c:strCache>
                <c:ptCount val="7"/>
                <c:pt idx="0">
                  <c:v>3/8"</c:v>
                </c:pt>
                <c:pt idx="1">
                  <c:v># 4</c:v>
                </c:pt>
                <c:pt idx="2">
                  <c:v># 8</c:v>
                </c:pt>
                <c:pt idx="3">
                  <c:v># 16</c:v>
                </c:pt>
                <c:pt idx="4">
                  <c:v># 30</c:v>
                </c:pt>
                <c:pt idx="5">
                  <c:v># 50</c:v>
                </c:pt>
                <c:pt idx="6">
                  <c:v># 100</c:v>
                </c:pt>
              </c:strCache>
            </c:strRef>
          </c:cat>
          <c:val>
            <c:numRef>
              <c:f>'2° Granulometrías'!$Y$14:$Y$20</c:f>
              <c:numCache>
                <c:formatCode>General</c:formatCode>
                <c:ptCount val="7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85</c:v>
                </c:pt>
                <c:pt idx="4">
                  <c:v>60</c:v>
                </c:pt>
                <c:pt idx="5">
                  <c:v>30</c:v>
                </c:pt>
                <c:pt idx="6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CB-4317-BDF5-91701848858E}"/>
            </c:ext>
          </c:extLst>
        </c:ser>
        <c:ser>
          <c:idx val="5"/>
          <c:order val="2"/>
          <c:tx>
            <c:v>Limite Superior</c:v>
          </c:tx>
          <c:spPr>
            <a:ln w="3175">
              <a:solidFill>
                <a:srgbClr val="00008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'2° Granulometrías'!$B$14:$B$20</c:f>
              <c:strCache>
                <c:ptCount val="7"/>
                <c:pt idx="0">
                  <c:v>3/8"</c:v>
                </c:pt>
                <c:pt idx="1">
                  <c:v># 4</c:v>
                </c:pt>
                <c:pt idx="2">
                  <c:v># 8</c:v>
                </c:pt>
                <c:pt idx="3">
                  <c:v># 16</c:v>
                </c:pt>
                <c:pt idx="4">
                  <c:v># 30</c:v>
                </c:pt>
                <c:pt idx="5">
                  <c:v># 50</c:v>
                </c:pt>
                <c:pt idx="6">
                  <c:v># 100</c:v>
                </c:pt>
              </c:strCache>
            </c:strRef>
          </c:cat>
          <c:val>
            <c:numRef>
              <c:f>'2° Granulometrías'!$X$14:$X$20</c:f>
              <c:numCache>
                <c:formatCode>General</c:formatCode>
                <c:ptCount val="7"/>
                <c:pt idx="0">
                  <c:v>100</c:v>
                </c:pt>
                <c:pt idx="1">
                  <c:v>95</c:v>
                </c:pt>
                <c:pt idx="2">
                  <c:v>80</c:v>
                </c:pt>
                <c:pt idx="3">
                  <c:v>50</c:v>
                </c:pt>
                <c:pt idx="4">
                  <c:v>25</c:v>
                </c:pt>
                <c:pt idx="5">
                  <c:v>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CB-4317-BDF5-917018488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754752"/>
        <c:axId val="143769600"/>
      </c:lineChart>
      <c:catAx>
        <c:axId val="143754752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25400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80"/>
                </a:solidFill>
                <a:latin typeface="Helv"/>
                <a:ea typeface="Helv"/>
                <a:cs typeface="Helv"/>
              </a:defRPr>
            </a:pPr>
            <a:endParaRPr lang="en-US"/>
          </a:p>
        </c:txPr>
        <c:crossAx val="1437696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43769600"/>
        <c:scaling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80"/>
                </a:solidFill>
                <a:latin typeface="Helv"/>
                <a:ea typeface="Helv"/>
                <a:cs typeface="Helv"/>
              </a:defRPr>
            </a:pPr>
            <a:endParaRPr lang="en-US"/>
          </a:p>
        </c:txPr>
        <c:crossAx val="143754752"/>
        <c:crosses val="autoZero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1905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80"/>
          </a:solidFill>
          <a:latin typeface="Helv"/>
          <a:ea typeface="Helv"/>
          <a:cs typeface="Helv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25423728813616"/>
          <c:y val="5.3435214089363102E-2"/>
          <c:w val="0.84237288135593158"/>
          <c:h val="0.76717700228300312"/>
        </c:manualLayout>
      </c:layout>
      <c:lineChart>
        <c:grouping val="standard"/>
        <c:varyColors val="0"/>
        <c:ser>
          <c:idx val="3"/>
          <c:order val="0"/>
          <c:tx>
            <c:strRef>
              <c:f>'2° Granulometrías'!$Q$6</c:f>
              <c:strCache>
                <c:ptCount val="1"/>
                <c:pt idx="0">
                  <c:v>AR1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'2° Granulometrías'!$B$14:$B$20</c:f>
              <c:strCache>
                <c:ptCount val="7"/>
                <c:pt idx="0">
                  <c:v>3/8"</c:v>
                </c:pt>
                <c:pt idx="1">
                  <c:v># 4</c:v>
                </c:pt>
                <c:pt idx="2">
                  <c:v># 8</c:v>
                </c:pt>
                <c:pt idx="3">
                  <c:v># 16</c:v>
                </c:pt>
                <c:pt idx="4">
                  <c:v># 30</c:v>
                </c:pt>
                <c:pt idx="5">
                  <c:v># 50</c:v>
                </c:pt>
                <c:pt idx="6">
                  <c:v># 100</c:v>
                </c:pt>
              </c:strCache>
            </c:strRef>
          </c:cat>
          <c:val>
            <c:numRef>
              <c:f>'2° Granulometrías'!$Q$14:$Q$20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5C-4677-9FF3-2804E2A1C469}"/>
            </c:ext>
          </c:extLst>
        </c:ser>
        <c:ser>
          <c:idx val="4"/>
          <c:order val="1"/>
          <c:tx>
            <c:v>Limite Inferior</c:v>
          </c:tx>
          <c:spPr>
            <a:ln w="3175">
              <a:solidFill>
                <a:srgbClr val="00008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'2° Granulometrías'!$B$14:$B$20</c:f>
              <c:strCache>
                <c:ptCount val="7"/>
                <c:pt idx="0">
                  <c:v>3/8"</c:v>
                </c:pt>
                <c:pt idx="1">
                  <c:v># 4</c:v>
                </c:pt>
                <c:pt idx="2">
                  <c:v># 8</c:v>
                </c:pt>
                <c:pt idx="3">
                  <c:v># 16</c:v>
                </c:pt>
                <c:pt idx="4">
                  <c:v># 30</c:v>
                </c:pt>
                <c:pt idx="5">
                  <c:v># 50</c:v>
                </c:pt>
                <c:pt idx="6">
                  <c:v># 100</c:v>
                </c:pt>
              </c:strCache>
            </c:strRef>
          </c:cat>
          <c:val>
            <c:numRef>
              <c:f>'2° Granulometrías'!$Y$14:$Y$20</c:f>
              <c:numCache>
                <c:formatCode>General</c:formatCode>
                <c:ptCount val="7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85</c:v>
                </c:pt>
                <c:pt idx="4">
                  <c:v>60</c:v>
                </c:pt>
                <c:pt idx="5">
                  <c:v>30</c:v>
                </c:pt>
                <c:pt idx="6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5C-4677-9FF3-2804E2A1C469}"/>
            </c:ext>
          </c:extLst>
        </c:ser>
        <c:ser>
          <c:idx val="5"/>
          <c:order val="2"/>
          <c:tx>
            <c:v>Limite Superior</c:v>
          </c:tx>
          <c:spPr>
            <a:ln w="3175">
              <a:solidFill>
                <a:srgbClr val="00008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'2° Granulometrías'!$B$14:$B$20</c:f>
              <c:strCache>
                <c:ptCount val="7"/>
                <c:pt idx="0">
                  <c:v>3/8"</c:v>
                </c:pt>
                <c:pt idx="1">
                  <c:v># 4</c:v>
                </c:pt>
                <c:pt idx="2">
                  <c:v># 8</c:v>
                </c:pt>
                <c:pt idx="3">
                  <c:v># 16</c:v>
                </c:pt>
                <c:pt idx="4">
                  <c:v># 30</c:v>
                </c:pt>
                <c:pt idx="5">
                  <c:v># 50</c:v>
                </c:pt>
                <c:pt idx="6">
                  <c:v># 100</c:v>
                </c:pt>
              </c:strCache>
            </c:strRef>
          </c:cat>
          <c:val>
            <c:numRef>
              <c:f>'2° Granulometrías'!$X$14:$X$20</c:f>
              <c:numCache>
                <c:formatCode>General</c:formatCode>
                <c:ptCount val="7"/>
                <c:pt idx="0">
                  <c:v>100</c:v>
                </c:pt>
                <c:pt idx="1">
                  <c:v>95</c:v>
                </c:pt>
                <c:pt idx="2">
                  <c:v>80</c:v>
                </c:pt>
                <c:pt idx="3">
                  <c:v>50</c:v>
                </c:pt>
                <c:pt idx="4">
                  <c:v>25</c:v>
                </c:pt>
                <c:pt idx="5">
                  <c:v>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5C-4677-9FF3-2804E2A1C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158016"/>
        <c:axId val="133159936"/>
      </c:lineChart>
      <c:catAx>
        <c:axId val="13315801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25400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80"/>
                </a:solidFill>
                <a:latin typeface="Helv"/>
                <a:ea typeface="Helv"/>
                <a:cs typeface="Helv"/>
              </a:defRPr>
            </a:pPr>
            <a:endParaRPr lang="en-US"/>
          </a:p>
        </c:txPr>
        <c:crossAx val="13315993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33159936"/>
        <c:scaling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80"/>
                </a:solidFill>
                <a:latin typeface="Helv"/>
                <a:ea typeface="Helv"/>
                <a:cs typeface="Helv"/>
              </a:defRPr>
            </a:pPr>
            <a:endParaRPr lang="en-US"/>
          </a:p>
        </c:txPr>
        <c:crossAx val="133158016"/>
        <c:crosses val="autoZero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1905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80"/>
          </a:solidFill>
          <a:latin typeface="Helv"/>
          <a:ea typeface="Helv"/>
          <a:cs typeface="Helv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56425363560225"/>
          <c:y val="5.4687604308327614E-2"/>
          <c:w val="0.85822147527437787"/>
          <c:h val="0.76172020286599162"/>
        </c:manualLayout>
      </c:layout>
      <c:lineChart>
        <c:grouping val="standard"/>
        <c:varyColors val="0"/>
        <c:ser>
          <c:idx val="3"/>
          <c:order val="0"/>
          <c:tx>
            <c:strRef>
              <c:f>'2° Granulometrías'!$T$5</c:f>
              <c:strCache>
                <c:ptCount val="1"/>
                <c:pt idx="0">
                  <c:v>Combo Gruesos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'2° Granulometrías'!$B$9:$B$17</c:f>
              <c:strCache>
                <c:ptCount val="9"/>
                <c:pt idx="0">
                  <c:v>2"</c:v>
                </c:pt>
                <c:pt idx="1">
                  <c:v>1 1/2"</c:v>
                </c:pt>
                <c:pt idx="2">
                  <c:v>1"</c:v>
                </c:pt>
                <c:pt idx="3">
                  <c:v>3/4"</c:v>
                </c:pt>
                <c:pt idx="4">
                  <c:v>1/2"</c:v>
                </c:pt>
                <c:pt idx="5">
                  <c:v>3/8"</c:v>
                </c:pt>
                <c:pt idx="6">
                  <c:v># 4</c:v>
                </c:pt>
                <c:pt idx="7">
                  <c:v># 8</c:v>
                </c:pt>
                <c:pt idx="8">
                  <c:v># 16</c:v>
                </c:pt>
              </c:strCache>
            </c:strRef>
          </c:cat>
          <c:val>
            <c:numRef>
              <c:f>'2° Granulometrías'!$T$9:$T$17</c:f>
              <c:numCache>
                <c:formatCode>0.0</c:formatCode>
                <c:ptCount val="9"/>
                <c:pt idx="0">
                  <c:v>100</c:v>
                </c:pt>
                <c:pt idx="1">
                  <c:v>100</c:v>
                </c:pt>
                <c:pt idx="2">
                  <c:v>90</c:v>
                </c:pt>
                <c:pt idx="3">
                  <c:v>64.400000000000006</c:v>
                </c:pt>
                <c:pt idx="4">
                  <c:v>40.299999999999997</c:v>
                </c:pt>
                <c:pt idx="5">
                  <c:v>10.47</c:v>
                </c:pt>
                <c:pt idx="6">
                  <c:v>0.32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4A-4F73-AE1A-6F573353A0F5}"/>
            </c:ext>
          </c:extLst>
        </c:ser>
        <c:ser>
          <c:idx val="4"/>
          <c:order val="1"/>
          <c:tx>
            <c:v>Límite Inferior</c:v>
          </c:tx>
          <c:spPr>
            <a:ln w="3175">
              <a:solidFill>
                <a:srgbClr val="00008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'2° Granulometrías'!$B$9:$B$17</c:f>
              <c:strCache>
                <c:ptCount val="9"/>
                <c:pt idx="0">
                  <c:v>2"</c:v>
                </c:pt>
                <c:pt idx="1">
                  <c:v>1 1/2"</c:v>
                </c:pt>
                <c:pt idx="2">
                  <c:v>1"</c:v>
                </c:pt>
                <c:pt idx="3">
                  <c:v>3/4"</c:v>
                </c:pt>
                <c:pt idx="4">
                  <c:v>1/2"</c:v>
                </c:pt>
                <c:pt idx="5">
                  <c:v>3/8"</c:v>
                </c:pt>
                <c:pt idx="6">
                  <c:v># 4</c:v>
                </c:pt>
                <c:pt idx="7">
                  <c:v># 8</c:v>
                </c:pt>
                <c:pt idx="8">
                  <c:v># 16</c:v>
                </c:pt>
              </c:strCache>
            </c:strRef>
          </c:cat>
          <c:val>
            <c:numRef>
              <c:f>'2° Granulometrías'!$AA$9:$AA$17</c:f>
              <c:numCache>
                <c:formatCode>General</c:formatCode>
                <c:ptCount val="9"/>
                <c:pt idx="0">
                  <c:v>100</c:v>
                </c:pt>
                <c:pt idx="1">
                  <c:v>100</c:v>
                </c:pt>
                <c:pt idx="2">
                  <c:v>85</c:v>
                </c:pt>
                <c:pt idx="3">
                  <c:v>70</c:v>
                </c:pt>
                <c:pt idx="4">
                  <c:v>55</c:v>
                </c:pt>
                <c:pt idx="5">
                  <c:v>30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4A-4F73-AE1A-6F573353A0F5}"/>
            </c:ext>
          </c:extLst>
        </c:ser>
        <c:ser>
          <c:idx val="5"/>
          <c:order val="2"/>
          <c:tx>
            <c:v>Límite Superior</c:v>
          </c:tx>
          <c:spPr>
            <a:ln w="3175">
              <a:solidFill>
                <a:srgbClr val="00008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'2° Granulometrías'!$B$9:$B$17</c:f>
              <c:strCache>
                <c:ptCount val="9"/>
                <c:pt idx="0">
                  <c:v>2"</c:v>
                </c:pt>
                <c:pt idx="1">
                  <c:v>1 1/2"</c:v>
                </c:pt>
                <c:pt idx="2">
                  <c:v>1"</c:v>
                </c:pt>
                <c:pt idx="3">
                  <c:v>3/4"</c:v>
                </c:pt>
                <c:pt idx="4">
                  <c:v>1/2"</c:v>
                </c:pt>
                <c:pt idx="5">
                  <c:v>3/8"</c:v>
                </c:pt>
                <c:pt idx="6">
                  <c:v># 4</c:v>
                </c:pt>
                <c:pt idx="7">
                  <c:v># 8</c:v>
                </c:pt>
                <c:pt idx="8">
                  <c:v># 16</c:v>
                </c:pt>
              </c:strCache>
            </c:strRef>
          </c:cat>
          <c:val>
            <c:numRef>
              <c:f>'2° Granulometrías'!$Z$9:$Z$17</c:f>
              <c:numCache>
                <c:formatCode>General</c:formatCode>
                <c:ptCount val="9"/>
                <c:pt idx="0">
                  <c:v>100</c:v>
                </c:pt>
                <c:pt idx="1">
                  <c:v>90</c:v>
                </c:pt>
                <c:pt idx="2">
                  <c:v>60</c:v>
                </c:pt>
                <c:pt idx="3">
                  <c:v>35</c:v>
                </c:pt>
                <c:pt idx="4">
                  <c:v>20</c:v>
                </c:pt>
                <c:pt idx="5">
                  <c:v>10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4A-4F73-AE1A-6F573353A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805824"/>
        <c:axId val="143812096"/>
      </c:lineChart>
      <c:catAx>
        <c:axId val="14380582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80"/>
                    </a:solidFill>
                    <a:latin typeface="Helv"/>
                    <a:ea typeface="Helv"/>
                    <a:cs typeface="Helv"/>
                  </a:defRPr>
                </a:pPr>
                <a:r>
                  <a:rPr lang="en-US"/>
                  <a:t>Malla</a:t>
                </a:r>
              </a:p>
            </c:rich>
          </c:tx>
          <c:layout>
            <c:manualLayout>
              <c:xMode val="edge"/>
              <c:yMode val="edge"/>
              <c:x val="0.49924658754976914"/>
              <c:y val="0.89453295618620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25400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80"/>
                </a:solidFill>
                <a:latin typeface="Helv"/>
                <a:ea typeface="Helv"/>
                <a:cs typeface="Helv"/>
              </a:defRPr>
            </a:pPr>
            <a:endParaRPr lang="en-US"/>
          </a:p>
        </c:txPr>
        <c:crossAx val="1438120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43812096"/>
        <c:scaling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Porcentaje que pasa (%)</a:t>
                </a:r>
              </a:p>
            </c:rich>
          </c:tx>
          <c:layout>
            <c:manualLayout>
              <c:xMode val="edge"/>
              <c:yMode val="edge"/>
              <c:x val="7.5414892379119004E-3"/>
              <c:y val="1.9531287252974042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cross"/>
        <c:minorTickMark val="none"/>
        <c:tickLblPos val="nextTo"/>
        <c:spPr>
          <a:ln w="3175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80"/>
                </a:solidFill>
                <a:latin typeface="Helv"/>
                <a:ea typeface="Helv"/>
                <a:cs typeface="Helv"/>
              </a:defRPr>
            </a:pPr>
            <a:endParaRPr lang="en-US"/>
          </a:p>
        </c:txPr>
        <c:crossAx val="14380582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8702151478377038"/>
          <c:y val="5.4907187806343481E-2"/>
          <c:w val="0.27112051853733338"/>
          <c:h val="0.23206937988173165"/>
        </c:manualLayout>
      </c:layout>
      <c:overlay val="0"/>
      <c:spPr>
        <a:solidFill>
          <a:srgbClr val="FFFFFF"/>
        </a:solidFill>
        <a:ln w="3175">
          <a:solidFill>
            <a:srgbClr val="C0C0C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80"/>
              </a:solidFill>
              <a:latin typeface="Helv"/>
              <a:ea typeface="Helv"/>
              <a:cs typeface="Helv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80"/>
          </a:solidFill>
          <a:latin typeface="Helv"/>
          <a:ea typeface="Helv"/>
          <a:cs typeface="Helv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409395973154372"/>
          <c:y val="5.6680273991558852E-2"/>
          <c:w val="0.84395973154362758"/>
          <c:h val="0.75303792588785257"/>
        </c:manualLayout>
      </c:layout>
      <c:lineChart>
        <c:grouping val="standard"/>
        <c:varyColors val="0"/>
        <c:ser>
          <c:idx val="3"/>
          <c:order val="0"/>
          <c:tx>
            <c:strRef>
              <c:f>'2° Granulometrías'!$U$5</c:f>
              <c:strCache>
                <c:ptCount val="1"/>
                <c:pt idx="0">
                  <c:v>Combo Finos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'2° Granulometrías'!$B$14:$B$20</c:f>
              <c:strCache>
                <c:ptCount val="7"/>
                <c:pt idx="0">
                  <c:v>3/8"</c:v>
                </c:pt>
                <c:pt idx="1">
                  <c:v># 4</c:v>
                </c:pt>
                <c:pt idx="2">
                  <c:v># 8</c:v>
                </c:pt>
                <c:pt idx="3">
                  <c:v># 16</c:v>
                </c:pt>
                <c:pt idx="4">
                  <c:v># 30</c:v>
                </c:pt>
                <c:pt idx="5">
                  <c:v># 50</c:v>
                </c:pt>
                <c:pt idx="6">
                  <c:v># 100</c:v>
                </c:pt>
              </c:strCache>
            </c:strRef>
          </c:cat>
          <c:val>
            <c:numRef>
              <c:f>'2° Granulometrías'!$U$14:$U$20</c:f>
              <c:numCache>
                <c:formatCode>0.0</c:formatCode>
                <c:ptCount val="7"/>
                <c:pt idx="0">
                  <c:v>100</c:v>
                </c:pt>
                <c:pt idx="1">
                  <c:v>88</c:v>
                </c:pt>
                <c:pt idx="2">
                  <c:v>67</c:v>
                </c:pt>
                <c:pt idx="3">
                  <c:v>54.32</c:v>
                </c:pt>
                <c:pt idx="4">
                  <c:v>38.97</c:v>
                </c:pt>
                <c:pt idx="5">
                  <c:v>27.46</c:v>
                </c:pt>
                <c:pt idx="6">
                  <c:v>11.19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52-4FED-89AF-A65846FB3C25}"/>
            </c:ext>
          </c:extLst>
        </c:ser>
        <c:ser>
          <c:idx val="4"/>
          <c:order val="1"/>
          <c:tx>
            <c:v>Limite Inferior</c:v>
          </c:tx>
          <c:spPr>
            <a:ln w="3175">
              <a:solidFill>
                <a:srgbClr val="00008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'2° Granulometrías'!$B$14:$B$20</c:f>
              <c:strCache>
                <c:ptCount val="7"/>
                <c:pt idx="0">
                  <c:v>3/8"</c:v>
                </c:pt>
                <c:pt idx="1">
                  <c:v># 4</c:v>
                </c:pt>
                <c:pt idx="2">
                  <c:v># 8</c:v>
                </c:pt>
                <c:pt idx="3">
                  <c:v># 16</c:v>
                </c:pt>
                <c:pt idx="4">
                  <c:v># 30</c:v>
                </c:pt>
                <c:pt idx="5">
                  <c:v># 50</c:v>
                </c:pt>
                <c:pt idx="6">
                  <c:v># 100</c:v>
                </c:pt>
              </c:strCache>
            </c:strRef>
          </c:cat>
          <c:val>
            <c:numRef>
              <c:f>'2° Granulometrías'!$Y$14:$Y$20</c:f>
              <c:numCache>
                <c:formatCode>General</c:formatCode>
                <c:ptCount val="7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85</c:v>
                </c:pt>
                <c:pt idx="4">
                  <c:v>60</c:v>
                </c:pt>
                <c:pt idx="5">
                  <c:v>30</c:v>
                </c:pt>
                <c:pt idx="6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52-4FED-89AF-A65846FB3C25}"/>
            </c:ext>
          </c:extLst>
        </c:ser>
        <c:ser>
          <c:idx val="5"/>
          <c:order val="2"/>
          <c:tx>
            <c:v>Limite Superior</c:v>
          </c:tx>
          <c:spPr>
            <a:ln w="3175">
              <a:solidFill>
                <a:srgbClr val="00008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'2° Granulometrías'!$B$14:$B$20</c:f>
              <c:strCache>
                <c:ptCount val="7"/>
                <c:pt idx="0">
                  <c:v>3/8"</c:v>
                </c:pt>
                <c:pt idx="1">
                  <c:v># 4</c:v>
                </c:pt>
                <c:pt idx="2">
                  <c:v># 8</c:v>
                </c:pt>
                <c:pt idx="3">
                  <c:v># 16</c:v>
                </c:pt>
                <c:pt idx="4">
                  <c:v># 30</c:v>
                </c:pt>
                <c:pt idx="5">
                  <c:v># 50</c:v>
                </c:pt>
                <c:pt idx="6">
                  <c:v># 100</c:v>
                </c:pt>
              </c:strCache>
            </c:strRef>
          </c:cat>
          <c:val>
            <c:numRef>
              <c:f>'2° Granulometrías'!$X$14:$X$20</c:f>
              <c:numCache>
                <c:formatCode>General</c:formatCode>
                <c:ptCount val="7"/>
                <c:pt idx="0">
                  <c:v>100</c:v>
                </c:pt>
                <c:pt idx="1">
                  <c:v>95</c:v>
                </c:pt>
                <c:pt idx="2">
                  <c:v>80</c:v>
                </c:pt>
                <c:pt idx="3">
                  <c:v>50</c:v>
                </c:pt>
                <c:pt idx="4">
                  <c:v>25</c:v>
                </c:pt>
                <c:pt idx="5">
                  <c:v>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52-4FED-89AF-A65846FB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880192"/>
        <c:axId val="143882496"/>
      </c:lineChart>
      <c:catAx>
        <c:axId val="143880192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80"/>
                    </a:solidFill>
                    <a:latin typeface="Helv"/>
                    <a:ea typeface="Helv"/>
                    <a:cs typeface="Helv"/>
                  </a:defRPr>
                </a:pPr>
                <a:r>
                  <a:rPr lang="en-US"/>
                  <a:t>Malla</a:t>
                </a:r>
              </a:p>
            </c:rich>
          </c:tx>
          <c:layout>
            <c:manualLayout>
              <c:xMode val="edge"/>
              <c:yMode val="edge"/>
              <c:x val="0.48825503355704697"/>
              <c:y val="0.89069001986735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25400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80"/>
                </a:solidFill>
                <a:latin typeface="Helv"/>
                <a:ea typeface="Helv"/>
                <a:cs typeface="Helv"/>
              </a:defRPr>
            </a:pPr>
            <a:endParaRPr lang="en-US"/>
          </a:p>
        </c:txPr>
        <c:crossAx val="1438824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43882496"/>
        <c:scaling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Porcentaje que pasa (%)</a:t>
                </a:r>
              </a:p>
            </c:rich>
          </c:tx>
          <c:layout>
            <c:manualLayout>
              <c:xMode val="edge"/>
              <c:yMode val="edge"/>
              <c:x val="8.3892617449664447E-3"/>
              <c:y val="2.0242954996985304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cross"/>
        <c:minorTickMark val="none"/>
        <c:tickLblPos val="nextTo"/>
        <c:spPr>
          <a:ln w="3175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80"/>
                </a:solidFill>
                <a:latin typeface="Helv"/>
                <a:ea typeface="Helv"/>
                <a:cs typeface="Helv"/>
              </a:defRPr>
            </a:pPr>
            <a:endParaRPr lang="en-US"/>
          </a:p>
        </c:txPr>
        <c:crossAx val="14388019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1381005343190307"/>
          <c:y val="5.6460336824094175E-2"/>
          <c:w val="0.2407451820185541"/>
          <c:h val="0.2233080371995754"/>
        </c:manualLayout>
      </c:layout>
      <c:overlay val="0"/>
      <c:spPr>
        <a:solidFill>
          <a:srgbClr val="FFFFFF"/>
        </a:solidFill>
        <a:ln w="3175">
          <a:solidFill>
            <a:srgbClr val="C0C0C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80"/>
              </a:solidFill>
              <a:latin typeface="Helv"/>
              <a:ea typeface="Helv"/>
              <a:cs typeface="Helv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80"/>
          </a:solidFill>
          <a:latin typeface="Helv"/>
          <a:ea typeface="Helv"/>
          <a:cs typeface="Helv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46208953363172"/>
          <c:y val="5.2238901146552073E-2"/>
          <c:w val="0.84802494540224949"/>
          <c:h val="0.77238946695259436"/>
        </c:manualLayout>
      </c:layout>
      <c:lineChart>
        <c:grouping val="standard"/>
        <c:varyColors val="0"/>
        <c:ser>
          <c:idx val="3"/>
          <c:order val="0"/>
          <c:tx>
            <c:strRef>
              <c:f>'2° Granulometrías'!$D$6</c:f>
              <c:strCache>
                <c:ptCount val="1"/>
                <c:pt idx="0">
                  <c:v>GB2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'2° Granulometrías'!$AC$38:$AC$44</c:f>
              <c:strCache>
                <c:ptCount val="7"/>
                <c:pt idx="0">
                  <c:v>1"</c:v>
                </c:pt>
                <c:pt idx="1">
                  <c:v>3/4"</c:v>
                </c:pt>
                <c:pt idx="2">
                  <c:v>1/2"</c:v>
                </c:pt>
                <c:pt idx="3">
                  <c:v>3/8"</c:v>
                </c:pt>
                <c:pt idx="4">
                  <c:v># 4</c:v>
                </c:pt>
                <c:pt idx="5">
                  <c:v># 8</c:v>
                </c:pt>
                <c:pt idx="6">
                  <c:v>0    </c:v>
                </c:pt>
              </c:strCache>
            </c:strRef>
          </c:cat>
          <c:val>
            <c:numRef>
              <c:f>'2° Granulometrías'!$AD$38:$AD$44</c:f>
              <c:numCache>
                <c:formatCode>0.00</c:formatCode>
                <c:ptCount val="7"/>
                <c:pt idx="0">
                  <c:v>90</c:v>
                </c:pt>
                <c:pt idx="1">
                  <c:v>64.400000000000006</c:v>
                </c:pt>
                <c:pt idx="2">
                  <c:v>40.299999999999997</c:v>
                </c:pt>
                <c:pt idx="3">
                  <c:v>10.47</c:v>
                </c:pt>
                <c:pt idx="4">
                  <c:v>0.32</c:v>
                </c:pt>
                <c:pt idx="5">
                  <c:v>0.15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13-45E0-93AB-7C8A7FCDA8A1}"/>
            </c:ext>
          </c:extLst>
        </c:ser>
        <c:ser>
          <c:idx val="4"/>
          <c:order val="1"/>
          <c:tx>
            <c:v>Limite Inferior</c:v>
          </c:tx>
          <c:spPr>
            <a:ln w="3175">
              <a:solidFill>
                <a:srgbClr val="00008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'2° Granulometrías'!$AC$38:$AC$44</c:f>
              <c:strCache>
                <c:ptCount val="7"/>
                <c:pt idx="0">
                  <c:v>1"</c:v>
                </c:pt>
                <c:pt idx="1">
                  <c:v>3/4"</c:v>
                </c:pt>
                <c:pt idx="2">
                  <c:v>1/2"</c:v>
                </c:pt>
                <c:pt idx="3">
                  <c:v>3/8"</c:v>
                </c:pt>
                <c:pt idx="4">
                  <c:v># 4</c:v>
                </c:pt>
                <c:pt idx="5">
                  <c:v># 8</c:v>
                </c:pt>
                <c:pt idx="6">
                  <c:v>0    </c:v>
                </c:pt>
              </c:strCache>
            </c:strRef>
          </c:cat>
          <c:val>
            <c:numRef>
              <c:f>'2° Granulometrías'!$AE$38:$AE$44</c:f>
              <c:numCache>
                <c:formatCode>#\ ?/?</c:formatCode>
                <c:ptCount val="7"/>
                <c:pt idx="0">
                  <c:v>100</c:v>
                </c:pt>
                <c:pt idx="1">
                  <c:v>90</c:v>
                </c:pt>
                <c:pt idx="2">
                  <c:v>40</c:v>
                </c:pt>
                <c:pt idx="3">
                  <c:v>20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13-45E0-93AB-7C8A7FCDA8A1}"/>
            </c:ext>
          </c:extLst>
        </c:ser>
        <c:ser>
          <c:idx val="5"/>
          <c:order val="2"/>
          <c:tx>
            <c:v>Limite Superior</c:v>
          </c:tx>
          <c:spPr>
            <a:ln w="3175">
              <a:solidFill>
                <a:srgbClr val="00008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'2° Granulometrías'!$AC$38:$AC$44</c:f>
              <c:strCache>
                <c:ptCount val="7"/>
                <c:pt idx="0">
                  <c:v>1"</c:v>
                </c:pt>
                <c:pt idx="1">
                  <c:v>3/4"</c:v>
                </c:pt>
                <c:pt idx="2">
                  <c:v>1/2"</c:v>
                </c:pt>
                <c:pt idx="3">
                  <c:v>3/8"</c:v>
                </c:pt>
                <c:pt idx="4">
                  <c:v># 4</c:v>
                </c:pt>
                <c:pt idx="5">
                  <c:v># 8</c:v>
                </c:pt>
                <c:pt idx="6">
                  <c:v>0    </c:v>
                </c:pt>
              </c:strCache>
            </c:strRef>
          </c:cat>
          <c:val>
            <c:numRef>
              <c:f>'2° Granulometrías'!$AF$38:$AF$44</c:f>
              <c:numCache>
                <c:formatCode>#\ ?/?</c:formatCode>
                <c:ptCount val="7"/>
                <c:pt idx="0">
                  <c:v>100</c:v>
                </c:pt>
                <c:pt idx="1">
                  <c:v>100</c:v>
                </c:pt>
                <c:pt idx="2">
                  <c:v>70</c:v>
                </c:pt>
                <c:pt idx="3">
                  <c:v>55</c:v>
                </c:pt>
                <c:pt idx="4">
                  <c:v>10</c:v>
                </c:pt>
                <c:pt idx="5">
                  <c:v>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13-45E0-93AB-7C8A7FCDA8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318912"/>
        <c:axId val="133350528"/>
      </c:lineChart>
      <c:catAx>
        <c:axId val="133318912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80"/>
                    </a:solidFill>
                    <a:latin typeface="Helv"/>
                    <a:ea typeface="Helv"/>
                    <a:cs typeface="Helv"/>
                  </a:defRPr>
                </a:pPr>
                <a:r>
                  <a:rPr lang="en-US"/>
                  <a:t>Malla</a:t>
                </a:r>
              </a:p>
            </c:rich>
          </c:tx>
          <c:layout>
            <c:manualLayout>
              <c:xMode val="edge"/>
              <c:yMode val="edge"/>
              <c:x val="0.50455964493467198"/>
              <c:y val="0.899255369737071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25400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80"/>
                </a:solidFill>
                <a:latin typeface="Helv"/>
                <a:ea typeface="Helv"/>
                <a:cs typeface="Helv"/>
              </a:defRPr>
            </a:pPr>
            <a:endParaRPr lang="en-US"/>
          </a:p>
        </c:txPr>
        <c:crossAx val="1333505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33350528"/>
        <c:scaling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Porcentaje que pasa (%)</a:t>
                </a:r>
              </a:p>
            </c:rich>
          </c:tx>
          <c:layout>
            <c:manualLayout>
              <c:xMode val="edge"/>
              <c:yMode val="edge"/>
              <c:x val="7.5987898333534929E-3"/>
              <c:y val="1.8656750409482881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cross"/>
        <c:minorTickMark val="none"/>
        <c:tickLblPos val="nextTo"/>
        <c:spPr>
          <a:ln w="3175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80"/>
                </a:solidFill>
                <a:latin typeface="Helv"/>
                <a:ea typeface="Helv"/>
                <a:cs typeface="Helv"/>
              </a:defRPr>
            </a:pPr>
            <a:endParaRPr lang="en-US"/>
          </a:p>
        </c:txPr>
        <c:crossAx val="13331891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9452939076850961"/>
          <c:y val="5.9701601310345749E-2"/>
          <c:w val="0.26595764416737228"/>
          <c:h val="0.30223935663362173"/>
        </c:manualLayout>
      </c:layout>
      <c:overlay val="0"/>
      <c:spPr>
        <a:solidFill>
          <a:srgbClr val="FFFFFF"/>
        </a:solidFill>
        <a:ln w="3175">
          <a:solidFill>
            <a:srgbClr val="C0C0C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80"/>
              </a:solidFill>
              <a:latin typeface="Helv"/>
              <a:ea typeface="Helv"/>
              <a:cs typeface="Helv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80"/>
          </a:solidFill>
          <a:latin typeface="Helv"/>
          <a:ea typeface="Helv"/>
          <a:cs typeface="Helv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29135053110779"/>
          <c:y val="5.3846153846153863E-2"/>
          <c:w val="0.85432473444613322"/>
          <c:h val="0.76538461538461799"/>
        </c:manualLayout>
      </c:layout>
      <c:lineChart>
        <c:grouping val="standard"/>
        <c:varyColors val="0"/>
        <c:ser>
          <c:idx val="3"/>
          <c:order val="0"/>
          <c:tx>
            <c:strRef>
              <c:f>'2° Granulometrías'!$H$6</c:f>
              <c:strCache>
                <c:ptCount val="1"/>
                <c:pt idx="0">
                  <c:v>GB4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'2° Granulometrías'!$AH$38:$AH$44</c:f>
              <c:strCache>
                <c:ptCount val="7"/>
                <c:pt idx="0">
                  <c:v>2"</c:v>
                </c:pt>
                <c:pt idx="1">
                  <c:v>1 1/2"</c:v>
                </c:pt>
                <c:pt idx="2">
                  <c:v>1"</c:v>
                </c:pt>
                <c:pt idx="3">
                  <c:v>3/4"</c:v>
                </c:pt>
                <c:pt idx="4">
                  <c:v>1/2"</c:v>
                </c:pt>
                <c:pt idx="5">
                  <c:v>3/8"</c:v>
                </c:pt>
                <c:pt idx="6">
                  <c:v># 4</c:v>
                </c:pt>
              </c:strCache>
            </c:strRef>
          </c:cat>
          <c:val>
            <c:numRef>
              <c:f>'2° Granulometrías'!$AI$38:$AI$44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DE-446D-A201-B222901C3A8B}"/>
            </c:ext>
          </c:extLst>
        </c:ser>
        <c:ser>
          <c:idx val="4"/>
          <c:order val="1"/>
          <c:spPr>
            <a:ln w="3175">
              <a:solidFill>
                <a:srgbClr val="00008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'2° Granulometrías'!$AH$38:$AH$44</c:f>
              <c:strCache>
                <c:ptCount val="7"/>
                <c:pt idx="0">
                  <c:v>2"</c:v>
                </c:pt>
                <c:pt idx="1">
                  <c:v>1 1/2"</c:v>
                </c:pt>
                <c:pt idx="2">
                  <c:v>1"</c:v>
                </c:pt>
                <c:pt idx="3">
                  <c:v>3/4"</c:v>
                </c:pt>
                <c:pt idx="4">
                  <c:v>1/2"</c:v>
                </c:pt>
                <c:pt idx="5">
                  <c:v>3/8"</c:v>
                </c:pt>
                <c:pt idx="6">
                  <c:v># 4</c:v>
                </c:pt>
              </c:strCache>
            </c:strRef>
          </c:cat>
          <c:val>
            <c:numRef>
              <c:f>'2° Granulometrías'!$AJ$38:$AJ$44</c:f>
              <c:numCache>
                <c:formatCode>#\ ?/?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DE-446D-A201-B222901C3A8B}"/>
            </c:ext>
          </c:extLst>
        </c:ser>
        <c:ser>
          <c:idx val="5"/>
          <c:order val="2"/>
          <c:spPr>
            <a:ln w="3175">
              <a:solidFill>
                <a:srgbClr val="00008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'2° Granulometrías'!$AH$38:$AH$44</c:f>
              <c:strCache>
                <c:ptCount val="7"/>
                <c:pt idx="0">
                  <c:v>2"</c:v>
                </c:pt>
                <c:pt idx="1">
                  <c:v>1 1/2"</c:v>
                </c:pt>
                <c:pt idx="2">
                  <c:v>1"</c:v>
                </c:pt>
                <c:pt idx="3">
                  <c:v>3/4"</c:v>
                </c:pt>
                <c:pt idx="4">
                  <c:v>1/2"</c:v>
                </c:pt>
                <c:pt idx="5">
                  <c:v>3/8"</c:v>
                </c:pt>
                <c:pt idx="6">
                  <c:v># 4</c:v>
                </c:pt>
              </c:strCache>
            </c:strRef>
          </c:cat>
          <c:val>
            <c:numRef>
              <c:f>'2° Granulometrías'!$AK$38:$AK$44</c:f>
              <c:numCache>
                <c:formatCode>#\ ?/?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DE-446D-A201-B222901C3A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028480"/>
        <c:axId val="133075712"/>
      </c:lineChart>
      <c:catAx>
        <c:axId val="133028480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80"/>
                    </a:solidFill>
                    <a:latin typeface="Helv"/>
                    <a:ea typeface="Helv"/>
                    <a:cs typeface="Helv"/>
                  </a:defRPr>
                </a:pPr>
                <a:r>
                  <a:rPr lang="en-US"/>
                  <a:t>Malla</a:t>
                </a:r>
              </a:p>
            </c:rich>
          </c:tx>
          <c:layout>
            <c:manualLayout>
              <c:xMode val="edge"/>
              <c:yMode val="edge"/>
              <c:x val="0.50682852807283751"/>
              <c:y val="0.8961538461538466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25400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80"/>
                </a:solidFill>
                <a:latin typeface="Helv"/>
                <a:ea typeface="Helv"/>
                <a:cs typeface="Helv"/>
              </a:defRPr>
            </a:pPr>
            <a:endParaRPr lang="en-US"/>
          </a:p>
        </c:txPr>
        <c:crossAx val="1330757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33075712"/>
        <c:scaling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Porcentaje que pasa (%)</a:t>
                </a:r>
              </a:p>
            </c:rich>
          </c:tx>
          <c:layout>
            <c:manualLayout>
              <c:xMode val="edge"/>
              <c:yMode val="edge"/>
              <c:x val="7.5872534142640991E-3"/>
              <c:y val="1.923076923076935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cross"/>
        <c:minorTickMark val="none"/>
        <c:tickLblPos val="nextTo"/>
        <c:spPr>
          <a:ln w="3175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80"/>
                </a:solidFill>
                <a:latin typeface="Helv"/>
                <a:ea typeface="Helv"/>
                <a:cs typeface="Helv"/>
              </a:defRPr>
            </a:pPr>
            <a:endParaRPr lang="en-US"/>
          </a:p>
        </c:txPr>
        <c:crossAx val="1330284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8588770864946891"/>
          <c:y val="6.5384615384615402E-2"/>
          <c:w val="0.26555386949924326"/>
          <c:h val="0.31153846153846393"/>
        </c:manualLayout>
      </c:layout>
      <c:overlay val="0"/>
      <c:spPr>
        <a:solidFill>
          <a:srgbClr val="FFFFFF"/>
        </a:solidFill>
        <a:ln w="3175">
          <a:solidFill>
            <a:srgbClr val="C0C0C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80"/>
              </a:solidFill>
              <a:latin typeface="Helv"/>
              <a:ea typeface="Helv"/>
              <a:cs typeface="Helv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80"/>
          </a:solidFill>
          <a:latin typeface="Helv"/>
          <a:ea typeface="Helv"/>
          <a:cs typeface="Helv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1448506597485"/>
          <c:y val="5.2434648710530454E-2"/>
          <c:w val="0.84525859022283034"/>
          <c:h val="0.77153840245494865"/>
        </c:manualLayout>
      </c:layout>
      <c:lineChart>
        <c:grouping val="standard"/>
        <c:varyColors val="0"/>
        <c:ser>
          <c:idx val="3"/>
          <c:order val="0"/>
          <c:tx>
            <c:strRef>
              <c:f>'2° Granulometrías'!$P$6</c:f>
              <c:strCache>
                <c:ptCount val="1"/>
                <c:pt idx="0">
                  <c:v>AC2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'2° Granulometrías'!$B$14:$B$20</c:f>
              <c:strCache>
                <c:ptCount val="7"/>
                <c:pt idx="0">
                  <c:v>3/8"</c:v>
                </c:pt>
                <c:pt idx="1">
                  <c:v># 4</c:v>
                </c:pt>
                <c:pt idx="2">
                  <c:v># 8</c:v>
                </c:pt>
                <c:pt idx="3">
                  <c:v># 16</c:v>
                </c:pt>
                <c:pt idx="4">
                  <c:v># 30</c:v>
                </c:pt>
                <c:pt idx="5">
                  <c:v># 50</c:v>
                </c:pt>
                <c:pt idx="6">
                  <c:v># 100</c:v>
                </c:pt>
              </c:strCache>
            </c:strRef>
          </c:cat>
          <c:val>
            <c:numRef>
              <c:f>'2° Granulometrías'!$P$14:$P$20</c:f>
              <c:numCache>
                <c:formatCode>0.0</c:formatCode>
                <c:ptCount val="7"/>
                <c:pt idx="0">
                  <c:v>100</c:v>
                </c:pt>
                <c:pt idx="1">
                  <c:v>88</c:v>
                </c:pt>
                <c:pt idx="2">
                  <c:v>67</c:v>
                </c:pt>
                <c:pt idx="3">
                  <c:v>54.32</c:v>
                </c:pt>
                <c:pt idx="4">
                  <c:v>38.97</c:v>
                </c:pt>
                <c:pt idx="5">
                  <c:v>27.46</c:v>
                </c:pt>
                <c:pt idx="6">
                  <c:v>11.19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65-4071-885A-4FD6CFA346EE}"/>
            </c:ext>
          </c:extLst>
        </c:ser>
        <c:ser>
          <c:idx val="4"/>
          <c:order val="1"/>
          <c:tx>
            <c:v>Limite Inferior</c:v>
          </c:tx>
          <c:spPr>
            <a:ln w="3175">
              <a:solidFill>
                <a:srgbClr val="00008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'2° Granulometrías'!$B$14:$B$20</c:f>
              <c:strCache>
                <c:ptCount val="7"/>
                <c:pt idx="0">
                  <c:v>3/8"</c:v>
                </c:pt>
                <c:pt idx="1">
                  <c:v># 4</c:v>
                </c:pt>
                <c:pt idx="2">
                  <c:v># 8</c:v>
                </c:pt>
                <c:pt idx="3">
                  <c:v># 16</c:v>
                </c:pt>
                <c:pt idx="4">
                  <c:v># 30</c:v>
                </c:pt>
                <c:pt idx="5">
                  <c:v># 50</c:v>
                </c:pt>
                <c:pt idx="6">
                  <c:v># 100</c:v>
                </c:pt>
              </c:strCache>
            </c:strRef>
          </c:cat>
          <c:val>
            <c:numRef>
              <c:f>'2° Granulometrías'!$Y$14:$Y$20</c:f>
              <c:numCache>
                <c:formatCode>General</c:formatCode>
                <c:ptCount val="7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85</c:v>
                </c:pt>
                <c:pt idx="4">
                  <c:v>60</c:v>
                </c:pt>
                <c:pt idx="5">
                  <c:v>30</c:v>
                </c:pt>
                <c:pt idx="6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65-4071-885A-4FD6CFA346EE}"/>
            </c:ext>
          </c:extLst>
        </c:ser>
        <c:ser>
          <c:idx val="5"/>
          <c:order val="2"/>
          <c:tx>
            <c:v>Limite Superior</c:v>
          </c:tx>
          <c:spPr>
            <a:ln w="3175">
              <a:solidFill>
                <a:srgbClr val="00008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'2° Granulometrías'!$B$14:$B$20</c:f>
              <c:strCache>
                <c:ptCount val="7"/>
                <c:pt idx="0">
                  <c:v>3/8"</c:v>
                </c:pt>
                <c:pt idx="1">
                  <c:v># 4</c:v>
                </c:pt>
                <c:pt idx="2">
                  <c:v># 8</c:v>
                </c:pt>
                <c:pt idx="3">
                  <c:v># 16</c:v>
                </c:pt>
                <c:pt idx="4">
                  <c:v># 30</c:v>
                </c:pt>
                <c:pt idx="5">
                  <c:v># 50</c:v>
                </c:pt>
                <c:pt idx="6">
                  <c:v># 100</c:v>
                </c:pt>
              </c:strCache>
            </c:strRef>
          </c:cat>
          <c:val>
            <c:numRef>
              <c:f>'2° Granulometrías'!$X$14:$X$20</c:f>
              <c:numCache>
                <c:formatCode>General</c:formatCode>
                <c:ptCount val="7"/>
                <c:pt idx="0">
                  <c:v>100</c:v>
                </c:pt>
                <c:pt idx="1">
                  <c:v>95</c:v>
                </c:pt>
                <c:pt idx="2">
                  <c:v>80</c:v>
                </c:pt>
                <c:pt idx="3">
                  <c:v>50</c:v>
                </c:pt>
                <c:pt idx="4">
                  <c:v>25</c:v>
                </c:pt>
                <c:pt idx="5">
                  <c:v>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65-4071-885A-4FD6CFA34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754752"/>
        <c:axId val="143769600"/>
      </c:lineChart>
      <c:catAx>
        <c:axId val="143754752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80"/>
                    </a:solidFill>
                    <a:latin typeface="Helv"/>
                    <a:ea typeface="Helv"/>
                    <a:cs typeface="Helv"/>
                  </a:defRPr>
                </a:pPr>
                <a:r>
                  <a:rPr lang="en-US"/>
                  <a:t>Malla</a:t>
                </a:r>
              </a:p>
            </c:rich>
          </c:tx>
          <c:layout>
            <c:manualLayout>
              <c:xMode val="edge"/>
              <c:yMode val="edge"/>
              <c:x val="0.50083235365565337"/>
              <c:y val="0.898879692180527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25400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80"/>
                </a:solidFill>
                <a:latin typeface="Helv"/>
                <a:ea typeface="Helv"/>
                <a:cs typeface="Helv"/>
              </a:defRPr>
            </a:pPr>
            <a:endParaRPr lang="en-US"/>
          </a:p>
        </c:txPr>
        <c:crossAx val="1437696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43769600"/>
        <c:scaling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Porcentaje que pasa (%)</a:t>
                </a:r>
              </a:p>
            </c:rich>
          </c:tx>
          <c:layout>
            <c:manualLayout>
              <c:xMode val="edge"/>
              <c:yMode val="edge"/>
              <c:x val="8.3194743132168954E-3"/>
              <c:y val="1.87266602537609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cross"/>
        <c:minorTickMark val="none"/>
        <c:tickLblPos val="nextTo"/>
        <c:spPr>
          <a:ln w="3175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80"/>
                </a:solidFill>
                <a:latin typeface="Helv"/>
                <a:ea typeface="Helv"/>
                <a:cs typeface="Helv"/>
              </a:defRPr>
            </a:pPr>
            <a:endParaRPr lang="en-US"/>
          </a:p>
        </c:txPr>
        <c:crossAx val="14375475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8885247313435383"/>
          <c:y val="1.8726660253760921E-2"/>
          <c:w val="0.29118160096258938"/>
          <c:h val="0.30337189611092791"/>
        </c:manualLayout>
      </c:layout>
      <c:overlay val="0"/>
      <c:spPr>
        <a:solidFill>
          <a:srgbClr val="FFFFFF"/>
        </a:solidFill>
        <a:ln w="3175">
          <a:solidFill>
            <a:srgbClr val="C0C0C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80"/>
              </a:solidFill>
              <a:latin typeface="Helv"/>
              <a:ea typeface="Helv"/>
              <a:cs typeface="Helv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80"/>
          </a:solidFill>
          <a:latin typeface="Helv"/>
          <a:ea typeface="Helv"/>
          <a:cs typeface="Helv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25423728813616"/>
          <c:y val="5.3435214089363102E-2"/>
          <c:w val="0.84237288135593158"/>
          <c:h val="0.76717700228300312"/>
        </c:manualLayout>
      </c:layout>
      <c:lineChart>
        <c:grouping val="standard"/>
        <c:varyColors val="0"/>
        <c:ser>
          <c:idx val="3"/>
          <c:order val="0"/>
          <c:tx>
            <c:strRef>
              <c:f>'2° Granulometrías'!$Q$6</c:f>
              <c:strCache>
                <c:ptCount val="1"/>
                <c:pt idx="0">
                  <c:v>AR1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'2° Granulometrías'!$B$14:$B$20</c:f>
              <c:strCache>
                <c:ptCount val="7"/>
                <c:pt idx="0">
                  <c:v>3/8"</c:v>
                </c:pt>
                <c:pt idx="1">
                  <c:v># 4</c:v>
                </c:pt>
                <c:pt idx="2">
                  <c:v># 8</c:v>
                </c:pt>
                <c:pt idx="3">
                  <c:v># 16</c:v>
                </c:pt>
                <c:pt idx="4">
                  <c:v># 30</c:v>
                </c:pt>
                <c:pt idx="5">
                  <c:v># 50</c:v>
                </c:pt>
                <c:pt idx="6">
                  <c:v># 100</c:v>
                </c:pt>
              </c:strCache>
            </c:strRef>
          </c:cat>
          <c:val>
            <c:numRef>
              <c:f>'2° Granulometrías'!$Q$14:$Q$20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FE-4696-88D2-A68209EC4673}"/>
            </c:ext>
          </c:extLst>
        </c:ser>
        <c:ser>
          <c:idx val="4"/>
          <c:order val="1"/>
          <c:tx>
            <c:v>Limite Inferior</c:v>
          </c:tx>
          <c:spPr>
            <a:ln w="3175">
              <a:solidFill>
                <a:srgbClr val="00008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'2° Granulometrías'!$B$14:$B$20</c:f>
              <c:strCache>
                <c:ptCount val="7"/>
                <c:pt idx="0">
                  <c:v>3/8"</c:v>
                </c:pt>
                <c:pt idx="1">
                  <c:v># 4</c:v>
                </c:pt>
                <c:pt idx="2">
                  <c:v># 8</c:v>
                </c:pt>
                <c:pt idx="3">
                  <c:v># 16</c:v>
                </c:pt>
                <c:pt idx="4">
                  <c:v># 30</c:v>
                </c:pt>
                <c:pt idx="5">
                  <c:v># 50</c:v>
                </c:pt>
                <c:pt idx="6">
                  <c:v># 100</c:v>
                </c:pt>
              </c:strCache>
            </c:strRef>
          </c:cat>
          <c:val>
            <c:numRef>
              <c:f>'2° Granulometrías'!$Y$14:$Y$20</c:f>
              <c:numCache>
                <c:formatCode>General</c:formatCode>
                <c:ptCount val="7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85</c:v>
                </c:pt>
                <c:pt idx="4">
                  <c:v>60</c:v>
                </c:pt>
                <c:pt idx="5">
                  <c:v>30</c:v>
                </c:pt>
                <c:pt idx="6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FE-4696-88D2-A68209EC4673}"/>
            </c:ext>
          </c:extLst>
        </c:ser>
        <c:ser>
          <c:idx val="5"/>
          <c:order val="2"/>
          <c:tx>
            <c:v>Limite Superior</c:v>
          </c:tx>
          <c:spPr>
            <a:ln w="3175">
              <a:solidFill>
                <a:srgbClr val="00008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'2° Granulometrías'!$B$14:$B$20</c:f>
              <c:strCache>
                <c:ptCount val="7"/>
                <c:pt idx="0">
                  <c:v>3/8"</c:v>
                </c:pt>
                <c:pt idx="1">
                  <c:v># 4</c:v>
                </c:pt>
                <c:pt idx="2">
                  <c:v># 8</c:v>
                </c:pt>
                <c:pt idx="3">
                  <c:v># 16</c:v>
                </c:pt>
                <c:pt idx="4">
                  <c:v># 30</c:v>
                </c:pt>
                <c:pt idx="5">
                  <c:v># 50</c:v>
                </c:pt>
                <c:pt idx="6">
                  <c:v># 100</c:v>
                </c:pt>
              </c:strCache>
            </c:strRef>
          </c:cat>
          <c:val>
            <c:numRef>
              <c:f>'2° Granulometrías'!$X$14:$X$20</c:f>
              <c:numCache>
                <c:formatCode>General</c:formatCode>
                <c:ptCount val="7"/>
                <c:pt idx="0">
                  <c:v>100</c:v>
                </c:pt>
                <c:pt idx="1">
                  <c:v>95</c:v>
                </c:pt>
                <c:pt idx="2">
                  <c:v>80</c:v>
                </c:pt>
                <c:pt idx="3">
                  <c:v>50</c:v>
                </c:pt>
                <c:pt idx="4">
                  <c:v>25</c:v>
                </c:pt>
                <c:pt idx="5">
                  <c:v>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FE-4696-88D2-A68209EC4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158016"/>
        <c:axId val="133159936"/>
      </c:lineChart>
      <c:catAx>
        <c:axId val="13315801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80"/>
                    </a:solidFill>
                    <a:latin typeface="Helv"/>
                    <a:ea typeface="Helv"/>
                    <a:cs typeface="Helv"/>
                  </a:defRPr>
                </a:pPr>
                <a:r>
                  <a:rPr lang="en-US"/>
                  <a:t>Malla</a:t>
                </a:r>
              </a:p>
            </c:rich>
          </c:tx>
          <c:layout>
            <c:manualLayout>
              <c:xMode val="edge"/>
              <c:yMode val="edge"/>
              <c:x val="0.5"/>
              <c:y val="0.8969482365000280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25400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80"/>
                </a:solidFill>
                <a:latin typeface="Helv"/>
                <a:ea typeface="Helv"/>
                <a:cs typeface="Helv"/>
              </a:defRPr>
            </a:pPr>
            <a:endParaRPr lang="en-US"/>
          </a:p>
        </c:txPr>
        <c:crossAx val="13315993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33159936"/>
        <c:scaling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Porcentaje que pasa (%)</a:t>
                </a:r>
              </a:p>
            </c:rich>
          </c:tx>
          <c:layout>
            <c:manualLayout>
              <c:xMode val="edge"/>
              <c:yMode val="edge"/>
              <c:x val="8.4745762711865222E-3"/>
              <c:y val="1.90840050319155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cross"/>
        <c:minorTickMark val="none"/>
        <c:tickLblPos val="nextTo"/>
        <c:spPr>
          <a:ln w="3175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80"/>
                </a:solidFill>
                <a:latin typeface="Helv"/>
                <a:ea typeface="Helv"/>
                <a:cs typeface="Helv"/>
              </a:defRPr>
            </a:pPr>
            <a:endParaRPr lang="en-US"/>
          </a:p>
        </c:txPr>
        <c:crossAx val="13315801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745762711864407"/>
          <c:y val="7.6336020127661955E-2"/>
          <c:w val="0.29661016949152541"/>
          <c:h val="0.30916088151703125"/>
        </c:manualLayout>
      </c:layout>
      <c:overlay val="0"/>
      <c:spPr>
        <a:solidFill>
          <a:srgbClr val="FFFFFF"/>
        </a:solidFill>
        <a:ln w="3175">
          <a:solidFill>
            <a:srgbClr val="C0C0C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80"/>
              </a:solidFill>
              <a:latin typeface="Helv"/>
              <a:ea typeface="Helv"/>
              <a:cs typeface="Helv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80"/>
          </a:solidFill>
          <a:latin typeface="Helv"/>
          <a:ea typeface="Helv"/>
          <a:cs typeface="Helv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409395973154372"/>
          <c:y val="5.6680273991558852E-2"/>
          <c:w val="0.84395973154362758"/>
          <c:h val="0.75303792588785257"/>
        </c:manualLayout>
      </c:layout>
      <c:lineChart>
        <c:grouping val="standard"/>
        <c:varyColors val="0"/>
        <c:ser>
          <c:idx val="3"/>
          <c:order val="0"/>
          <c:tx>
            <c:strRef>
              <c:f>'2° Granulometrías'!$U$5</c:f>
              <c:strCache>
                <c:ptCount val="1"/>
                <c:pt idx="0">
                  <c:v>Combo Finos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'2° Granulometrías'!$B$14:$B$20</c:f>
              <c:strCache>
                <c:ptCount val="7"/>
                <c:pt idx="0">
                  <c:v>3/8"</c:v>
                </c:pt>
                <c:pt idx="1">
                  <c:v># 4</c:v>
                </c:pt>
                <c:pt idx="2">
                  <c:v># 8</c:v>
                </c:pt>
                <c:pt idx="3">
                  <c:v># 16</c:v>
                </c:pt>
                <c:pt idx="4">
                  <c:v># 30</c:v>
                </c:pt>
                <c:pt idx="5">
                  <c:v># 50</c:v>
                </c:pt>
                <c:pt idx="6">
                  <c:v># 100</c:v>
                </c:pt>
              </c:strCache>
            </c:strRef>
          </c:cat>
          <c:val>
            <c:numRef>
              <c:f>'2° Granulometrías'!$U$14:$U$20</c:f>
              <c:numCache>
                <c:formatCode>0.0</c:formatCode>
                <c:ptCount val="7"/>
                <c:pt idx="0">
                  <c:v>100</c:v>
                </c:pt>
                <c:pt idx="1">
                  <c:v>88</c:v>
                </c:pt>
                <c:pt idx="2">
                  <c:v>67</c:v>
                </c:pt>
                <c:pt idx="3">
                  <c:v>54.32</c:v>
                </c:pt>
                <c:pt idx="4">
                  <c:v>38.97</c:v>
                </c:pt>
                <c:pt idx="5">
                  <c:v>27.46</c:v>
                </c:pt>
                <c:pt idx="6">
                  <c:v>11.19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A2-4C1C-84FF-8EBC2ADBFFF6}"/>
            </c:ext>
          </c:extLst>
        </c:ser>
        <c:ser>
          <c:idx val="4"/>
          <c:order val="1"/>
          <c:tx>
            <c:v>Limite Inferior</c:v>
          </c:tx>
          <c:spPr>
            <a:ln w="3175">
              <a:solidFill>
                <a:srgbClr val="00008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'2° Granulometrías'!$B$14:$B$20</c:f>
              <c:strCache>
                <c:ptCount val="7"/>
                <c:pt idx="0">
                  <c:v>3/8"</c:v>
                </c:pt>
                <c:pt idx="1">
                  <c:v># 4</c:v>
                </c:pt>
                <c:pt idx="2">
                  <c:v># 8</c:v>
                </c:pt>
                <c:pt idx="3">
                  <c:v># 16</c:v>
                </c:pt>
                <c:pt idx="4">
                  <c:v># 30</c:v>
                </c:pt>
                <c:pt idx="5">
                  <c:v># 50</c:v>
                </c:pt>
                <c:pt idx="6">
                  <c:v># 100</c:v>
                </c:pt>
              </c:strCache>
            </c:strRef>
          </c:cat>
          <c:val>
            <c:numRef>
              <c:f>'2° Granulometrías'!$Y$14:$Y$20</c:f>
              <c:numCache>
                <c:formatCode>General</c:formatCode>
                <c:ptCount val="7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85</c:v>
                </c:pt>
                <c:pt idx="4">
                  <c:v>60</c:v>
                </c:pt>
                <c:pt idx="5">
                  <c:v>30</c:v>
                </c:pt>
                <c:pt idx="6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A2-4C1C-84FF-8EBC2ADBFFF6}"/>
            </c:ext>
          </c:extLst>
        </c:ser>
        <c:ser>
          <c:idx val="5"/>
          <c:order val="2"/>
          <c:tx>
            <c:v>Limite Superior</c:v>
          </c:tx>
          <c:spPr>
            <a:ln w="3175">
              <a:solidFill>
                <a:srgbClr val="00008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'2° Granulometrías'!$B$14:$B$20</c:f>
              <c:strCache>
                <c:ptCount val="7"/>
                <c:pt idx="0">
                  <c:v>3/8"</c:v>
                </c:pt>
                <c:pt idx="1">
                  <c:v># 4</c:v>
                </c:pt>
                <c:pt idx="2">
                  <c:v># 8</c:v>
                </c:pt>
                <c:pt idx="3">
                  <c:v># 16</c:v>
                </c:pt>
                <c:pt idx="4">
                  <c:v># 30</c:v>
                </c:pt>
                <c:pt idx="5">
                  <c:v># 50</c:v>
                </c:pt>
                <c:pt idx="6">
                  <c:v># 100</c:v>
                </c:pt>
              </c:strCache>
            </c:strRef>
          </c:cat>
          <c:val>
            <c:numRef>
              <c:f>'2° Granulometrías'!$X$14:$X$20</c:f>
              <c:numCache>
                <c:formatCode>General</c:formatCode>
                <c:ptCount val="7"/>
                <c:pt idx="0">
                  <c:v>100</c:v>
                </c:pt>
                <c:pt idx="1">
                  <c:v>95</c:v>
                </c:pt>
                <c:pt idx="2">
                  <c:v>80</c:v>
                </c:pt>
                <c:pt idx="3">
                  <c:v>50</c:v>
                </c:pt>
                <c:pt idx="4">
                  <c:v>25</c:v>
                </c:pt>
                <c:pt idx="5">
                  <c:v>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A2-4C1C-84FF-8EBC2ADBF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880192"/>
        <c:axId val="143882496"/>
      </c:lineChart>
      <c:catAx>
        <c:axId val="143880192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80"/>
                    </a:solidFill>
                    <a:latin typeface="Helv"/>
                    <a:ea typeface="Helv"/>
                    <a:cs typeface="Helv"/>
                  </a:defRPr>
                </a:pPr>
                <a:r>
                  <a:rPr lang="en-US"/>
                  <a:t>Malla</a:t>
                </a:r>
              </a:p>
            </c:rich>
          </c:tx>
          <c:layout>
            <c:manualLayout>
              <c:xMode val="edge"/>
              <c:yMode val="edge"/>
              <c:x val="0.48825503355704697"/>
              <c:y val="0.89069001986735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25400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80"/>
                </a:solidFill>
                <a:latin typeface="Helv"/>
                <a:ea typeface="Helv"/>
                <a:cs typeface="Helv"/>
              </a:defRPr>
            </a:pPr>
            <a:endParaRPr lang="en-US"/>
          </a:p>
        </c:txPr>
        <c:crossAx val="1438824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43882496"/>
        <c:scaling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Porcentaje que pasa (%)</a:t>
                </a:r>
              </a:p>
            </c:rich>
          </c:tx>
          <c:layout>
            <c:manualLayout>
              <c:xMode val="edge"/>
              <c:yMode val="edge"/>
              <c:x val="8.3892617449664447E-3"/>
              <c:y val="2.0242954996985304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cross"/>
        <c:minorTickMark val="none"/>
        <c:tickLblPos val="nextTo"/>
        <c:spPr>
          <a:ln w="3175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80"/>
                </a:solidFill>
                <a:latin typeface="Helv"/>
                <a:ea typeface="Helv"/>
                <a:cs typeface="Helv"/>
              </a:defRPr>
            </a:pPr>
            <a:endParaRPr lang="en-US"/>
          </a:p>
        </c:txPr>
        <c:crossAx val="14388019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7785234899328861"/>
          <c:y val="2.0242954996985304E-2"/>
          <c:w val="0.29362416107382794"/>
          <c:h val="0.32793587095116322"/>
        </c:manualLayout>
      </c:layout>
      <c:overlay val="0"/>
      <c:spPr>
        <a:solidFill>
          <a:srgbClr val="FFFFFF"/>
        </a:solidFill>
        <a:ln w="3175">
          <a:solidFill>
            <a:srgbClr val="C0C0C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80"/>
              </a:solidFill>
              <a:latin typeface="Helv"/>
              <a:ea typeface="Helv"/>
              <a:cs typeface="Helv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80"/>
          </a:solidFill>
          <a:latin typeface="Helv"/>
          <a:ea typeface="Helv"/>
          <a:cs typeface="Helv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56425363560225"/>
          <c:y val="5.4687604308327614E-2"/>
          <c:w val="0.85822147527437787"/>
          <c:h val="0.76172020286599162"/>
        </c:manualLayout>
      </c:layout>
      <c:lineChart>
        <c:grouping val="standard"/>
        <c:varyColors val="0"/>
        <c:ser>
          <c:idx val="3"/>
          <c:order val="0"/>
          <c:tx>
            <c:strRef>
              <c:f>'2° Granulometrías'!$T$5</c:f>
              <c:strCache>
                <c:ptCount val="1"/>
                <c:pt idx="0">
                  <c:v>Combo Gruesos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'2° Granulometrías'!$B$9:$B$17</c:f>
              <c:strCache>
                <c:ptCount val="9"/>
                <c:pt idx="0">
                  <c:v>2"</c:v>
                </c:pt>
                <c:pt idx="1">
                  <c:v>1 1/2"</c:v>
                </c:pt>
                <c:pt idx="2">
                  <c:v>1"</c:v>
                </c:pt>
                <c:pt idx="3">
                  <c:v>3/4"</c:v>
                </c:pt>
                <c:pt idx="4">
                  <c:v>1/2"</c:v>
                </c:pt>
                <c:pt idx="5">
                  <c:v>3/8"</c:v>
                </c:pt>
                <c:pt idx="6">
                  <c:v># 4</c:v>
                </c:pt>
                <c:pt idx="7">
                  <c:v># 8</c:v>
                </c:pt>
                <c:pt idx="8">
                  <c:v># 16</c:v>
                </c:pt>
              </c:strCache>
            </c:strRef>
          </c:cat>
          <c:val>
            <c:numRef>
              <c:f>'2° Granulometrías'!$T$9:$T$17</c:f>
              <c:numCache>
                <c:formatCode>0.0</c:formatCode>
                <c:ptCount val="9"/>
                <c:pt idx="0">
                  <c:v>100</c:v>
                </c:pt>
                <c:pt idx="1">
                  <c:v>100</c:v>
                </c:pt>
                <c:pt idx="2">
                  <c:v>90</c:v>
                </c:pt>
                <c:pt idx="3">
                  <c:v>64.400000000000006</c:v>
                </c:pt>
                <c:pt idx="4">
                  <c:v>40.299999999999997</c:v>
                </c:pt>
                <c:pt idx="5">
                  <c:v>10.47</c:v>
                </c:pt>
                <c:pt idx="6">
                  <c:v>0.32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EC-4538-BC89-68690DA352B3}"/>
            </c:ext>
          </c:extLst>
        </c:ser>
        <c:ser>
          <c:idx val="4"/>
          <c:order val="1"/>
          <c:spPr>
            <a:ln w="3175">
              <a:solidFill>
                <a:srgbClr val="00008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'2° Granulometrías'!$B$9:$B$17</c:f>
              <c:strCache>
                <c:ptCount val="9"/>
                <c:pt idx="0">
                  <c:v>2"</c:v>
                </c:pt>
                <c:pt idx="1">
                  <c:v>1 1/2"</c:v>
                </c:pt>
                <c:pt idx="2">
                  <c:v>1"</c:v>
                </c:pt>
                <c:pt idx="3">
                  <c:v>3/4"</c:v>
                </c:pt>
                <c:pt idx="4">
                  <c:v>1/2"</c:v>
                </c:pt>
                <c:pt idx="5">
                  <c:v>3/8"</c:v>
                </c:pt>
                <c:pt idx="6">
                  <c:v># 4</c:v>
                </c:pt>
                <c:pt idx="7">
                  <c:v># 8</c:v>
                </c:pt>
                <c:pt idx="8">
                  <c:v># 16</c:v>
                </c:pt>
              </c:strCache>
            </c:strRef>
          </c:cat>
          <c:val>
            <c:numRef>
              <c:f>'2° Granulometrías'!$AA$9:$AA$17</c:f>
              <c:numCache>
                <c:formatCode>General</c:formatCode>
                <c:ptCount val="9"/>
                <c:pt idx="0">
                  <c:v>100</c:v>
                </c:pt>
                <c:pt idx="1">
                  <c:v>100</c:v>
                </c:pt>
                <c:pt idx="2">
                  <c:v>85</c:v>
                </c:pt>
                <c:pt idx="3">
                  <c:v>70</c:v>
                </c:pt>
                <c:pt idx="4">
                  <c:v>55</c:v>
                </c:pt>
                <c:pt idx="5">
                  <c:v>30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EC-4538-BC89-68690DA352B3}"/>
            </c:ext>
          </c:extLst>
        </c:ser>
        <c:ser>
          <c:idx val="5"/>
          <c:order val="2"/>
          <c:spPr>
            <a:ln w="3175">
              <a:solidFill>
                <a:srgbClr val="00008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'2° Granulometrías'!$B$9:$B$17</c:f>
              <c:strCache>
                <c:ptCount val="9"/>
                <c:pt idx="0">
                  <c:v>2"</c:v>
                </c:pt>
                <c:pt idx="1">
                  <c:v>1 1/2"</c:v>
                </c:pt>
                <c:pt idx="2">
                  <c:v>1"</c:v>
                </c:pt>
                <c:pt idx="3">
                  <c:v>3/4"</c:v>
                </c:pt>
                <c:pt idx="4">
                  <c:v>1/2"</c:v>
                </c:pt>
                <c:pt idx="5">
                  <c:v>3/8"</c:v>
                </c:pt>
                <c:pt idx="6">
                  <c:v># 4</c:v>
                </c:pt>
                <c:pt idx="7">
                  <c:v># 8</c:v>
                </c:pt>
                <c:pt idx="8">
                  <c:v># 16</c:v>
                </c:pt>
              </c:strCache>
            </c:strRef>
          </c:cat>
          <c:val>
            <c:numRef>
              <c:f>'2° Granulometrías'!$Z$9:$Z$17</c:f>
              <c:numCache>
                <c:formatCode>General</c:formatCode>
                <c:ptCount val="9"/>
                <c:pt idx="0">
                  <c:v>100</c:v>
                </c:pt>
                <c:pt idx="1">
                  <c:v>90</c:v>
                </c:pt>
                <c:pt idx="2">
                  <c:v>60</c:v>
                </c:pt>
                <c:pt idx="3">
                  <c:v>35</c:v>
                </c:pt>
                <c:pt idx="4">
                  <c:v>20</c:v>
                </c:pt>
                <c:pt idx="5">
                  <c:v>10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EC-4538-BC89-68690DA352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805824"/>
        <c:axId val="143812096"/>
      </c:lineChart>
      <c:catAx>
        <c:axId val="14380582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80"/>
                    </a:solidFill>
                    <a:latin typeface="Helv"/>
                    <a:ea typeface="Helv"/>
                    <a:cs typeface="Helv"/>
                  </a:defRPr>
                </a:pPr>
                <a:r>
                  <a:rPr lang="en-US"/>
                  <a:t>Malla</a:t>
                </a:r>
              </a:p>
            </c:rich>
          </c:tx>
          <c:layout>
            <c:manualLayout>
              <c:xMode val="edge"/>
              <c:yMode val="edge"/>
              <c:x val="0.49924658754976914"/>
              <c:y val="0.89453295618620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25400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80"/>
                </a:solidFill>
                <a:latin typeface="Helv"/>
                <a:ea typeface="Helv"/>
                <a:cs typeface="Helv"/>
              </a:defRPr>
            </a:pPr>
            <a:endParaRPr lang="en-US"/>
          </a:p>
        </c:txPr>
        <c:crossAx val="1438120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43812096"/>
        <c:scaling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Porcentaje que pasa (%)</a:t>
                </a:r>
              </a:p>
            </c:rich>
          </c:tx>
          <c:layout>
            <c:manualLayout>
              <c:xMode val="edge"/>
              <c:yMode val="edge"/>
              <c:x val="7.5414892379119004E-3"/>
              <c:y val="1.9531287252974042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cross"/>
        <c:minorTickMark val="none"/>
        <c:tickLblPos val="nextTo"/>
        <c:spPr>
          <a:ln w="3175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80"/>
                </a:solidFill>
                <a:latin typeface="Helv"/>
                <a:ea typeface="Helv"/>
                <a:cs typeface="Helv"/>
              </a:defRPr>
            </a:pPr>
            <a:endParaRPr lang="en-US"/>
          </a:p>
        </c:txPr>
        <c:crossAx val="14380582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0135849912580583"/>
          <c:y val="4.6875089407137686E-2"/>
          <c:w val="0.26395212332691631"/>
          <c:h val="0.31640685349817982"/>
        </c:manualLayout>
      </c:layout>
      <c:overlay val="0"/>
      <c:spPr>
        <a:solidFill>
          <a:srgbClr val="FFFFFF"/>
        </a:solidFill>
        <a:ln w="3175">
          <a:solidFill>
            <a:srgbClr val="C0C0C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80"/>
              </a:solidFill>
              <a:latin typeface="Helv"/>
              <a:ea typeface="Helv"/>
              <a:cs typeface="Helv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80"/>
          </a:solidFill>
          <a:latin typeface="Helv"/>
          <a:ea typeface="Helv"/>
          <a:cs typeface="Helv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29135053110779"/>
          <c:y val="5.3846153846153863E-2"/>
          <c:w val="0.85432473444613322"/>
          <c:h val="0.76538461538461799"/>
        </c:manualLayout>
      </c:layout>
      <c:lineChart>
        <c:grouping val="standard"/>
        <c:varyColors val="0"/>
        <c:ser>
          <c:idx val="3"/>
          <c:order val="0"/>
          <c:tx>
            <c:strRef>
              <c:f>'2° Granulometrías'!$L$6</c:f>
              <c:strCache>
                <c:ptCount val="1"/>
                <c:pt idx="0">
                  <c:v>GB1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'2° Granulometrías'!$AM$38:$AM$44</c:f>
              <c:strCache>
                <c:ptCount val="7"/>
                <c:pt idx="0">
                  <c:v>1/2"</c:v>
                </c:pt>
                <c:pt idx="1">
                  <c:v>3/8"</c:v>
                </c:pt>
                <c:pt idx="2">
                  <c:v># 4</c:v>
                </c:pt>
                <c:pt idx="3">
                  <c:v># 8</c:v>
                </c:pt>
                <c:pt idx="4">
                  <c:v># 16</c:v>
                </c:pt>
                <c:pt idx="5">
                  <c:v>0    </c:v>
                </c:pt>
                <c:pt idx="6">
                  <c:v>0    </c:v>
                </c:pt>
              </c:strCache>
            </c:strRef>
          </c:cat>
          <c:val>
            <c:numRef>
              <c:f>'2° Granulometrías'!$AN$38:$AN$44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88-4C6E-9FB0-F2EA34B6DEAC}"/>
            </c:ext>
          </c:extLst>
        </c:ser>
        <c:ser>
          <c:idx val="4"/>
          <c:order val="1"/>
          <c:spPr>
            <a:ln w="3175">
              <a:solidFill>
                <a:srgbClr val="00008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'2° Granulometrías'!$AM$38:$AM$44</c:f>
              <c:strCache>
                <c:ptCount val="7"/>
                <c:pt idx="0">
                  <c:v>1/2"</c:v>
                </c:pt>
                <c:pt idx="1">
                  <c:v>3/8"</c:v>
                </c:pt>
                <c:pt idx="2">
                  <c:v># 4</c:v>
                </c:pt>
                <c:pt idx="3">
                  <c:v># 8</c:v>
                </c:pt>
                <c:pt idx="4">
                  <c:v># 16</c:v>
                </c:pt>
                <c:pt idx="5">
                  <c:v>0    </c:v>
                </c:pt>
                <c:pt idx="6">
                  <c:v>0    </c:v>
                </c:pt>
              </c:strCache>
            </c:strRef>
          </c:cat>
          <c:val>
            <c:numRef>
              <c:f>'2° Granulometrías'!$AO$38:$AO$44</c:f>
              <c:numCache>
                <c:formatCode>#\ ?/?</c:formatCode>
                <c:ptCount val="7"/>
                <c:pt idx="0">
                  <c:v>100</c:v>
                </c:pt>
                <c:pt idx="1">
                  <c:v>85</c:v>
                </c:pt>
                <c:pt idx="2">
                  <c:v>10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88-4C6E-9FB0-F2EA34B6DEAC}"/>
            </c:ext>
          </c:extLst>
        </c:ser>
        <c:ser>
          <c:idx val="5"/>
          <c:order val="2"/>
          <c:spPr>
            <a:ln w="3175">
              <a:solidFill>
                <a:srgbClr val="00008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'2° Granulometrías'!$AM$38:$AM$44</c:f>
              <c:strCache>
                <c:ptCount val="7"/>
                <c:pt idx="0">
                  <c:v>1/2"</c:v>
                </c:pt>
                <c:pt idx="1">
                  <c:v>3/8"</c:v>
                </c:pt>
                <c:pt idx="2">
                  <c:v># 4</c:v>
                </c:pt>
                <c:pt idx="3">
                  <c:v># 8</c:v>
                </c:pt>
                <c:pt idx="4">
                  <c:v># 16</c:v>
                </c:pt>
                <c:pt idx="5">
                  <c:v>0    </c:v>
                </c:pt>
                <c:pt idx="6">
                  <c:v>0    </c:v>
                </c:pt>
              </c:strCache>
            </c:strRef>
          </c:cat>
          <c:val>
            <c:numRef>
              <c:f>'2° Granulometrías'!$AP$38:$AP$44</c:f>
              <c:numCache>
                <c:formatCode>#\ ?/?</c:formatCode>
                <c:ptCount val="7"/>
                <c:pt idx="0">
                  <c:v>100</c:v>
                </c:pt>
                <c:pt idx="1">
                  <c:v>100</c:v>
                </c:pt>
                <c:pt idx="2">
                  <c:v>55</c:v>
                </c:pt>
                <c:pt idx="3">
                  <c:v>15</c:v>
                </c:pt>
                <c:pt idx="4">
                  <c:v>15</c:v>
                </c:pt>
                <c:pt idx="5">
                  <c:v>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588-4C6E-9FB0-F2EA34B6D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028480"/>
        <c:axId val="133075712"/>
      </c:lineChart>
      <c:catAx>
        <c:axId val="133028480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80"/>
                    </a:solidFill>
                    <a:latin typeface="Helv"/>
                    <a:ea typeface="Helv"/>
                    <a:cs typeface="Helv"/>
                  </a:defRPr>
                </a:pPr>
                <a:r>
                  <a:rPr lang="en-US"/>
                  <a:t>Malla</a:t>
                </a:r>
              </a:p>
            </c:rich>
          </c:tx>
          <c:layout>
            <c:manualLayout>
              <c:xMode val="edge"/>
              <c:yMode val="edge"/>
              <c:x val="0.50682852807283751"/>
              <c:y val="0.8961538461538466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25400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80"/>
                </a:solidFill>
                <a:latin typeface="Helv"/>
                <a:ea typeface="Helv"/>
                <a:cs typeface="Helv"/>
              </a:defRPr>
            </a:pPr>
            <a:endParaRPr lang="en-US"/>
          </a:p>
        </c:txPr>
        <c:crossAx val="1330757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33075712"/>
        <c:scaling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Porcentaje que pasa (%)</a:t>
                </a:r>
              </a:p>
            </c:rich>
          </c:tx>
          <c:layout>
            <c:manualLayout>
              <c:xMode val="edge"/>
              <c:yMode val="edge"/>
              <c:x val="7.5872534142640991E-3"/>
              <c:y val="1.923076923076935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cross"/>
        <c:minorTickMark val="none"/>
        <c:tickLblPos val="nextTo"/>
        <c:spPr>
          <a:ln w="3175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80"/>
                </a:solidFill>
                <a:latin typeface="Helv"/>
                <a:ea typeface="Helv"/>
                <a:cs typeface="Helv"/>
              </a:defRPr>
            </a:pPr>
            <a:endParaRPr lang="en-US"/>
          </a:p>
        </c:txPr>
        <c:crossAx val="1330284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8588770864946891"/>
          <c:y val="6.5384615384615402E-2"/>
          <c:w val="0.26555386949924326"/>
          <c:h val="0.31153846153846393"/>
        </c:manualLayout>
      </c:layout>
      <c:overlay val="0"/>
      <c:spPr>
        <a:solidFill>
          <a:srgbClr val="FFFFFF"/>
        </a:solidFill>
        <a:ln w="3175">
          <a:solidFill>
            <a:srgbClr val="C0C0C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80"/>
              </a:solidFill>
              <a:latin typeface="Helv"/>
              <a:ea typeface="Helv"/>
              <a:cs typeface="Helv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80"/>
          </a:solidFill>
          <a:latin typeface="Helv"/>
          <a:ea typeface="Helv"/>
          <a:cs typeface="Helv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0993949870354362E-2"/>
          <c:y val="2.4561445589099642E-2"/>
          <c:w val="0.92394122731201678"/>
          <c:h val="0.89473837503148135"/>
        </c:manualLayout>
      </c:layout>
      <c:lineChart>
        <c:grouping val="standard"/>
        <c:varyColors val="0"/>
        <c:ser>
          <c:idx val="3"/>
          <c:order val="0"/>
          <c:tx>
            <c:strRef>
              <c:f>'3° Curva Integral'!$G$15:$G$16</c:f>
              <c:strCache>
                <c:ptCount val="2"/>
                <c:pt idx="0">
                  <c:v>% Que pasa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'3° Curva Integral'!$C$17:$D$28</c:f>
              <c:strCache>
                <c:ptCount val="12"/>
                <c:pt idx="0">
                  <c:v>1 1/2 "</c:v>
                </c:pt>
                <c:pt idx="1">
                  <c:v>1  "</c:v>
                </c:pt>
                <c:pt idx="2">
                  <c:v>3/4"</c:v>
                </c:pt>
                <c:pt idx="3">
                  <c:v>1/2"</c:v>
                </c:pt>
                <c:pt idx="4">
                  <c:v>3/8"</c:v>
                </c:pt>
                <c:pt idx="5">
                  <c:v>No. 4</c:v>
                </c:pt>
                <c:pt idx="6">
                  <c:v>No. 8</c:v>
                </c:pt>
                <c:pt idx="7">
                  <c:v>No.16</c:v>
                </c:pt>
                <c:pt idx="8">
                  <c:v>No.30</c:v>
                </c:pt>
                <c:pt idx="9">
                  <c:v>No.50</c:v>
                </c:pt>
                <c:pt idx="10">
                  <c:v>No.100</c:v>
                </c:pt>
                <c:pt idx="11">
                  <c:v>Charola</c:v>
                </c:pt>
              </c:strCache>
            </c:strRef>
          </c:cat>
          <c:val>
            <c:numRef>
              <c:f>'3° Curva Integral'!$G$17:$G$28</c:f>
              <c:numCache>
                <c:formatCode>0</c:formatCode>
                <c:ptCount val="12"/>
                <c:pt idx="0">
                  <c:v>100.00000000000001</c:v>
                </c:pt>
                <c:pt idx="1">
                  <c:v>94.901960784313729</c:v>
                </c:pt>
                <c:pt idx="2">
                  <c:v>81.850980392156885</c:v>
                </c:pt>
                <c:pt idx="3">
                  <c:v>69.564705882352939</c:v>
                </c:pt>
                <c:pt idx="4">
                  <c:v>54.357254901960786</c:v>
                </c:pt>
                <c:pt idx="5">
                  <c:v>43.300392156862749</c:v>
                </c:pt>
                <c:pt idx="6">
                  <c:v>32.919607843137257</c:v>
                </c:pt>
                <c:pt idx="7">
                  <c:v>26.627450980392158</c:v>
                </c:pt>
                <c:pt idx="8">
                  <c:v>19.102941176470591</c:v>
                </c:pt>
                <c:pt idx="9">
                  <c:v>13.460784313725492</c:v>
                </c:pt>
                <c:pt idx="10">
                  <c:v>5.4852941176470589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28-40B2-B8FB-2729D1D6481A}"/>
            </c:ext>
          </c:extLst>
        </c:ser>
        <c:ser>
          <c:idx val="4"/>
          <c:order val="1"/>
          <c:tx>
            <c:strRef>
              <c:f>'3° Curva Integral'!$H$16</c:f>
              <c:strCache>
                <c:ptCount val="1"/>
                <c:pt idx="0">
                  <c:v>Límite Inferior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'3° Curva Integral'!$C$17:$D$28</c:f>
              <c:strCache>
                <c:ptCount val="12"/>
                <c:pt idx="0">
                  <c:v>1 1/2 "</c:v>
                </c:pt>
                <c:pt idx="1">
                  <c:v>1  "</c:v>
                </c:pt>
                <c:pt idx="2">
                  <c:v>3/4"</c:v>
                </c:pt>
                <c:pt idx="3">
                  <c:v>1/2"</c:v>
                </c:pt>
                <c:pt idx="4">
                  <c:v>3/8"</c:v>
                </c:pt>
                <c:pt idx="5">
                  <c:v>No. 4</c:v>
                </c:pt>
                <c:pt idx="6">
                  <c:v>No. 8</c:v>
                </c:pt>
                <c:pt idx="7">
                  <c:v>No.16</c:v>
                </c:pt>
                <c:pt idx="8">
                  <c:v>No.30</c:v>
                </c:pt>
                <c:pt idx="9">
                  <c:v>No.50</c:v>
                </c:pt>
                <c:pt idx="10">
                  <c:v>No.100</c:v>
                </c:pt>
                <c:pt idx="11">
                  <c:v>Charola</c:v>
                </c:pt>
              </c:strCache>
            </c:strRef>
          </c:cat>
          <c:val>
            <c:numRef>
              <c:f>'3° Curva Integral'!$H$17:$H$28</c:f>
              <c:numCache>
                <c:formatCode>General</c:formatCode>
                <c:ptCount val="12"/>
                <c:pt idx="0">
                  <c:v>100</c:v>
                </c:pt>
                <c:pt idx="1">
                  <c:v>99</c:v>
                </c:pt>
                <c:pt idx="2">
                  <c:v>98</c:v>
                </c:pt>
                <c:pt idx="3">
                  <c:v>63</c:v>
                </c:pt>
                <c:pt idx="4">
                  <c:v>30</c:v>
                </c:pt>
                <c:pt idx="5">
                  <c:v>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28-40B2-B8FB-2729D1D6481A}"/>
            </c:ext>
          </c:extLst>
        </c:ser>
        <c:ser>
          <c:idx val="5"/>
          <c:order val="2"/>
          <c:tx>
            <c:strRef>
              <c:f>'3° Curva Integral'!$I$16</c:f>
              <c:strCache>
                <c:ptCount val="1"/>
                <c:pt idx="0">
                  <c:v>Límite Superior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'3° Curva Integral'!$C$17:$D$28</c:f>
              <c:strCache>
                <c:ptCount val="12"/>
                <c:pt idx="0">
                  <c:v>1 1/2 "</c:v>
                </c:pt>
                <c:pt idx="1">
                  <c:v>1  "</c:v>
                </c:pt>
                <c:pt idx="2">
                  <c:v>3/4"</c:v>
                </c:pt>
                <c:pt idx="3">
                  <c:v>1/2"</c:v>
                </c:pt>
                <c:pt idx="4">
                  <c:v>3/8"</c:v>
                </c:pt>
                <c:pt idx="5">
                  <c:v>No. 4</c:v>
                </c:pt>
                <c:pt idx="6">
                  <c:v>No. 8</c:v>
                </c:pt>
                <c:pt idx="7">
                  <c:v>No.16</c:v>
                </c:pt>
                <c:pt idx="8">
                  <c:v>No.30</c:v>
                </c:pt>
                <c:pt idx="9">
                  <c:v>No.50</c:v>
                </c:pt>
                <c:pt idx="10">
                  <c:v>No.100</c:v>
                </c:pt>
                <c:pt idx="11">
                  <c:v>Charola</c:v>
                </c:pt>
              </c:strCache>
            </c:strRef>
          </c:cat>
          <c:val>
            <c:numRef>
              <c:f>'3° Curva Integral'!$I$17:$I$28</c:f>
              <c:numCache>
                <c:formatCode>General</c:formatCode>
                <c:ptCount val="12"/>
                <c:pt idx="5">
                  <c:v>100</c:v>
                </c:pt>
                <c:pt idx="6">
                  <c:v>98</c:v>
                </c:pt>
                <c:pt idx="7">
                  <c:v>91</c:v>
                </c:pt>
                <c:pt idx="8">
                  <c:v>70</c:v>
                </c:pt>
                <c:pt idx="9">
                  <c:v>18</c:v>
                </c:pt>
                <c:pt idx="10">
                  <c:v>4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28-40B2-B8FB-2729D1D6481A}"/>
            </c:ext>
          </c:extLst>
        </c:ser>
        <c:ser>
          <c:idx val="0"/>
          <c:order val="3"/>
          <c:tx>
            <c:v>inferior</c:v>
          </c:tx>
          <c:spPr>
            <a:ln w="12700">
              <a:solidFill>
                <a:srgbClr val="000080"/>
              </a:solidFill>
              <a:prstDash val="lgDash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'3° Curva Integral'!$C$17:$D$28</c:f>
              <c:strCache>
                <c:ptCount val="12"/>
                <c:pt idx="0">
                  <c:v>1 1/2 "</c:v>
                </c:pt>
                <c:pt idx="1">
                  <c:v>1  "</c:v>
                </c:pt>
                <c:pt idx="2">
                  <c:v>3/4"</c:v>
                </c:pt>
                <c:pt idx="3">
                  <c:v>1/2"</c:v>
                </c:pt>
                <c:pt idx="4">
                  <c:v>3/8"</c:v>
                </c:pt>
                <c:pt idx="5">
                  <c:v>No. 4</c:v>
                </c:pt>
                <c:pt idx="6">
                  <c:v>No. 8</c:v>
                </c:pt>
                <c:pt idx="7">
                  <c:v>No.16</c:v>
                </c:pt>
                <c:pt idx="8">
                  <c:v>No.30</c:v>
                </c:pt>
                <c:pt idx="9">
                  <c:v>No.50</c:v>
                </c:pt>
                <c:pt idx="10">
                  <c:v>No.100</c:v>
                </c:pt>
                <c:pt idx="11">
                  <c:v>Charola</c:v>
                </c:pt>
              </c:strCache>
            </c:strRef>
          </c:cat>
          <c:val>
            <c:numRef>
              <c:f>'3° Curva Integral'!$L$17:$L$28</c:f>
              <c:numCache>
                <c:formatCode>General</c:formatCode>
                <c:ptCount val="12"/>
                <c:pt idx="0">
                  <c:v>100</c:v>
                </c:pt>
                <c:pt idx="1">
                  <c:v>99</c:v>
                </c:pt>
                <c:pt idx="2">
                  <c:v>98</c:v>
                </c:pt>
                <c:pt idx="3">
                  <c:v>69</c:v>
                </c:pt>
                <c:pt idx="4">
                  <c:v>48</c:v>
                </c:pt>
                <c:pt idx="5">
                  <c:v>30</c:v>
                </c:pt>
                <c:pt idx="6">
                  <c:v>24</c:v>
                </c:pt>
                <c:pt idx="7">
                  <c:v>22</c:v>
                </c:pt>
                <c:pt idx="8">
                  <c:v>18</c:v>
                </c:pt>
                <c:pt idx="9">
                  <c:v>5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28-40B2-B8FB-2729D1D6481A}"/>
            </c:ext>
          </c:extLst>
        </c:ser>
        <c:ser>
          <c:idx val="1"/>
          <c:order val="4"/>
          <c:tx>
            <c:v>superior</c:v>
          </c:tx>
          <c:spPr>
            <a:ln w="12700">
              <a:solidFill>
                <a:srgbClr val="008000"/>
              </a:solidFill>
              <a:prstDash val="lgDash"/>
            </a:ln>
          </c:spPr>
          <c:marker>
            <c:symbol val="square"/>
            <c:size val="5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'3° Curva Integral'!$C$17:$D$28</c:f>
              <c:strCache>
                <c:ptCount val="12"/>
                <c:pt idx="0">
                  <c:v>1 1/2 "</c:v>
                </c:pt>
                <c:pt idx="1">
                  <c:v>1  "</c:v>
                </c:pt>
                <c:pt idx="2">
                  <c:v>3/4"</c:v>
                </c:pt>
                <c:pt idx="3">
                  <c:v>1/2"</c:v>
                </c:pt>
                <c:pt idx="4">
                  <c:v>3/8"</c:v>
                </c:pt>
                <c:pt idx="5">
                  <c:v>No. 4</c:v>
                </c:pt>
                <c:pt idx="6">
                  <c:v>No. 8</c:v>
                </c:pt>
                <c:pt idx="7">
                  <c:v>No.16</c:v>
                </c:pt>
                <c:pt idx="8">
                  <c:v>No.30</c:v>
                </c:pt>
                <c:pt idx="9">
                  <c:v>No.50</c:v>
                </c:pt>
                <c:pt idx="10">
                  <c:v>No.100</c:v>
                </c:pt>
                <c:pt idx="11">
                  <c:v>Charola</c:v>
                </c:pt>
              </c:strCache>
            </c:strRef>
          </c:cat>
          <c:val>
            <c:numRef>
              <c:f>'3° Curva Integral'!$M$17:$M$28</c:f>
              <c:numCache>
                <c:formatCode>General</c:formatCode>
                <c:ptCount val="12"/>
                <c:pt idx="0">
                  <c:v>100</c:v>
                </c:pt>
                <c:pt idx="1">
                  <c:v>99</c:v>
                </c:pt>
                <c:pt idx="2">
                  <c:v>99</c:v>
                </c:pt>
                <c:pt idx="3">
                  <c:v>75</c:v>
                </c:pt>
                <c:pt idx="4">
                  <c:v>58</c:v>
                </c:pt>
                <c:pt idx="5">
                  <c:v>43</c:v>
                </c:pt>
                <c:pt idx="6">
                  <c:v>38</c:v>
                </c:pt>
                <c:pt idx="7">
                  <c:v>35</c:v>
                </c:pt>
                <c:pt idx="8">
                  <c:v>27</c:v>
                </c:pt>
                <c:pt idx="9">
                  <c:v>7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C28-40B2-B8FB-2729D1D64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073088"/>
        <c:axId val="144075392"/>
      </c:lineChart>
      <c:catAx>
        <c:axId val="14407308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80"/>
                    </a:solidFill>
                    <a:latin typeface="Helv"/>
                    <a:ea typeface="Helv"/>
                    <a:cs typeface="Helv"/>
                  </a:defRPr>
                </a:pPr>
                <a:r>
                  <a:rPr lang="en-US"/>
                  <a:t>Malla</a:t>
                </a:r>
              </a:p>
            </c:rich>
          </c:tx>
          <c:layout>
            <c:manualLayout>
              <c:xMode val="edge"/>
              <c:yMode val="edge"/>
              <c:x val="0.48746758859118411"/>
              <c:y val="0.942106877239030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25400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80"/>
                </a:solidFill>
                <a:latin typeface="Helv"/>
                <a:ea typeface="Helv"/>
                <a:cs typeface="Helv"/>
              </a:defRPr>
            </a:pPr>
            <a:endParaRPr lang="en-US"/>
          </a:p>
        </c:txPr>
        <c:crossAx val="14407539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44075392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Porcentaje que pasa (%)</a:t>
                </a:r>
              </a:p>
            </c:rich>
          </c:tx>
          <c:layout>
            <c:manualLayout>
              <c:xMode val="edge"/>
              <c:yMode val="edge"/>
              <c:x val="5.8275058275058245E-3"/>
              <c:y val="5.7835820895522513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cross"/>
        <c:minorTickMark val="none"/>
        <c:tickLblPos val="nextTo"/>
        <c:spPr>
          <a:ln w="3175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80"/>
                </a:solidFill>
                <a:latin typeface="Helv"/>
                <a:ea typeface="Helv"/>
                <a:cs typeface="Helv"/>
              </a:defRPr>
            </a:pPr>
            <a:endParaRPr lang="en-US"/>
          </a:p>
        </c:txPr>
        <c:crossAx val="14407308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7182368193604145"/>
          <c:y val="3.8596557354299198E-2"/>
          <c:w val="0.19014693171996544"/>
          <c:h val="0.20526350956604594"/>
        </c:manualLayout>
      </c:layout>
      <c:overlay val="0"/>
      <c:spPr>
        <a:solidFill>
          <a:srgbClr val="FFFFFF"/>
        </a:solidFill>
        <a:ln w="3175">
          <a:solidFill>
            <a:srgbClr val="C0C0C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80"/>
              </a:solidFill>
              <a:latin typeface="Helv"/>
              <a:ea typeface="Helv"/>
              <a:cs typeface="Helv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254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80"/>
          </a:solidFill>
          <a:latin typeface="Helv"/>
          <a:ea typeface="Helv"/>
          <a:cs typeface="Helv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278" r="0.75000000000000278" t="1" header="0.5" footer="0.5"/>
    <c:pageSetup orientation="portrait" horizontalDpi="-2"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5768605091453723E-2"/>
          <c:y val="2.3333371310825812E-2"/>
          <c:w val="0.92918903921517704"/>
          <c:h val="0.90000146484613419"/>
        </c:manualLayout>
      </c:layout>
      <c:lineChart>
        <c:grouping val="standard"/>
        <c:varyColors val="0"/>
        <c:ser>
          <c:idx val="3"/>
          <c:order val="0"/>
          <c:tx>
            <c:strRef>
              <c:f>'3° Curva Integral'!$E$15:$F$15</c:f>
              <c:strCache>
                <c:ptCount val="1"/>
                <c:pt idx="0">
                  <c:v>% Retenido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"/>
              <c:layout>
                <c:manualLayout>
                  <c:x val="-2.0056072194642239E-4"/>
                  <c:y val="-6.3582030340402643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D90-4338-97A0-F9C49BD14C67}"/>
                </c:ext>
              </c:extLst>
            </c:dLbl>
            <c:spPr>
              <a:solidFill>
                <a:schemeClr val="bg1"/>
              </a:solidFill>
            </c:spPr>
            <c:txPr>
              <a:bodyPr/>
              <a:lstStyle/>
              <a:p>
                <a:pPr>
                  <a:defRPr sz="1200" b="1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'3° Curva Integral'!$C$17:$D$28</c:f>
              <c:strCache>
                <c:ptCount val="12"/>
                <c:pt idx="0">
                  <c:v>1 1/2 "</c:v>
                </c:pt>
                <c:pt idx="1">
                  <c:v>1  "</c:v>
                </c:pt>
                <c:pt idx="2">
                  <c:v>3/4"</c:v>
                </c:pt>
                <c:pt idx="3">
                  <c:v>1/2"</c:v>
                </c:pt>
                <c:pt idx="4">
                  <c:v>3/8"</c:v>
                </c:pt>
                <c:pt idx="5">
                  <c:v>No. 4</c:v>
                </c:pt>
                <c:pt idx="6">
                  <c:v>No. 8</c:v>
                </c:pt>
                <c:pt idx="7">
                  <c:v>No.16</c:v>
                </c:pt>
                <c:pt idx="8">
                  <c:v>No.30</c:v>
                </c:pt>
                <c:pt idx="9">
                  <c:v>No.50</c:v>
                </c:pt>
                <c:pt idx="10">
                  <c:v>No.100</c:v>
                </c:pt>
                <c:pt idx="11">
                  <c:v>Charola</c:v>
                </c:pt>
              </c:strCache>
            </c:strRef>
          </c:cat>
          <c:val>
            <c:numRef>
              <c:f>'3° Curva Integral'!$E$17:$E$28</c:f>
              <c:numCache>
                <c:formatCode>0</c:formatCode>
                <c:ptCount val="12"/>
                <c:pt idx="0">
                  <c:v>0</c:v>
                </c:pt>
                <c:pt idx="1">
                  <c:v>5.0980392156862848</c:v>
                </c:pt>
                <c:pt idx="2">
                  <c:v>13.050980392156845</c:v>
                </c:pt>
                <c:pt idx="3">
                  <c:v>12.286274509803945</c:v>
                </c:pt>
                <c:pt idx="4">
                  <c:v>15.207450980392153</c:v>
                </c:pt>
                <c:pt idx="5">
                  <c:v>11.056862745098037</c:v>
                </c:pt>
                <c:pt idx="6">
                  <c:v>10.380784313725492</c:v>
                </c:pt>
                <c:pt idx="7">
                  <c:v>6.2921568627450988</c:v>
                </c:pt>
                <c:pt idx="8">
                  <c:v>7.5245098039215677</c:v>
                </c:pt>
                <c:pt idx="9">
                  <c:v>5.6421568627450984</c:v>
                </c:pt>
                <c:pt idx="10">
                  <c:v>7.9754901960784332</c:v>
                </c:pt>
                <c:pt idx="11">
                  <c:v>5.4852941176470589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90-4338-97A0-F9C49BD14C67}"/>
            </c:ext>
          </c:extLst>
        </c:ser>
        <c:ser>
          <c:idx val="1"/>
          <c:order val="1"/>
          <c:tx>
            <c:v>Requerida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dLbls>
            <c:dLbl>
              <c:idx val="3"/>
              <c:layout>
                <c:manualLayout>
                  <c:x val="-2.7499283872815909E-2"/>
                  <c:y val="-1.09529025191675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D90-4338-97A0-F9C49BD14C67}"/>
                </c:ext>
              </c:extLst>
            </c:dLbl>
            <c:dLbl>
              <c:idx val="4"/>
              <c:layout>
                <c:manualLayout>
                  <c:x val="-2.8645087367516604E-2"/>
                  <c:y val="-1.75246440306681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D90-4338-97A0-F9C49BD14C67}"/>
                </c:ext>
              </c:extLst>
            </c:dLbl>
            <c:dLbl>
              <c:idx val="5"/>
              <c:layout>
                <c:manualLayout>
                  <c:x val="-2.2916069894013211E-3"/>
                  <c:y val="-1.9715224534501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D90-4338-97A0-F9C49BD14C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Helv"/>
                    <a:ea typeface="Helv"/>
                    <a:cs typeface="Helv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'3° Curva Integral'!$C$17:$D$28</c:f>
              <c:strCache>
                <c:ptCount val="12"/>
                <c:pt idx="0">
                  <c:v>1 1/2 "</c:v>
                </c:pt>
                <c:pt idx="1">
                  <c:v>1  "</c:v>
                </c:pt>
                <c:pt idx="2">
                  <c:v>3/4"</c:v>
                </c:pt>
                <c:pt idx="3">
                  <c:v>1/2"</c:v>
                </c:pt>
                <c:pt idx="4">
                  <c:v>3/8"</c:v>
                </c:pt>
                <c:pt idx="5">
                  <c:v>No. 4</c:v>
                </c:pt>
                <c:pt idx="6">
                  <c:v>No. 8</c:v>
                </c:pt>
                <c:pt idx="7">
                  <c:v>No.16</c:v>
                </c:pt>
                <c:pt idx="8">
                  <c:v>No.30</c:v>
                </c:pt>
                <c:pt idx="9">
                  <c:v>No.50</c:v>
                </c:pt>
                <c:pt idx="10">
                  <c:v>No.100</c:v>
                </c:pt>
                <c:pt idx="11">
                  <c:v>Charola</c:v>
                </c:pt>
              </c:strCache>
            </c:strRef>
          </c:cat>
          <c:val>
            <c:numRef>
              <c:f>'3° Curva Integral'!$O$17:$O$28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14</c:v>
                </c:pt>
                <c:pt idx="4">
                  <c:v>19</c:v>
                </c:pt>
                <c:pt idx="5">
                  <c:v>19</c:v>
                </c:pt>
                <c:pt idx="6">
                  <c:v>14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4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D90-4338-97A0-F9C49BD14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092544"/>
        <c:axId val="143951360"/>
      </c:lineChart>
      <c:catAx>
        <c:axId val="14409254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80"/>
                    </a:solidFill>
                    <a:latin typeface="Helv"/>
                    <a:ea typeface="Helv"/>
                    <a:cs typeface="Helv"/>
                  </a:defRPr>
                </a:pPr>
                <a:r>
                  <a:rPr lang="en-US"/>
                  <a:t>Malla</a:t>
                </a:r>
              </a:p>
            </c:rich>
          </c:tx>
          <c:layout>
            <c:manualLayout>
              <c:xMode val="edge"/>
              <c:yMode val="edge"/>
              <c:x val="0.49941817226281326"/>
              <c:y val="0.942273640375958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25400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80"/>
                </a:solidFill>
                <a:latin typeface="Helv"/>
                <a:ea typeface="Helv"/>
                <a:cs typeface="Helv"/>
              </a:defRPr>
            </a:pPr>
            <a:endParaRPr lang="en-US"/>
          </a:p>
        </c:txPr>
        <c:crossAx val="1439513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43951360"/>
        <c:scaling>
          <c:orientation val="minMax"/>
          <c:max val="30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Porcentaje Retenido (%)</a:t>
                </a:r>
              </a:p>
            </c:rich>
          </c:tx>
          <c:layout>
            <c:manualLayout>
              <c:xMode val="edge"/>
              <c:yMode val="edge"/>
              <c:x val="5.8207217694994182E-3"/>
              <c:y val="5.7728314686921134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cross"/>
        <c:minorTickMark val="none"/>
        <c:tickLblPos val="nextTo"/>
        <c:spPr>
          <a:ln w="3175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80"/>
                </a:solidFill>
                <a:latin typeface="Helv"/>
                <a:ea typeface="Helv"/>
                <a:cs typeface="Helv"/>
              </a:defRPr>
            </a:pPr>
            <a:endParaRPr lang="en-US"/>
          </a:p>
        </c:txPr>
        <c:crossAx val="144092544"/>
        <c:crosses val="autoZero"/>
        <c:crossBetween val="midCat"/>
        <c:minorUnit val="1"/>
      </c:valAx>
      <c:spPr>
        <a:noFill/>
        <a:ln w="254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697817743599326"/>
          <c:y val="4.1666734483617324E-2"/>
          <c:w val="0.18652865471234048"/>
          <c:h val="0.2133336805561222"/>
        </c:manualLayout>
      </c:layout>
      <c:overlay val="0"/>
      <c:spPr>
        <a:solidFill>
          <a:srgbClr val="FFFFFF"/>
        </a:solidFill>
        <a:ln w="3175">
          <a:solidFill>
            <a:srgbClr val="C0C0C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80"/>
              </a:solidFill>
              <a:latin typeface="Helv"/>
              <a:ea typeface="Helv"/>
              <a:cs typeface="Helv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254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80"/>
          </a:solidFill>
          <a:latin typeface="Helv"/>
          <a:ea typeface="Helv"/>
          <a:cs typeface="Helv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 orientation="landscape"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751449446777763E-2"/>
          <c:y val="0.105442527112986"/>
          <c:w val="0.75319994108484534"/>
          <c:h val="0.67007025294382105"/>
        </c:manualLayout>
      </c:layout>
      <c:lineChart>
        <c:grouping val="standard"/>
        <c:varyColors val="0"/>
        <c:ser>
          <c:idx val="3"/>
          <c:order val="0"/>
          <c:tx>
            <c:v>Curva integral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1"/>
              <c:layout>
                <c:manualLayout>
                  <c:x val="1.9562075220415247E-2"/>
                  <c:y val="2.678842627487598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909-4443-BDD5-43F496101C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'3° Curva Integral'!$C$17:$D$28</c:f>
              <c:strCache>
                <c:ptCount val="12"/>
                <c:pt idx="0">
                  <c:v>1 1/2 "</c:v>
                </c:pt>
                <c:pt idx="1">
                  <c:v>1  "</c:v>
                </c:pt>
                <c:pt idx="2">
                  <c:v>3/4"</c:v>
                </c:pt>
                <c:pt idx="3">
                  <c:v>1/2"</c:v>
                </c:pt>
                <c:pt idx="4">
                  <c:v>3/8"</c:v>
                </c:pt>
                <c:pt idx="5">
                  <c:v>No. 4</c:v>
                </c:pt>
                <c:pt idx="6">
                  <c:v>No. 8</c:v>
                </c:pt>
                <c:pt idx="7">
                  <c:v>No.16</c:v>
                </c:pt>
                <c:pt idx="8">
                  <c:v>No.30</c:v>
                </c:pt>
                <c:pt idx="9">
                  <c:v>No.50</c:v>
                </c:pt>
                <c:pt idx="10">
                  <c:v>No.100</c:v>
                </c:pt>
                <c:pt idx="11">
                  <c:v>Charola</c:v>
                </c:pt>
              </c:strCache>
            </c:strRef>
          </c:cat>
          <c:val>
            <c:numRef>
              <c:f>'3° Curva Integral'!$E$17:$E$28</c:f>
              <c:numCache>
                <c:formatCode>0</c:formatCode>
                <c:ptCount val="12"/>
                <c:pt idx="0">
                  <c:v>0</c:v>
                </c:pt>
                <c:pt idx="1">
                  <c:v>5.0980392156862848</c:v>
                </c:pt>
                <c:pt idx="2">
                  <c:v>13.050980392156845</c:v>
                </c:pt>
                <c:pt idx="3">
                  <c:v>12.286274509803945</c:v>
                </c:pt>
                <c:pt idx="4">
                  <c:v>15.207450980392153</c:v>
                </c:pt>
                <c:pt idx="5">
                  <c:v>11.056862745098037</c:v>
                </c:pt>
                <c:pt idx="6">
                  <c:v>10.380784313725492</c:v>
                </c:pt>
                <c:pt idx="7">
                  <c:v>6.2921568627450988</c:v>
                </c:pt>
                <c:pt idx="8">
                  <c:v>7.5245098039215677</c:v>
                </c:pt>
                <c:pt idx="9">
                  <c:v>5.6421568627450984</c:v>
                </c:pt>
                <c:pt idx="10">
                  <c:v>7.9754901960784332</c:v>
                </c:pt>
                <c:pt idx="11">
                  <c:v>5.4852941176470589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09-4443-BDD5-43F496101C1E}"/>
            </c:ext>
          </c:extLst>
        </c:ser>
        <c:ser>
          <c:idx val="1"/>
          <c:order val="1"/>
          <c:tx>
            <c:v>Requerida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CC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dLbls>
            <c:dLbl>
              <c:idx val="4"/>
              <c:layout>
                <c:manualLayout>
                  <c:x val="-2.9343112830622641E-2"/>
                  <c:y val="-4.9112114837272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909-4443-BDD5-43F496101C1E}"/>
                </c:ext>
              </c:extLst>
            </c:dLbl>
            <c:dLbl>
              <c:idx val="5"/>
              <c:layout>
                <c:manualLayout>
                  <c:x val="-2.4452594025518873E-2"/>
                  <c:y val="-4.4647377124793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909-4443-BDD5-43F496101C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8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'3° Curva Integral'!$C$17:$D$28</c:f>
              <c:strCache>
                <c:ptCount val="12"/>
                <c:pt idx="0">
                  <c:v>1 1/2 "</c:v>
                </c:pt>
                <c:pt idx="1">
                  <c:v>1  "</c:v>
                </c:pt>
                <c:pt idx="2">
                  <c:v>3/4"</c:v>
                </c:pt>
                <c:pt idx="3">
                  <c:v>1/2"</c:v>
                </c:pt>
                <c:pt idx="4">
                  <c:v>3/8"</c:v>
                </c:pt>
                <c:pt idx="5">
                  <c:v>No. 4</c:v>
                </c:pt>
                <c:pt idx="6">
                  <c:v>No. 8</c:v>
                </c:pt>
                <c:pt idx="7">
                  <c:v>No.16</c:v>
                </c:pt>
                <c:pt idx="8">
                  <c:v>No.30</c:v>
                </c:pt>
                <c:pt idx="9">
                  <c:v>No.50</c:v>
                </c:pt>
                <c:pt idx="10">
                  <c:v>No.100</c:v>
                </c:pt>
                <c:pt idx="11">
                  <c:v>Charola</c:v>
                </c:pt>
              </c:strCache>
            </c:strRef>
          </c:cat>
          <c:val>
            <c:numRef>
              <c:f>'3° Curva Integral'!$O$17:$O$28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14</c:v>
                </c:pt>
                <c:pt idx="4">
                  <c:v>19</c:v>
                </c:pt>
                <c:pt idx="5">
                  <c:v>19</c:v>
                </c:pt>
                <c:pt idx="6">
                  <c:v>14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4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909-4443-BDD5-43F496101C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243712"/>
        <c:axId val="144397440"/>
      </c:lineChart>
      <c:catAx>
        <c:axId val="144243712"/>
        <c:scaling>
          <c:orientation val="minMax"/>
        </c:scaling>
        <c:delete val="0"/>
        <c:axPos val="b"/>
        <c:majorGridlines>
          <c:spPr>
            <a:ln w="3175">
              <a:solidFill>
                <a:srgbClr val="99CCFF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Malla</a:t>
                </a:r>
              </a:p>
            </c:rich>
          </c:tx>
          <c:layout>
            <c:manualLayout>
              <c:xMode val="edge"/>
              <c:yMode val="edge"/>
              <c:x val="0.44241355762750445"/>
              <c:y val="0.877553935327431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12700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39744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4439744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99CCFF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Porcentaje Retenido (%)</a:t>
                </a:r>
              </a:p>
            </c:rich>
          </c:tx>
          <c:layout>
            <c:manualLayout>
              <c:xMode val="edge"/>
              <c:yMode val="edge"/>
              <c:x val="9.1407759840393486E-3"/>
              <c:y val="0.2040823105412644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cross"/>
        <c:minorTickMark val="none"/>
        <c:tickLblPos val="nextTo"/>
        <c:spPr>
          <a:ln w="3175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243712"/>
        <c:crosses val="autoZero"/>
        <c:crossBetween val="midCat"/>
        <c:minorUnit val="1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961611418828764"/>
          <c:y val="2.0408231054126411E-2"/>
          <c:w val="0.39488152251050151"/>
          <c:h val="7.483018053179653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8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8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319612590799209E-2"/>
          <c:y val="9.3984962406015268E-2"/>
          <c:w val="0.84019370460048781"/>
          <c:h val="0.8157894736842145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'Curva 045'!$C$5:$C$16</c:f>
              <c:numCache>
                <c:formatCode>General</c:formatCode>
                <c:ptCount val="12"/>
                <c:pt idx="0">
                  <c:v>5.1453656047204506</c:v>
                </c:pt>
                <c:pt idx="1">
                  <c:v>4.2872141011063745</c:v>
                </c:pt>
                <c:pt idx="2">
                  <c:v>3.7621761023862978</c:v>
                </c:pt>
                <c:pt idx="3">
                  <c:v>3.1384244204431129</c:v>
                </c:pt>
                <c:pt idx="4">
                  <c:v>2.7553782925550121</c:v>
                </c:pt>
                <c:pt idx="5">
                  <c:v>2.0180091390948611</c:v>
                </c:pt>
                <c:pt idx="6">
                  <c:v>1.4772691574181662</c:v>
                </c:pt>
                <c:pt idx="7">
                  <c:v>1.0814243212187917</c:v>
                </c:pt>
                <c:pt idx="8">
                  <c:v>0.78864836127500526</c:v>
                </c:pt>
                <c:pt idx="9">
                  <c:v>0.57908244871186842</c:v>
                </c:pt>
                <c:pt idx="10">
                  <c:v>0.42455486395722097</c:v>
                </c:pt>
                <c:pt idx="11">
                  <c:v>0.30985197870034176</c:v>
                </c:pt>
              </c:numCache>
            </c:numRef>
          </c:xVal>
          <c:yVal>
            <c:numRef>
              <c:f>'Curva 045'!$D$5:$D$16</c:f>
              <c:numCache>
                <c:formatCode>0.0</c:formatCode>
                <c:ptCount val="12"/>
                <c:pt idx="0">
                  <c:v>100.00000000000001</c:v>
                </c:pt>
                <c:pt idx="1">
                  <c:v>94.901960784313729</c:v>
                </c:pt>
                <c:pt idx="2">
                  <c:v>81.850980392156885</c:v>
                </c:pt>
                <c:pt idx="3">
                  <c:v>69.564705882352939</c:v>
                </c:pt>
                <c:pt idx="4">
                  <c:v>54.357254901960786</c:v>
                </c:pt>
                <c:pt idx="5">
                  <c:v>43.300392156862749</c:v>
                </c:pt>
                <c:pt idx="6">
                  <c:v>32.919607843137257</c:v>
                </c:pt>
                <c:pt idx="7">
                  <c:v>26.627450980392158</c:v>
                </c:pt>
                <c:pt idx="8">
                  <c:v>19.102941176470591</c:v>
                </c:pt>
                <c:pt idx="9">
                  <c:v>13.460784313725492</c:v>
                </c:pt>
                <c:pt idx="10">
                  <c:v>5.4852941176470589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D0-41B7-8390-4540F8CCD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445824"/>
        <c:axId val="144447744"/>
      </c:scatterChart>
      <c:valAx>
        <c:axId val="14444582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one"/>
        <c:crossAx val="144447744"/>
        <c:crosses val="max"/>
        <c:crossBetween val="midCat"/>
      </c:valAx>
      <c:valAx>
        <c:axId val="144447744"/>
        <c:scaling>
          <c:orientation val="minMax"/>
          <c:max val="100"/>
        </c:scaling>
        <c:delete val="0"/>
        <c:axPos val="r"/>
        <c:majorGridlines>
          <c:spPr>
            <a:ln w="3175">
              <a:solidFill>
                <a:srgbClr val="CCCCFF"/>
              </a:solidFill>
              <a:prstDash val="sysDash"/>
            </a:ln>
          </c:spPr>
        </c:majorGridlines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445824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 paperSize="9" orientation="landscape" horizontalDpi="-2" verticalDpi="0"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61277364952725E-2"/>
          <c:y val="8.5616581523874843E-2"/>
          <c:w val="0.86326616636057762"/>
          <c:h val="0.777398560236786"/>
        </c:manualLayout>
      </c:layout>
      <c:scatterChart>
        <c:scatterStyle val="lineMarker"/>
        <c:varyColors val="0"/>
        <c:ser>
          <c:idx val="0"/>
          <c:order val="0"/>
          <c:tx>
            <c:v>Agregados</c:v>
          </c:tx>
          <c:spPr>
            <a:ln w="28575">
              <a:noFill/>
            </a:ln>
          </c:spPr>
          <c:marker>
            <c:symbol val="star"/>
            <c:size val="6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'WF vrs CF'!$C$4</c:f>
              <c:numCache>
                <c:formatCode>0.0</c:formatCode>
                <c:ptCount val="1"/>
                <c:pt idx="0">
                  <c:v>68.041857881967786</c:v>
                </c:pt>
              </c:numCache>
            </c:numRef>
          </c:xVal>
          <c:yVal>
            <c:numRef>
              <c:f>'WF vrs CF'!$C$2</c:f>
              <c:numCache>
                <c:formatCode>0.0</c:formatCode>
                <c:ptCount val="1"/>
                <c:pt idx="0">
                  <c:v>32.919607843137257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23-4554-87E6-1323064A51AA}"/>
            </c:ext>
          </c:extLst>
        </c:ser>
        <c:ser>
          <c:idx val="1"/>
          <c:order val="1"/>
          <c:tx>
            <c:v>Mezcla Total</c:v>
          </c:tx>
          <c:spPr>
            <a:ln w="3175">
              <a:solidFill>
                <a:srgbClr val="99CC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3366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dLbls>
            <c:dLbl>
              <c:idx val="0"/>
              <c:numFmt formatCode="#,##0.0;[Red]#,##0.0" sourceLinked="0"/>
              <c:spPr/>
              <c:txPr>
                <a:bodyPr/>
                <a:lstStyle/>
                <a:p>
                  <a:pPr>
                    <a:defRPr sz="900" b="1">
                      <a:solidFill>
                        <a:schemeClr val="tx2"/>
                      </a:solidFill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A523-4554-87E6-1323064A51AA}"/>
                </c:ext>
              </c:extLst>
            </c:dLbl>
            <c:numFmt formatCode="#,##0;[Red]#,##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'WF vrs CF'!$C$4</c:f>
              <c:numCache>
                <c:formatCode>0.0</c:formatCode>
                <c:ptCount val="1"/>
                <c:pt idx="0">
                  <c:v>68.041857881967786</c:v>
                </c:pt>
              </c:numCache>
            </c:numRef>
          </c:xVal>
          <c:yVal>
            <c:numRef>
              <c:f>'WF vrs CF'!$C$3</c:f>
              <c:numCache>
                <c:formatCode>0.0</c:formatCode>
                <c:ptCount val="1"/>
                <c:pt idx="0">
                  <c:v>32.919607843137257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23-4554-87E6-1323064A51AA}"/>
            </c:ext>
          </c:extLst>
        </c:ser>
        <c:ser>
          <c:idx val="2"/>
          <c:order val="2"/>
          <c:tx>
            <c:v>Area Limite</c:v>
          </c:tx>
          <c:spPr>
            <a:ln w="25400">
              <a:solidFill>
                <a:srgbClr val="00CCFF">
                  <a:alpha val="25000"/>
                </a:srgbClr>
              </a:solidFill>
              <a:prstDash val="solid"/>
            </a:ln>
            <a:effectLst>
              <a:outerShdw blurRad="50800" dist="50800" dir="5400000" algn="ctr" rotWithShape="0">
                <a:srgbClr val="000000"/>
              </a:outerShdw>
            </a:effectLst>
          </c:spPr>
          <c:marker>
            <c:symbol val="none"/>
          </c:marker>
          <c:xVal>
            <c:numRef>
              <c:f>'WF vrs CF'!$C$30:$C$40</c:f>
              <c:numCache>
                <c:formatCode>General</c:formatCode>
                <c:ptCount val="11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  <c:pt idx="10">
                  <c:v>0</c:v>
                </c:pt>
              </c:numCache>
            </c:numRef>
          </c:xVal>
          <c:yVal>
            <c:numRef>
              <c:f>'WF vrs CF'!$D$30:$D$40</c:f>
              <c:numCache>
                <c:formatCode>General</c:formatCode>
                <c:ptCount val="11"/>
                <c:pt idx="0">
                  <c:v>25</c:v>
                </c:pt>
                <c:pt idx="1">
                  <c:v>25</c:v>
                </c:pt>
                <c:pt idx="2">
                  <c:v>26</c:v>
                </c:pt>
                <c:pt idx="3">
                  <c:v>27</c:v>
                </c:pt>
                <c:pt idx="4">
                  <c:v>28.5</c:v>
                </c:pt>
                <c:pt idx="5">
                  <c:v>30</c:v>
                </c:pt>
                <c:pt idx="6">
                  <c:v>31.3</c:v>
                </c:pt>
                <c:pt idx="7">
                  <c:v>32.6</c:v>
                </c:pt>
                <c:pt idx="8">
                  <c:v>34</c:v>
                </c:pt>
                <c:pt idx="9">
                  <c:v>35</c:v>
                </c:pt>
                <c:pt idx="10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523-4554-87E6-1323064A51AA}"/>
            </c:ext>
          </c:extLst>
        </c:ser>
        <c:ser>
          <c:idx val="3"/>
          <c:order val="3"/>
          <c:tx>
            <c:v>Area Limite</c:v>
          </c:tx>
          <c:spPr>
            <a:ln w="25400">
              <a:solidFill>
                <a:srgbClr val="00CCFF">
                  <a:alpha val="24000"/>
                </a:srgbClr>
              </a:solidFill>
              <a:prstDash val="solid"/>
            </a:ln>
          </c:spPr>
          <c:marker>
            <c:symbol val="none"/>
          </c:marker>
          <c:xVal>
            <c:numRef>
              <c:f>'WF vrs CF'!$C$30:$C$40</c:f>
              <c:numCache>
                <c:formatCode>General</c:formatCode>
                <c:ptCount val="11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  <c:pt idx="10">
                  <c:v>0</c:v>
                </c:pt>
              </c:numCache>
            </c:numRef>
          </c:xVal>
          <c:yVal>
            <c:numRef>
              <c:f>'WF vrs CF'!$E$30:$E$40</c:f>
              <c:numCache>
                <c:formatCode>General</c:formatCode>
                <c:ptCount val="11"/>
                <c:pt idx="0">
                  <c:v>27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30.5</c:v>
                </c:pt>
                <c:pt idx="5">
                  <c:v>32</c:v>
                </c:pt>
                <c:pt idx="6">
                  <c:v>33.299999999999997</c:v>
                </c:pt>
                <c:pt idx="7">
                  <c:v>34.6</c:v>
                </c:pt>
                <c:pt idx="8">
                  <c:v>36</c:v>
                </c:pt>
                <c:pt idx="9">
                  <c:v>37</c:v>
                </c:pt>
                <c:pt idx="10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523-4554-87E6-1323064A5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72544"/>
        <c:axId val="144174080"/>
      </c:scatterChart>
      <c:valAx>
        <c:axId val="144172544"/>
        <c:scaling>
          <c:orientation val="maxMin"/>
          <c:max val="100"/>
        </c:scaling>
        <c:delete val="0"/>
        <c:axPos val="b"/>
        <c:majorGridlines>
          <c:spPr>
            <a:ln w="3175">
              <a:solidFill>
                <a:srgbClr val="CCCCFF"/>
              </a:solidFill>
              <a:prstDash val="sysDash"/>
            </a:ln>
          </c:spPr>
        </c:majorGridlines>
        <c:numFmt formatCode="0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174080"/>
        <c:crosses val="autoZero"/>
        <c:crossBetween val="midCat"/>
        <c:majorUnit val="10"/>
        <c:minorUnit val="5"/>
      </c:valAx>
      <c:valAx>
        <c:axId val="144174080"/>
        <c:scaling>
          <c:orientation val="minMax"/>
          <c:max val="48"/>
          <c:min val="22"/>
        </c:scaling>
        <c:delete val="0"/>
        <c:axPos val="r"/>
        <c:majorGridlines>
          <c:spPr>
            <a:ln w="3175">
              <a:solidFill>
                <a:srgbClr val="CCCCFF"/>
              </a:solidFill>
              <a:prstDash val="sysDash"/>
            </a:ln>
          </c:spPr>
        </c:majorGridlines>
        <c:numFmt formatCode="0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172544"/>
        <c:crosses val="autoZero"/>
        <c:crossBetween val="midCat"/>
        <c:majorUnit val="2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2304898336665691"/>
          <c:y val="0.72013651877133056"/>
          <c:w val="0.18401503689794271"/>
          <c:h val="0.1365187713310580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 paperSize="9" orientation="landscape" horizontalDpi="-2" verticalDpi="0"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319612590799209E-2"/>
          <c:y val="9.3984962406015268E-2"/>
          <c:w val="0.84019370460048781"/>
          <c:h val="0.8157894736842145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'Curva 045 Grava 20mm'!$C$5:$C$15</c:f>
              <c:numCache>
                <c:formatCode>General</c:formatCode>
                <c:ptCount val="11"/>
                <c:pt idx="0">
                  <c:v>4.2872141011063745</c:v>
                </c:pt>
                <c:pt idx="1">
                  <c:v>3.7621761023862978</c:v>
                </c:pt>
                <c:pt idx="2">
                  <c:v>3.1384244204431129</c:v>
                </c:pt>
                <c:pt idx="3">
                  <c:v>2.7553782925550121</c:v>
                </c:pt>
                <c:pt idx="4">
                  <c:v>2.0180091390948611</c:v>
                </c:pt>
                <c:pt idx="5">
                  <c:v>1.4772691574181662</c:v>
                </c:pt>
                <c:pt idx="6">
                  <c:v>1.0814243212187917</c:v>
                </c:pt>
                <c:pt idx="7">
                  <c:v>0.78864836127500526</c:v>
                </c:pt>
                <c:pt idx="8">
                  <c:v>0.57908244871186842</c:v>
                </c:pt>
                <c:pt idx="9">
                  <c:v>0.42455486395722097</c:v>
                </c:pt>
                <c:pt idx="10">
                  <c:v>0.30985197870034176</c:v>
                </c:pt>
              </c:numCache>
            </c:numRef>
          </c:xVal>
          <c:yVal>
            <c:numRef>
              <c:f>'Curva 045 Grava 20mm'!$D$5:$D$15</c:f>
              <c:numCache>
                <c:formatCode>0.0</c:formatCode>
                <c:ptCount val="11"/>
                <c:pt idx="0">
                  <c:v>94.901960784313729</c:v>
                </c:pt>
                <c:pt idx="1">
                  <c:v>81.850980392156885</c:v>
                </c:pt>
                <c:pt idx="2">
                  <c:v>69.564705882352939</c:v>
                </c:pt>
                <c:pt idx="3">
                  <c:v>54.357254901960786</c:v>
                </c:pt>
                <c:pt idx="4">
                  <c:v>43.300392156862749</c:v>
                </c:pt>
                <c:pt idx="5">
                  <c:v>32.919607843137257</c:v>
                </c:pt>
                <c:pt idx="6">
                  <c:v>26.627450980392158</c:v>
                </c:pt>
                <c:pt idx="7">
                  <c:v>19.102941176470591</c:v>
                </c:pt>
                <c:pt idx="8">
                  <c:v>13.460784313725492</c:v>
                </c:pt>
                <c:pt idx="9">
                  <c:v>5.4852941176470589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B6-4821-BF34-92D747F50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445824"/>
        <c:axId val="144447744"/>
      </c:scatterChart>
      <c:valAx>
        <c:axId val="14444582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one"/>
        <c:crossAx val="144447744"/>
        <c:crosses val="max"/>
        <c:crossBetween val="midCat"/>
      </c:valAx>
      <c:valAx>
        <c:axId val="144447744"/>
        <c:scaling>
          <c:orientation val="minMax"/>
          <c:max val="100"/>
        </c:scaling>
        <c:delete val="0"/>
        <c:axPos val="r"/>
        <c:majorGridlines>
          <c:spPr>
            <a:ln w="3175">
              <a:solidFill>
                <a:srgbClr val="CCCCFF"/>
              </a:solidFill>
              <a:prstDash val="sysDash"/>
            </a:ln>
          </c:spPr>
        </c:majorGridlines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445824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 paperSize="9" orientation="landscape" horizontalDpi="-2" verticalDpi="0"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7124797910542908E-2"/>
          <c:y val="7.5301204819277434E-2"/>
          <c:w val="0.88065177216229362"/>
          <c:h val="0.8524096385542202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'Curva 045'!$C$5:$C$16</c:f>
              <c:numCache>
                <c:formatCode>General</c:formatCode>
                <c:ptCount val="12"/>
                <c:pt idx="0">
                  <c:v>5.1453656047204506</c:v>
                </c:pt>
                <c:pt idx="1">
                  <c:v>4.2872141011063745</c:v>
                </c:pt>
                <c:pt idx="2">
                  <c:v>3.7621761023862978</c:v>
                </c:pt>
                <c:pt idx="3">
                  <c:v>3.1384244204431129</c:v>
                </c:pt>
                <c:pt idx="4">
                  <c:v>2.7553782925550121</c:v>
                </c:pt>
                <c:pt idx="5">
                  <c:v>2.0180091390948611</c:v>
                </c:pt>
                <c:pt idx="6">
                  <c:v>1.4772691574181662</c:v>
                </c:pt>
                <c:pt idx="7">
                  <c:v>1.0814243212187917</c:v>
                </c:pt>
                <c:pt idx="8">
                  <c:v>0.78864836127500526</c:v>
                </c:pt>
                <c:pt idx="9">
                  <c:v>0.57908244871186842</c:v>
                </c:pt>
                <c:pt idx="10">
                  <c:v>0.42455486395722097</c:v>
                </c:pt>
                <c:pt idx="11">
                  <c:v>0.30985197870034176</c:v>
                </c:pt>
              </c:numCache>
            </c:numRef>
          </c:xVal>
          <c:yVal>
            <c:numRef>
              <c:f>'Curva 045'!$D$5:$D$16</c:f>
              <c:numCache>
                <c:formatCode>0.0</c:formatCode>
                <c:ptCount val="12"/>
                <c:pt idx="0">
                  <c:v>100.00000000000001</c:v>
                </c:pt>
                <c:pt idx="1">
                  <c:v>94.901960784313729</c:v>
                </c:pt>
                <c:pt idx="2">
                  <c:v>81.850980392156885</c:v>
                </c:pt>
                <c:pt idx="3">
                  <c:v>69.564705882352939</c:v>
                </c:pt>
                <c:pt idx="4">
                  <c:v>54.357254901960786</c:v>
                </c:pt>
                <c:pt idx="5">
                  <c:v>43.300392156862749</c:v>
                </c:pt>
                <c:pt idx="6">
                  <c:v>32.919607843137257</c:v>
                </c:pt>
                <c:pt idx="7">
                  <c:v>26.627450980392158</c:v>
                </c:pt>
                <c:pt idx="8">
                  <c:v>19.102941176470591</c:v>
                </c:pt>
                <c:pt idx="9">
                  <c:v>13.460784313725492</c:v>
                </c:pt>
                <c:pt idx="10">
                  <c:v>5.4852941176470589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8-446D-B487-3DA201EA9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751232"/>
        <c:axId val="144757504"/>
      </c:scatterChart>
      <c:valAx>
        <c:axId val="14475123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one"/>
        <c:crossAx val="144757504"/>
        <c:crosses val="max"/>
        <c:crossBetween val="midCat"/>
      </c:valAx>
      <c:valAx>
        <c:axId val="144757504"/>
        <c:scaling>
          <c:orientation val="minMax"/>
          <c:max val="100"/>
        </c:scaling>
        <c:delete val="0"/>
        <c:axPos val="r"/>
        <c:majorGridlines>
          <c:spPr>
            <a:ln w="3175">
              <a:solidFill>
                <a:srgbClr val="CCCCFF"/>
              </a:solidFill>
              <a:prstDash val="sysDash"/>
            </a:ln>
          </c:spPr>
        </c:majorGridlines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chemeClr val="accent1">
                    <a:lumMod val="50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751232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 paperSize="9" orientation="landscape" horizontalDpi="-2" verticalDpi="0"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7124797910542908E-2"/>
          <c:y val="7.5301204819277434E-2"/>
          <c:w val="0.88065177216229362"/>
          <c:h val="0.8524096385542202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'Curva 045 Grava 20mm'!$C$5:$C$15</c:f>
              <c:numCache>
                <c:formatCode>General</c:formatCode>
                <c:ptCount val="11"/>
                <c:pt idx="0">
                  <c:v>4.2872141011063745</c:v>
                </c:pt>
                <c:pt idx="1">
                  <c:v>3.7621761023862978</c:v>
                </c:pt>
                <c:pt idx="2">
                  <c:v>3.1384244204431129</c:v>
                </c:pt>
                <c:pt idx="3">
                  <c:v>2.7553782925550121</c:v>
                </c:pt>
                <c:pt idx="4">
                  <c:v>2.0180091390948611</c:v>
                </c:pt>
                <c:pt idx="5">
                  <c:v>1.4772691574181662</c:v>
                </c:pt>
                <c:pt idx="6">
                  <c:v>1.0814243212187917</c:v>
                </c:pt>
                <c:pt idx="7">
                  <c:v>0.78864836127500526</c:v>
                </c:pt>
                <c:pt idx="8">
                  <c:v>0.57908244871186842</c:v>
                </c:pt>
                <c:pt idx="9">
                  <c:v>0.42455486395722097</c:v>
                </c:pt>
                <c:pt idx="10">
                  <c:v>0.30985197870034176</c:v>
                </c:pt>
              </c:numCache>
            </c:numRef>
          </c:xVal>
          <c:yVal>
            <c:numRef>
              <c:f>'Curva 045 Grava 20mm'!$D$5:$D$15</c:f>
              <c:numCache>
                <c:formatCode>0.0</c:formatCode>
                <c:ptCount val="11"/>
                <c:pt idx="0">
                  <c:v>94.901960784313729</c:v>
                </c:pt>
                <c:pt idx="1">
                  <c:v>81.850980392156885</c:v>
                </c:pt>
                <c:pt idx="2">
                  <c:v>69.564705882352939</c:v>
                </c:pt>
                <c:pt idx="3">
                  <c:v>54.357254901960786</c:v>
                </c:pt>
                <c:pt idx="4">
                  <c:v>43.300392156862749</c:v>
                </c:pt>
                <c:pt idx="5">
                  <c:v>32.919607843137257</c:v>
                </c:pt>
                <c:pt idx="6">
                  <c:v>26.627450980392158</c:v>
                </c:pt>
                <c:pt idx="7">
                  <c:v>19.102941176470591</c:v>
                </c:pt>
                <c:pt idx="8">
                  <c:v>13.460784313725492</c:v>
                </c:pt>
                <c:pt idx="9">
                  <c:v>5.4852941176470589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9F-4006-86C7-D851D10D6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751232"/>
        <c:axId val="144757504"/>
      </c:scatterChart>
      <c:valAx>
        <c:axId val="14475123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one"/>
        <c:crossAx val="144757504"/>
        <c:crosses val="max"/>
        <c:crossBetween val="midCat"/>
      </c:valAx>
      <c:valAx>
        <c:axId val="144757504"/>
        <c:scaling>
          <c:orientation val="minMax"/>
          <c:max val="100"/>
        </c:scaling>
        <c:delete val="0"/>
        <c:axPos val="r"/>
        <c:majorGridlines>
          <c:spPr>
            <a:ln w="3175">
              <a:solidFill>
                <a:srgbClr val="CCCCFF"/>
              </a:solidFill>
              <a:prstDash val="sysDash"/>
            </a:ln>
          </c:spPr>
        </c:majorGridlines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chemeClr val="accent1">
                    <a:lumMod val="50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751232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 paperSize="9" orientation="landscape" horizontalDpi="-2" verticalDpi="0"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149383740496273E-2"/>
          <c:y val="7.3529517362013672E-2"/>
          <c:w val="0.87334674185035421"/>
          <c:h val="0.80588351028766958"/>
        </c:manualLayout>
      </c:layout>
      <c:scatterChart>
        <c:scatterStyle val="lineMarker"/>
        <c:varyColors val="0"/>
        <c:ser>
          <c:idx val="0"/>
          <c:order val="0"/>
          <c:tx>
            <c:v>Agregados</c:v>
          </c:tx>
          <c:spPr>
            <a:ln w="28575">
              <a:noFill/>
            </a:ln>
          </c:spPr>
          <c:marker>
            <c:symbol val="star"/>
            <c:size val="6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'WF vrs CF'!$C$4</c:f>
              <c:numCache>
                <c:formatCode>0.0</c:formatCode>
                <c:ptCount val="1"/>
                <c:pt idx="0">
                  <c:v>68.041857881967786</c:v>
                </c:pt>
              </c:numCache>
            </c:numRef>
          </c:xVal>
          <c:yVal>
            <c:numRef>
              <c:f>'WF vrs CF'!$C$2</c:f>
              <c:numCache>
                <c:formatCode>0.0</c:formatCode>
                <c:ptCount val="1"/>
                <c:pt idx="0">
                  <c:v>32.919607843137257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BC-470A-A08A-5C5C08C5425E}"/>
            </c:ext>
          </c:extLst>
        </c:ser>
        <c:ser>
          <c:idx val="1"/>
          <c:order val="1"/>
          <c:tx>
            <c:v>Mezcla Total</c:v>
          </c:tx>
          <c:spPr>
            <a:ln w="3175">
              <a:solidFill>
                <a:srgbClr val="99CC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3366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>
                    <a:solidFill>
                      <a:schemeClr val="tx2"/>
                    </a:solidFill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'WF vrs CF'!$C$4</c:f>
              <c:numCache>
                <c:formatCode>0.0</c:formatCode>
                <c:ptCount val="1"/>
                <c:pt idx="0">
                  <c:v>68.041857881967786</c:v>
                </c:pt>
              </c:numCache>
            </c:numRef>
          </c:xVal>
          <c:yVal>
            <c:numRef>
              <c:f>'WF vrs CF'!$C$3</c:f>
              <c:numCache>
                <c:formatCode>0.0</c:formatCode>
                <c:ptCount val="1"/>
                <c:pt idx="0">
                  <c:v>32.919607843137257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BC-470A-A08A-5C5C08C5425E}"/>
            </c:ext>
          </c:extLst>
        </c:ser>
        <c:ser>
          <c:idx val="2"/>
          <c:order val="2"/>
          <c:tx>
            <c:v>Area Limite</c:v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'WF vrs CF'!$C$30:$C$40</c:f>
              <c:numCache>
                <c:formatCode>General</c:formatCode>
                <c:ptCount val="11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  <c:pt idx="10">
                  <c:v>0</c:v>
                </c:pt>
              </c:numCache>
            </c:numRef>
          </c:xVal>
          <c:yVal>
            <c:numRef>
              <c:f>'WF vrs CF'!$D$30:$D$40</c:f>
              <c:numCache>
                <c:formatCode>General</c:formatCode>
                <c:ptCount val="11"/>
                <c:pt idx="0">
                  <c:v>25</c:v>
                </c:pt>
                <c:pt idx="1">
                  <c:v>25</c:v>
                </c:pt>
                <c:pt idx="2">
                  <c:v>26</c:v>
                </c:pt>
                <c:pt idx="3">
                  <c:v>27</c:v>
                </c:pt>
                <c:pt idx="4">
                  <c:v>28.5</c:v>
                </c:pt>
                <c:pt idx="5">
                  <c:v>30</c:v>
                </c:pt>
                <c:pt idx="6">
                  <c:v>31.3</c:v>
                </c:pt>
                <c:pt idx="7">
                  <c:v>32.6</c:v>
                </c:pt>
                <c:pt idx="8">
                  <c:v>34</c:v>
                </c:pt>
                <c:pt idx="9">
                  <c:v>35</c:v>
                </c:pt>
                <c:pt idx="10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EBC-470A-A08A-5C5C08C5425E}"/>
            </c:ext>
          </c:extLst>
        </c:ser>
        <c:ser>
          <c:idx val="3"/>
          <c:order val="3"/>
          <c:tx>
            <c:v>Area Limite</c:v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'WF vrs CF'!$C$30:$C$40</c:f>
              <c:numCache>
                <c:formatCode>General</c:formatCode>
                <c:ptCount val="11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  <c:pt idx="10">
                  <c:v>0</c:v>
                </c:pt>
              </c:numCache>
            </c:numRef>
          </c:xVal>
          <c:yVal>
            <c:numRef>
              <c:f>'WF vrs CF'!$E$30:$E$40</c:f>
              <c:numCache>
                <c:formatCode>General</c:formatCode>
                <c:ptCount val="11"/>
                <c:pt idx="0">
                  <c:v>27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30.5</c:v>
                </c:pt>
                <c:pt idx="5">
                  <c:v>32</c:v>
                </c:pt>
                <c:pt idx="6">
                  <c:v>33.299999999999997</c:v>
                </c:pt>
                <c:pt idx="7">
                  <c:v>34.6</c:v>
                </c:pt>
                <c:pt idx="8">
                  <c:v>36</c:v>
                </c:pt>
                <c:pt idx="9">
                  <c:v>37</c:v>
                </c:pt>
                <c:pt idx="10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EBC-470A-A08A-5C5C08C542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996992"/>
        <c:axId val="145015168"/>
      </c:scatterChart>
      <c:valAx>
        <c:axId val="144996992"/>
        <c:scaling>
          <c:orientation val="maxMin"/>
          <c:max val="100"/>
        </c:scaling>
        <c:delete val="0"/>
        <c:axPos val="b"/>
        <c:majorGridlines>
          <c:spPr>
            <a:ln w="3175">
              <a:solidFill>
                <a:srgbClr val="CCCCFF"/>
              </a:solidFill>
              <a:prstDash val="sysDash"/>
            </a:ln>
          </c:spPr>
        </c:majorGridlines>
        <c:numFmt formatCode="0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chemeClr val="accent1">
                    <a:lumMod val="50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015168"/>
        <c:crosses val="autoZero"/>
        <c:crossBetween val="midCat"/>
        <c:majorUnit val="10"/>
        <c:minorUnit val="5"/>
      </c:valAx>
      <c:valAx>
        <c:axId val="145015168"/>
        <c:scaling>
          <c:orientation val="minMax"/>
          <c:max val="48"/>
          <c:min val="22"/>
        </c:scaling>
        <c:delete val="0"/>
        <c:axPos val="r"/>
        <c:majorGridlines>
          <c:spPr>
            <a:ln w="3175">
              <a:solidFill>
                <a:srgbClr val="CCCCFF"/>
              </a:solidFill>
              <a:prstDash val="sysDash"/>
            </a:ln>
          </c:spPr>
        </c:majorGridlines>
        <c:numFmt formatCode="0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chemeClr val="accent1">
                    <a:lumMod val="50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996992"/>
        <c:crosses val="autoZero"/>
        <c:crossBetween val="midCat"/>
        <c:majorUnit val="2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1197531397159874"/>
          <c:y val="0.70588313953028969"/>
          <c:w val="0.18525539695061743"/>
          <c:h val="0.114706191137872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1" i="0" u="none" strike="noStrike" baseline="0">
              <a:solidFill>
                <a:schemeClr val="accent1">
                  <a:lumMod val="50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 paperSize="9" orientation="landscape" horizontalDpi="-2" verticalDpi="0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Distribución por malla</a:t>
            </a:r>
          </a:p>
        </c:rich>
      </c:tx>
      <c:layout>
        <c:manualLayout>
          <c:xMode val="edge"/>
          <c:yMode val="edge"/>
          <c:x val="0.36562532808398951"/>
          <c:y val="3.17073170731710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00007629400351"/>
          <c:y val="0.12682926829268287"/>
          <c:w val="0.86093815684368968"/>
          <c:h val="0.59512195121951261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99CCFF"/>
              </a:solidFill>
              <a:prstDash val="lgDash"/>
            </a:ln>
          </c:spPr>
          <c:marker>
            <c:symbol val="none"/>
          </c:marker>
          <c:cat>
            <c:strRef>
              <c:f>'Curva Distribución'!$B$5:$B$16</c:f>
              <c:strCache>
                <c:ptCount val="12"/>
                <c:pt idx="0">
                  <c:v>1 1/2"</c:v>
                </c:pt>
                <c:pt idx="1">
                  <c:v>1"</c:v>
                </c:pt>
                <c:pt idx="2">
                  <c:v>3/4"</c:v>
                </c:pt>
                <c:pt idx="3">
                  <c:v>1/2"</c:v>
                </c:pt>
                <c:pt idx="4">
                  <c:v>3/8"</c:v>
                </c:pt>
                <c:pt idx="5">
                  <c:v># 4</c:v>
                </c:pt>
                <c:pt idx="6">
                  <c:v># 8</c:v>
                </c:pt>
                <c:pt idx="7">
                  <c:v># 16</c:v>
                </c:pt>
                <c:pt idx="8">
                  <c:v># 30</c:v>
                </c:pt>
                <c:pt idx="9">
                  <c:v># 50</c:v>
                </c:pt>
                <c:pt idx="10">
                  <c:v># 100</c:v>
                </c:pt>
                <c:pt idx="11">
                  <c:v># 200</c:v>
                </c:pt>
              </c:strCache>
            </c:strRef>
          </c:cat>
          <c:val>
            <c:numRef>
              <c:f>'Curva Distribución'!$I$5:$I$16</c:f>
              <c:numCache>
                <c:formatCode>General</c:formatCode>
                <c:ptCount val="12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1.8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21-4A93-902B-E3677A991FD6}"/>
            </c:ext>
          </c:extLst>
        </c:ser>
        <c:ser>
          <c:idx val="1"/>
          <c:order val="1"/>
          <c:spPr>
            <a:ln w="25400">
              <a:solidFill>
                <a:srgbClr val="99CCFF"/>
              </a:solidFill>
              <a:prstDash val="lgDash"/>
            </a:ln>
          </c:spPr>
          <c:marker>
            <c:symbol val="none"/>
          </c:marker>
          <c:cat>
            <c:strRef>
              <c:f>'Curva Distribución'!$B$5:$B$16</c:f>
              <c:strCache>
                <c:ptCount val="12"/>
                <c:pt idx="0">
                  <c:v>1 1/2"</c:v>
                </c:pt>
                <c:pt idx="1">
                  <c:v>1"</c:v>
                </c:pt>
                <c:pt idx="2">
                  <c:v>3/4"</c:v>
                </c:pt>
                <c:pt idx="3">
                  <c:v>1/2"</c:v>
                </c:pt>
                <c:pt idx="4">
                  <c:v>3/8"</c:v>
                </c:pt>
                <c:pt idx="5">
                  <c:v># 4</c:v>
                </c:pt>
                <c:pt idx="6">
                  <c:v># 8</c:v>
                </c:pt>
                <c:pt idx="7">
                  <c:v># 16</c:v>
                </c:pt>
                <c:pt idx="8">
                  <c:v># 30</c:v>
                </c:pt>
                <c:pt idx="9">
                  <c:v># 50</c:v>
                </c:pt>
                <c:pt idx="10">
                  <c:v># 100</c:v>
                </c:pt>
                <c:pt idx="11">
                  <c:v># 200</c:v>
                </c:pt>
              </c:strCache>
            </c:strRef>
          </c:cat>
          <c:val>
            <c:numRef>
              <c:f>'Curva Distribución'!$J$5:$J$16</c:f>
              <c:numCache>
                <c:formatCode>General</c:formatCode>
                <c:ptCount val="12"/>
                <c:pt idx="0">
                  <c:v>0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24</c:v>
                </c:pt>
                <c:pt idx="7">
                  <c:v>24</c:v>
                </c:pt>
                <c:pt idx="8">
                  <c:v>15</c:v>
                </c:pt>
                <c:pt idx="9">
                  <c:v>15</c:v>
                </c:pt>
                <c:pt idx="10">
                  <c:v>5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21-4A93-902B-E3677A991FD6}"/>
            </c:ext>
          </c:extLst>
        </c:ser>
        <c:ser>
          <c:idx val="2"/>
          <c:order val="2"/>
          <c:tx>
            <c:v>Curva Agregados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'Curva Distribución'!$H$5:$H$16</c:f>
              <c:numCache>
                <c:formatCode>0.00</c:formatCode>
                <c:ptCount val="12"/>
                <c:pt idx="0">
                  <c:v>0</c:v>
                </c:pt>
                <c:pt idx="1">
                  <c:v>5.098039215686275</c:v>
                </c:pt>
                <c:pt idx="2">
                  <c:v>13.050980392156863</c:v>
                </c:pt>
                <c:pt idx="3">
                  <c:v>12.286274509803928</c:v>
                </c:pt>
                <c:pt idx="4">
                  <c:v>15.207450980392158</c:v>
                </c:pt>
                <c:pt idx="5">
                  <c:v>11.056862745098041</c:v>
                </c:pt>
                <c:pt idx="6">
                  <c:v>10.38078431372549</c:v>
                </c:pt>
                <c:pt idx="7">
                  <c:v>6.2921568627450979</c:v>
                </c:pt>
                <c:pt idx="8">
                  <c:v>7.5245098039215694</c:v>
                </c:pt>
                <c:pt idx="9">
                  <c:v>5.6421568627450975</c:v>
                </c:pt>
                <c:pt idx="10">
                  <c:v>7.9754901960784332</c:v>
                </c:pt>
                <c:pt idx="11">
                  <c:v>5.4852941176470589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F21-4A93-902B-E3677A991F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074816"/>
        <c:axId val="145093376"/>
      </c:lineChart>
      <c:catAx>
        <c:axId val="14507481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Tamiz</a:t>
                </a:r>
              </a:p>
            </c:rich>
          </c:tx>
          <c:layout>
            <c:manualLayout>
              <c:xMode val="edge"/>
              <c:yMode val="edge"/>
              <c:x val="0.50000032808398953"/>
              <c:y val="0.834146341463414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093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45093376"/>
        <c:scaling>
          <c:orientation val="minMax"/>
          <c:max val="24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Retenido</a:t>
                </a:r>
              </a:p>
            </c:rich>
          </c:tx>
          <c:layout>
            <c:manualLayout>
              <c:xMode val="edge"/>
              <c:yMode val="edge"/>
              <c:x val="2.5000000000000001E-2"/>
              <c:y val="0.343902439024390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074816"/>
        <c:crosses val="autoZero"/>
        <c:crossBetween val="midCat"/>
        <c:majorUnit val="2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 paperSize="9" orientation="landscape" horizontalDpi="-2" verticalDpi="0"/>
  </c:printSettings>
</c:chartSpace>
</file>

<file path=xl/ctrlProps/ctrlProp1.xml><?xml version="1.0" encoding="utf-8"?>
<formControlPr xmlns="http://schemas.microsoft.com/office/spreadsheetml/2009/9/main" objectType="Drop" dropLines="20" dropStyle="combo" dx="26" fmlaLink="$E$49" fmlaRange="$D$49:$D$50" sel="2" val="0"/>
</file>

<file path=xl/ctrlProps/ctrlProp2.xml><?xml version="1.0" encoding="utf-8"?>
<formControlPr xmlns="http://schemas.microsoft.com/office/spreadsheetml/2009/9/main" objectType="Drop" dropLines="20" dropStyle="combo" dx="26" fmlaLink="$E$51" fmlaRange="$D$49:$D$50" sel="2" val="0"/>
</file>

<file path=xl/ctrlProps/ctrlProp3.xml><?xml version="1.0" encoding="utf-8"?>
<formControlPr xmlns="http://schemas.microsoft.com/office/spreadsheetml/2009/9/main" objectType="Drop" dropLines="20" dropStyle="combo" dx="26" fmlaLink="$E$52" fmlaRange="$D$49:$D$50" sel="2" val="0"/>
</file>

<file path=xl/ctrlProps/ctrlProp4.xml><?xml version="1.0" encoding="utf-8"?>
<formControlPr xmlns="http://schemas.microsoft.com/office/spreadsheetml/2009/9/main" objectType="Drop" dropLines="20" dropStyle="combo" dx="26" fmlaLink="$E$50" fmlaRange="$D$49:$D$50" sel="2" val="0"/>
</file>

<file path=xl/ctrlProps/ctrlProp5.xml><?xml version="1.0" encoding="utf-8"?>
<formControlPr xmlns="http://schemas.microsoft.com/office/spreadsheetml/2009/9/main" objectType="Drop" dropLines="20" dropStyle="combo" dx="26" fmlaLink="$E$53" fmlaRange="$D$49:$D$50" sel="1" val="0"/>
</file>

<file path=xl/ctrlProps/ctrlProp6.xml><?xml version="1.0" encoding="utf-8"?>
<formControlPr xmlns="http://schemas.microsoft.com/office/spreadsheetml/2009/9/main" objectType="Drop" dropLines="20" dropStyle="combo" dx="26" fmlaLink="$E$54" fmlaRange="$D$49:$D$50" sel="2" val="0"/>
</file>

<file path=xl/ctrlProps/ctrlProp7.xml><?xml version="1.0" encoding="utf-8"?>
<formControlPr xmlns="http://schemas.microsoft.com/office/spreadsheetml/2009/9/main" objectType="Drop" dropLines="20" dropStyle="combo" dx="26" fmlaRange="$T$14:$T$20" sel="1" val="0"/>
</file>

<file path=xl/ctrlProps/ctrlProp8.xml><?xml version="1.0" encoding="utf-8"?>
<formControlPr xmlns="http://schemas.microsoft.com/office/spreadsheetml/2009/9/main" objectType="Drop" dropLines="20" dropStyle="combo" dx="26" fmlaLink="$C$49" fmlaRange="$B$49:$B$50" sel="2" val="0"/>
</file>

<file path=xl/ctrlProps/ctrlProp9.xml><?xml version="1.0" encoding="utf-8"?>
<formControlPr xmlns="http://schemas.microsoft.com/office/spreadsheetml/2009/9/main" objectType="Drop" dropLines="20" dropStyle="combo" dx="26" fmlaLink="$C$50" fmlaRange="$B$49:$B$50" sel="2" val="0"/>
</file>

<file path=xl/ctrlProps/ctrlProp10.xml><?xml version="1.0" encoding="utf-8"?>
<formControlPr xmlns="http://schemas.microsoft.com/office/spreadsheetml/2009/9/main" objectType="Drop" dropLines="20" dropStyle="combo" dx="26" fmlaLink="$C$51" fmlaRange="$B$49:$B$50" sel="1" val="0"/>
</file>

<file path=xl/ctrlProps/ctrlProp11.xml><?xml version="1.0" encoding="utf-8"?>
<formControlPr xmlns="http://schemas.microsoft.com/office/spreadsheetml/2009/9/main" objectType="Drop" dropLines="20" dropStyle="combo" dx="26" fmlaLink="$C$52" fmlaRange="$B$49:$B$50" sel="2" val="0"/>
</file>

<file path=xl/ctrlProps/ctrlProp12.xml><?xml version="1.0" encoding="utf-8"?>
<formControlPr xmlns="http://schemas.microsoft.com/office/spreadsheetml/2009/9/main" objectType="Drop" dropLines="20" dropStyle="combo" dx="26" fmlaLink="$C$53" fmlaRange="$B$49:$B$50" sel="2" val="0"/>
</file>

<file path=xl/ctrlProps/ctrlProp13.xml><?xml version="1.0" encoding="utf-8"?>
<formControlPr xmlns="http://schemas.microsoft.com/office/spreadsheetml/2009/9/main" objectType="Drop" dropLines="20" dropStyle="combo" dx="26" fmlaLink="$C$54" fmlaRange="$B$49:$B$50" sel="1" val="0"/>
</file>

<file path=xl/ctrlProps/ctrlProp14.xml><?xml version="1.0" encoding="utf-8"?>
<formControlPr xmlns="http://schemas.microsoft.com/office/spreadsheetml/2009/9/main" objectType="Drop" dropLines="20" dropStyle="combo" dx="26" fmlaLink="$H$49" fmlaRange="$F$49:$F$56" sel="1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jpe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</xdr:row>
      <xdr:rowOff>38100</xdr:rowOff>
    </xdr:from>
    <xdr:to>
      <xdr:col>2</xdr:col>
      <xdr:colOff>980162</xdr:colOff>
      <xdr:row>5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3000"/>
        <a:stretch/>
      </xdr:blipFill>
      <xdr:spPr bwMode="auto">
        <a:xfrm>
          <a:off x="57150" y="200025"/>
          <a:ext cx="3151862" cy="733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682625</xdr:colOff>
      <xdr:row>46</xdr:row>
      <xdr:rowOff>7936</xdr:rowOff>
    </xdr:from>
    <xdr:to>
      <xdr:col>2</xdr:col>
      <xdr:colOff>1502657</xdr:colOff>
      <xdr:row>55</xdr:row>
      <xdr:rowOff>15875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690562</xdr:colOff>
      <xdr:row>46</xdr:row>
      <xdr:rowOff>0</xdr:rowOff>
    </xdr:from>
    <xdr:to>
      <xdr:col>6</xdr:col>
      <xdr:colOff>7937</xdr:colOff>
      <xdr:row>55</xdr:row>
      <xdr:rowOff>7937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666751</xdr:colOff>
      <xdr:row>46</xdr:row>
      <xdr:rowOff>1</xdr:rowOff>
    </xdr:from>
    <xdr:to>
      <xdr:col>9</xdr:col>
      <xdr:colOff>1</xdr:colOff>
      <xdr:row>55</xdr:row>
      <xdr:rowOff>1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642937</xdr:colOff>
      <xdr:row>68</xdr:row>
      <xdr:rowOff>0</xdr:rowOff>
    </xdr:from>
    <xdr:to>
      <xdr:col>3</xdr:col>
      <xdr:colOff>0</xdr:colOff>
      <xdr:row>78</xdr:row>
      <xdr:rowOff>0</xdr:rowOff>
    </xdr:to>
    <xdr:graphicFrame macro="">
      <xdr:nvGraphicFramePr>
        <xdr:cNvPr id="6" name="Chart 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666750</xdr:colOff>
      <xdr:row>68</xdr:row>
      <xdr:rowOff>-1</xdr:rowOff>
    </xdr:from>
    <xdr:to>
      <xdr:col>6</xdr:col>
      <xdr:colOff>7937</xdr:colOff>
      <xdr:row>77</xdr:row>
      <xdr:rowOff>182563</xdr:rowOff>
    </xdr:to>
    <xdr:graphicFrame macro="">
      <xdr:nvGraphicFramePr>
        <xdr:cNvPr id="7" name="Chart 5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</xdr:colOff>
      <xdr:row>107</xdr:row>
      <xdr:rowOff>0</xdr:rowOff>
    </xdr:from>
    <xdr:to>
      <xdr:col>3</xdr:col>
      <xdr:colOff>1181101</xdr:colOff>
      <xdr:row>124</xdr:row>
      <xdr:rowOff>44450</xdr:rowOff>
    </xdr:to>
    <xdr:graphicFrame macro="">
      <xdr:nvGraphicFramePr>
        <xdr:cNvPr id="10" name="Chart 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107</xdr:row>
      <xdr:rowOff>0</xdr:rowOff>
    </xdr:from>
    <xdr:to>
      <xdr:col>8</xdr:col>
      <xdr:colOff>638528</xdr:colOff>
      <xdr:row>124</xdr:row>
      <xdr:rowOff>38100</xdr:rowOff>
    </xdr:to>
    <xdr:graphicFrame macro="">
      <xdr:nvGraphicFramePr>
        <xdr:cNvPr id="11" name="Chart 7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0.49064</cdr:x>
      <cdr:y>0.22295</cdr:y>
    </cdr:from>
    <cdr:to>
      <cdr:x>0.49064</cdr:x>
      <cdr:y>0.22295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82936" y="574415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Helv"/>
            </a:rPr>
            <a:t>FINOS</a:t>
          </a:r>
        </a:p>
      </cdr:txBody>
    </cdr:sp>
  </cdr:relSizeAnchor>
  <cdr:relSizeAnchor xmlns:cdr="http://schemas.openxmlformats.org/drawingml/2006/chartDrawing">
    <cdr:from>
      <cdr:x>0.11296</cdr:x>
      <cdr:y>0.4675</cdr:y>
    </cdr:from>
    <cdr:to>
      <cdr:x>0.11296</cdr:x>
      <cdr:y>0.4675</cdr:y>
    </cdr:to>
    <cdr:sp macro="" textlink="">
      <cdr:nvSpPr>
        <cdr:cNvPr id="717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2245" y="1201027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Helv"/>
            </a:rPr>
            <a:t>GRUESOS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0.4867</cdr:x>
      <cdr:y>0.21149</cdr:y>
    </cdr:from>
    <cdr:to>
      <cdr:x>0.4867</cdr:x>
      <cdr:y>0.21149</cdr:y>
    </cdr:to>
    <cdr:sp macro="" textlink="">
      <cdr:nvSpPr>
        <cdr:cNvPr id="81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62843" y="528955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Helv"/>
            </a:rPr>
            <a:t>FINOS</a:t>
          </a:r>
        </a:p>
      </cdr:txBody>
    </cdr:sp>
  </cdr:relSizeAnchor>
  <cdr:relSizeAnchor xmlns:cdr="http://schemas.openxmlformats.org/drawingml/2006/chartDrawing">
    <cdr:from>
      <cdr:x>0.12256</cdr:x>
      <cdr:y>0.43797</cdr:y>
    </cdr:from>
    <cdr:to>
      <cdr:x>0.12256</cdr:x>
      <cdr:y>0.43797</cdr:y>
    </cdr:to>
    <cdr:sp macro="" textlink="">
      <cdr:nvSpPr>
        <cdr:cNvPr id="819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73628" y="1091983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Helv"/>
            </a:rPr>
            <a:t>GRUESOS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0.4867</cdr:x>
      <cdr:y>0.21149</cdr:y>
    </cdr:from>
    <cdr:to>
      <cdr:x>0.4867</cdr:x>
      <cdr:y>0.21149</cdr:y>
    </cdr:to>
    <cdr:sp macro="" textlink="">
      <cdr:nvSpPr>
        <cdr:cNvPr id="81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62843" y="528955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Helv"/>
            </a:rPr>
            <a:t>FINOS</a:t>
          </a:r>
        </a:p>
      </cdr:txBody>
    </cdr:sp>
  </cdr:relSizeAnchor>
  <cdr:relSizeAnchor xmlns:cdr="http://schemas.openxmlformats.org/drawingml/2006/chartDrawing">
    <cdr:from>
      <cdr:x>0.12256</cdr:x>
      <cdr:y>0.43797</cdr:y>
    </cdr:from>
    <cdr:to>
      <cdr:x>0.12256</cdr:x>
      <cdr:y>0.43797</cdr:y>
    </cdr:to>
    <cdr:sp macro="" textlink="">
      <cdr:nvSpPr>
        <cdr:cNvPr id="819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73628" y="1091983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Helv"/>
            </a:rPr>
            <a:t>GRUESOS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0.49361</cdr:x>
      <cdr:y>0.22202</cdr:y>
    </cdr:from>
    <cdr:to>
      <cdr:x>0.49361</cdr:x>
      <cdr:y>0.22202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833548" y="569936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Helv"/>
            </a:rPr>
            <a:t>FINOS</a:t>
          </a:r>
        </a:p>
      </cdr:txBody>
    </cdr:sp>
  </cdr:relSizeAnchor>
  <cdr:relSizeAnchor xmlns:cdr="http://schemas.openxmlformats.org/drawingml/2006/chartDrawing">
    <cdr:from>
      <cdr:x>0.1241</cdr:x>
      <cdr:y>0.46655</cdr:y>
    </cdr:from>
    <cdr:to>
      <cdr:x>0.1241</cdr:x>
      <cdr:y>0.46655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4769" y="1194129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Helv"/>
            </a:rPr>
            <a:t>GRUESOS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0.51131</cdr:x>
      <cdr:y>0.22367</cdr:y>
    </cdr:from>
    <cdr:to>
      <cdr:x>0.51131</cdr:x>
      <cdr:y>0.22367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881454" y="563490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Helv"/>
            </a:rPr>
            <a:t>FINOS</a:t>
          </a:r>
        </a:p>
      </cdr:txBody>
    </cdr:sp>
  </cdr:relSizeAnchor>
  <cdr:relSizeAnchor xmlns:cdr="http://schemas.openxmlformats.org/drawingml/2006/chartDrawing">
    <cdr:from>
      <cdr:x>0.15543</cdr:x>
      <cdr:y>0.46585</cdr:y>
    </cdr:from>
    <cdr:to>
      <cdr:x>0.15543</cdr:x>
      <cdr:y>0.46585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78137" y="1170164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Helv"/>
            </a:rPr>
            <a:t>GRUESOS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0.51527</cdr:x>
      <cdr:y>0.22297</cdr:y>
    </cdr:from>
    <cdr:to>
      <cdr:x>0.51527</cdr:x>
      <cdr:y>0.22297</cdr:y>
    </cdr:to>
    <cdr:sp macro="" textlink="">
      <cdr:nvSpPr>
        <cdr:cNvPr id="1433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262030" y="548979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Helv"/>
            </a:rPr>
            <a:t>FINOS</a:t>
          </a:r>
        </a:p>
      </cdr:txBody>
    </cdr:sp>
  </cdr:relSizeAnchor>
  <cdr:relSizeAnchor xmlns:cdr="http://schemas.openxmlformats.org/drawingml/2006/chartDrawing">
    <cdr:from>
      <cdr:x>0.16487</cdr:x>
      <cdr:y>0.4642</cdr:y>
    </cdr:from>
    <cdr:to>
      <cdr:x>0.16487</cdr:x>
      <cdr:y>0.4642</cdr:y>
    </cdr:to>
    <cdr:sp macro="" textlink="">
      <cdr:nvSpPr>
        <cdr:cNvPr id="14338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45939" y="1139500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Helv"/>
            </a:rPr>
            <a:t>GRUESOS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0.51401</cdr:x>
      <cdr:y>0.2109</cdr:y>
    </cdr:from>
    <cdr:to>
      <cdr:x>0.51401</cdr:x>
      <cdr:y>0.2109</cdr:y>
    </cdr:to>
    <cdr:sp macro="" textlink="">
      <cdr:nvSpPr>
        <cdr:cNvPr id="1331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26062" y="501356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Helv"/>
            </a:rPr>
            <a:t>FINOS</a:t>
          </a:r>
        </a:p>
      </cdr:txBody>
    </cdr:sp>
  </cdr:relSizeAnchor>
  <cdr:relSizeAnchor xmlns:cdr="http://schemas.openxmlformats.org/drawingml/2006/chartDrawing">
    <cdr:from>
      <cdr:x>0.17872</cdr:x>
      <cdr:y>0.43282</cdr:y>
    </cdr:from>
    <cdr:to>
      <cdr:x>0.17872</cdr:x>
      <cdr:y>0.43282</cdr:y>
    </cdr:to>
    <cdr:sp macro="" textlink="">
      <cdr:nvSpPr>
        <cdr:cNvPr id="1331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19471" y="1025589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Helv"/>
            </a:rPr>
            <a:t>GRUESOS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571500</xdr:colOff>
          <xdr:row>14</xdr:row>
          <xdr:rowOff>19050</xdr:rowOff>
        </xdr:from>
        <xdr:to>
          <xdr:col>17</xdr:col>
          <xdr:colOff>514350</xdr:colOff>
          <xdr:row>15</xdr:row>
          <xdr:rowOff>19050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571500</xdr:colOff>
          <xdr:row>16</xdr:row>
          <xdr:rowOff>31750</xdr:rowOff>
        </xdr:from>
        <xdr:to>
          <xdr:col>17</xdr:col>
          <xdr:colOff>514350</xdr:colOff>
          <xdr:row>17</xdr:row>
          <xdr:rowOff>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571500</xdr:colOff>
          <xdr:row>17</xdr:row>
          <xdr:rowOff>31750</xdr:rowOff>
        </xdr:from>
        <xdr:to>
          <xdr:col>17</xdr:col>
          <xdr:colOff>514350</xdr:colOff>
          <xdr:row>18</xdr:row>
          <xdr:rowOff>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571500</xdr:colOff>
          <xdr:row>15</xdr:row>
          <xdr:rowOff>19050</xdr:rowOff>
        </xdr:from>
        <xdr:to>
          <xdr:col>17</xdr:col>
          <xdr:colOff>514350</xdr:colOff>
          <xdr:row>15</xdr:row>
          <xdr:rowOff>222250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571500</xdr:colOff>
          <xdr:row>18</xdr:row>
          <xdr:rowOff>38100</xdr:rowOff>
        </xdr:from>
        <xdr:to>
          <xdr:col>17</xdr:col>
          <xdr:colOff>514350</xdr:colOff>
          <xdr:row>19</xdr:row>
          <xdr:rowOff>19050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571500</xdr:colOff>
          <xdr:row>19</xdr:row>
          <xdr:rowOff>38100</xdr:rowOff>
        </xdr:from>
        <xdr:to>
          <xdr:col>17</xdr:col>
          <xdr:colOff>514350</xdr:colOff>
          <xdr:row>20</xdr:row>
          <xdr:rowOff>19050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419100</xdr:colOff>
          <xdr:row>7</xdr:row>
          <xdr:rowOff>69850</xdr:rowOff>
        </xdr:from>
        <xdr:to>
          <xdr:col>17</xdr:col>
          <xdr:colOff>514350</xdr:colOff>
          <xdr:row>8</xdr:row>
          <xdr:rowOff>57150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14</xdr:row>
          <xdr:rowOff>19050</xdr:rowOff>
        </xdr:from>
        <xdr:to>
          <xdr:col>12</xdr:col>
          <xdr:colOff>450850</xdr:colOff>
          <xdr:row>15</xdr:row>
          <xdr:rowOff>0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15</xdr:row>
          <xdr:rowOff>31750</xdr:rowOff>
        </xdr:from>
        <xdr:to>
          <xdr:col>12</xdr:col>
          <xdr:colOff>450850</xdr:colOff>
          <xdr:row>16</xdr:row>
          <xdr:rowOff>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16</xdr:row>
          <xdr:rowOff>38100</xdr:rowOff>
        </xdr:from>
        <xdr:to>
          <xdr:col>12</xdr:col>
          <xdr:colOff>450850</xdr:colOff>
          <xdr:row>17</xdr:row>
          <xdr:rowOff>19050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17</xdr:row>
          <xdr:rowOff>38100</xdr:rowOff>
        </xdr:from>
        <xdr:to>
          <xdr:col>12</xdr:col>
          <xdr:colOff>450850</xdr:colOff>
          <xdr:row>18</xdr:row>
          <xdr:rowOff>19050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18</xdr:row>
          <xdr:rowOff>57150</xdr:rowOff>
        </xdr:from>
        <xdr:to>
          <xdr:col>12</xdr:col>
          <xdr:colOff>450850</xdr:colOff>
          <xdr:row>19</xdr:row>
          <xdr:rowOff>19050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19</xdr:row>
          <xdr:rowOff>57150</xdr:rowOff>
        </xdr:from>
        <xdr:to>
          <xdr:col>12</xdr:col>
          <xdr:colOff>450850</xdr:colOff>
          <xdr:row>20</xdr:row>
          <xdr:rowOff>19050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9</xdr:row>
          <xdr:rowOff>57150</xdr:rowOff>
        </xdr:from>
        <xdr:to>
          <xdr:col>4</xdr:col>
          <xdr:colOff>228600</xdr:colOff>
          <xdr:row>10</xdr:row>
          <xdr:rowOff>19050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9</xdr:row>
          <xdr:rowOff>57150</xdr:rowOff>
        </xdr:from>
        <xdr:to>
          <xdr:col>10</xdr:col>
          <xdr:colOff>228600</xdr:colOff>
          <xdr:row>10</xdr:row>
          <xdr:rowOff>50800</xdr:rowOff>
        </xdr:to>
        <xdr:sp macro="" textlink="">
          <xdr:nvSpPr>
            <xdr:cNvPr id="1039" name="TextBox1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488950</xdr:colOff>
          <xdr:row>102</xdr:row>
          <xdr:rowOff>57150</xdr:rowOff>
        </xdr:from>
        <xdr:to>
          <xdr:col>15</xdr:col>
          <xdr:colOff>412750</xdr:colOff>
          <xdr:row>103</xdr:row>
          <xdr:rowOff>133350</xdr:rowOff>
        </xdr:to>
        <xdr:sp macro="" textlink="">
          <xdr:nvSpPr>
            <xdr:cNvPr id="1040" name="CheckBox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102</xdr:row>
          <xdr:rowOff>57150</xdr:rowOff>
        </xdr:from>
        <xdr:to>
          <xdr:col>13</xdr:col>
          <xdr:colOff>317500</xdr:colOff>
          <xdr:row>103</xdr:row>
          <xdr:rowOff>133350</xdr:rowOff>
        </xdr:to>
        <xdr:sp macro="" textlink="">
          <xdr:nvSpPr>
            <xdr:cNvPr id="1041" name="CheckBox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102</xdr:row>
          <xdr:rowOff>57150</xdr:rowOff>
        </xdr:from>
        <xdr:to>
          <xdr:col>17</xdr:col>
          <xdr:colOff>431800</xdr:colOff>
          <xdr:row>103</xdr:row>
          <xdr:rowOff>133350</xdr:rowOff>
        </xdr:to>
        <xdr:sp macro="" textlink="">
          <xdr:nvSpPr>
            <xdr:cNvPr id="1042" name="CheckBox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</xdr:row>
          <xdr:rowOff>38100</xdr:rowOff>
        </xdr:from>
        <xdr:to>
          <xdr:col>14</xdr:col>
          <xdr:colOff>57150</xdr:colOff>
          <xdr:row>10</xdr:row>
          <xdr:rowOff>31750</xdr:rowOff>
        </xdr:to>
        <xdr:sp macro="" textlink="">
          <xdr:nvSpPr>
            <xdr:cNvPr id="1049" name="TextBox2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28</xdr:row>
      <xdr:rowOff>0</xdr:rowOff>
    </xdr:from>
    <xdr:to>
      <xdr:col>14</xdr:col>
      <xdr:colOff>533400</xdr:colOff>
      <xdr:row>41</xdr:row>
      <xdr:rowOff>76200</xdr:rowOff>
    </xdr:to>
    <xdr:graphicFrame macro="">
      <xdr:nvGraphicFramePr>
        <xdr:cNvPr id="6145" name="Chart 1">
          <a:extLst>
            <a:ext uri="{FF2B5EF4-FFF2-40B4-BE49-F238E27FC236}">
              <a16:creationId xmlns:a16="http://schemas.microsoft.com/office/drawing/2014/main" id="{00000000-0008-0000-0200-000001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43</xdr:row>
      <xdr:rowOff>66675</xdr:rowOff>
    </xdr:from>
    <xdr:to>
      <xdr:col>14</xdr:col>
      <xdr:colOff>542925</xdr:colOff>
      <xdr:row>57</xdr:row>
      <xdr:rowOff>9525</xdr:rowOff>
    </xdr:to>
    <xdr:graphicFrame macro="">
      <xdr:nvGraphicFramePr>
        <xdr:cNvPr id="6146" name="Chart 2">
          <a:extLst>
            <a:ext uri="{FF2B5EF4-FFF2-40B4-BE49-F238E27FC236}">
              <a16:creationId xmlns:a16="http://schemas.microsoft.com/office/drawing/2014/main" id="{00000000-0008-0000-0200-000002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533400</xdr:colOff>
      <xdr:row>28</xdr:row>
      <xdr:rowOff>0</xdr:rowOff>
    </xdr:from>
    <xdr:to>
      <xdr:col>25</xdr:col>
      <xdr:colOff>161925</xdr:colOff>
      <xdr:row>41</xdr:row>
      <xdr:rowOff>66675</xdr:rowOff>
    </xdr:to>
    <xdr:graphicFrame macro="">
      <xdr:nvGraphicFramePr>
        <xdr:cNvPr id="6148" name="Chart 4">
          <a:extLst>
            <a:ext uri="{FF2B5EF4-FFF2-40B4-BE49-F238E27FC236}">
              <a16:creationId xmlns:a16="http://schemas.microsoft.com/office/drawing/2014/main" id="{00000000-0008-0000-0200-000004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57150</xdr:colOff>
      <xdr:row>43</xdr:row>
      <xdr:rowOff>57150</xdr:rowOff>
    </xdr:from>
    <xdr:to>
      <xdr:col>25</xdr:col>
      <xdr:colOff>190500</xdr:colOff>
      <xdr:row>57</xdr:row>
      <xdr:rowOff>19050</xdr:rowOff>
    </xdr:to>
    <xdr:graphicFrame macro="">
      <xdr:nvGraphicFramePr>
        <xdr:cNvPr id="6149" name="Chart 5">
          <a:extLst>
            <a:ext uri="{FF2B5EF4-FFF2-40B4-BE49-F238E27FC236}">
              <a16:creationId xmlns:a16="http://schemas.microsoft.com/office/drawing/2014/main" id="{00000000-0008-0000-0200-000005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47625</xdr:colOff>
      <xdr:row>75</xdr:row>
      <xdr:rowOff>95250</xdr:rowOff>
    </xdr:from>
    <xdr:to>
      <xdr:col>25</xdr:col>
      <xdr:colOff>238125</xdr:colOff>
      <xdr:row>88</xdr:row>
      <xdr:rowOff>95250</xdr:rowOff>
    </xdr:to>
    <xdr:graphicFrame macro="">
      <xdr:nvGraphicFramePr>
        <xdr:cNvPr id="6151" name="Chart 7">
          <a:extLst>
            <a:ext uri="{FF2B5EF4-FFF2-40B4-BE49-F238E27FC236}">
              <a16:creationId xmlns:a16="http://schemas.microsoft.com/office/drawing/2014/main" id="{00000000-0008-0000-0200-000007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9525</xdr:colOff>
      <xdr:row>75</xdr:row>
      <xdr:rowOff>76200</xdr:rowOff>
    </xdr:from>
    <xdr:to>
      <xdr:col>14</xdr:col>
      <xdr:colOff>590550</xdr:colOff>
      <xdr:row>88</xdr:row>
      <xdr:rowOff>161925</xdr:rowOff>
    </xdr:to>
    <xdr:graphicFrame macro="">
      <xdr:nvGraphicFramePr>
        <xdr:cNvPr id="6152" name="Chart 8">
          <a:extLst>
            <a:ext uri="{FF2B5EF4-FFF2-40B4-BE49-F238E27FC236}">
              <a16:creationId xmlns:a16="http://schemas.microsoft.com/office/drawing/2014/main" id="{00000000-0008-0000-0200-000008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59</xdr:row>
      <xdr:rowOff>0</xdr:rowOff>
    </xdr:from>
    <xdr:to>
      <xdr:col>14</xdr:col>
      <xdr:colOff>542925</xdr:colOff>
      <xdr:row>72</xdr:row>
      <xdr:rowOff>124690</xdr:rowOff>
    </xdr:to>
    <xdr:graphicFrame macro="">
      <xdr:nvGraphicFramePr>
        <xdr:cNvPr id="9" name="Chart 2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0.49064</cdr:x>
      <cdr:y>0.22295</cdr:y>
    </cdr:from>
    <cdr:to>
      <cdr:x>0.49064</cdr:x>
      <cdr:y>0.22295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82936" y="574415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Helv"/>
            </a:rPr>
            <a:t>FINOS</a:t>
          </a:r>
        </a:p>
      </cdr:txBody>
    </cdr:sp>
  </cdr:relSizeAnchor>
  <cdr:relSizeAnchor xmlns:cdr="http://schemas.openxmlformats.org/drawingml/2006/chartDrawing">
    <cdr:from>
      <cdr:x>0.11296</cdr:x>
      <cdr:y>0.4675</cdr:y>
    </cdr:from>
    <cdr:to>
      <cdr:x>0.11296</cdr:x>
      <cdr:y>0.4675</cdr:y>
    </cdr:to>
    <cdr:sp macro="" textlink="">
      <cdr:nvSpPr>
        <cdr:cNvPr id="717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2245" y="1201027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Helv"/>
            </a:rPr>
            <a:t>GRUESOS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0.4867</cdr:x>
      <cdr:y>0.21149</cdr:y>
    </cdr:from>
    <cdr:to>
      <cdr:x>0.4867</cdr:x>
      <cdr:y>0.21149</cdr:y>
    </cdr:to>
    <cdr:sp macro="" textlink="">
      <cdr:nvSpPr>
        <cdr:cNvPr id="81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62843" y="528955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Helv"/>
            </a:rPr>
            <a:t>FINOS</a:t>
          </a:r>
        </a:p>
      </cdr:txBody>
    </cdr:sp>
  </cdr:relSizeAnchor>
  <cdr:relSizeAnchor xmlns:cdr="http://schemas.openxmlformats.org/drawingml/2006/chartDrawing">
    <cdr:from>
      <cdr:x>0.12256</cdr:x>
      <cdr:y>0.43797</cdr:y>
    </cdr:from>
    <cdr:to>
      <cdr:x>0.12256</cdr:x>
      <cdr:y>0.43797</cdr:y>
    </cdr:to>
    <cdr:sp macro="" textlink="">
      <cdr:nvSpPr>
        <cdr:cNvPr id="819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73628" y="1091983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Helv"/>
            </a:rPr>
            <a:t>GRUESOS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0.49361</cdr:x>
      <cdr:y>0.22202</cdr:y>
    </cdr:from>
    <cdr:to>
      <cdr:x>0.49361</cdr:x>
      <cdr:y>0.22202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833548" y="569936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Helv"/>
            </a:rPr>
            <a:t>FINOS</a:t>
          </a:r>
        </a:p>
      </cdr:txBody>
    </cdr:sp>
  </cdr:relSizeAnchor>
  <cdr:relSizeAnchor xmlns:cdr="http://schemas.openxmlformats.org/drawingml/2006/chartDrawing">
    <cdr:from>
      <cdr:x>0.1241</cdr:x>
      <cdr:y>0.46655</cdr:y>
    </cdr:from>
    <cdr:to>
      <cdr:x>0.1241</cdr:x>
      <cdr:y>0.46655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4769" y="1194129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Helv"/>
            </a:rPr>
            <a:t>GRUESOS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0.51131</cdr:x>
      <cdr:y>0.22367</cdr:y>
    </cdr:from>
    <cdr:to>
      <cdr:x>0.51131</cdr:x>
      <cdr:y>0.22367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881454" y="563490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Helv"/>
            </a:rPr>
            <a:t>FINOS</a:t>
          </a:r>
        </a:p>
      </cdr:txBody>
    </cdr:sp>
  </cdr:relSizeAnchor>
  <cdr:relSizeAnchor xmlns:cdr="http://schemas.openxmlformats.org/drawingml/2006/chartDrawing">
    <cdr:from>
      <cdr:x>0.15543</cdr:x>
      <cdr:y>0.46585</cdr:y>
    </cdr:from>
    <cdr:to>
      <cdr:x>0.15543</cdr:x>
      <cdr:y>0.46585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78137" y="1170164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Helv"/>
            </a:rPr>
            <a:t>GRUESOS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0.51401</cdr:x>
      <cdr:y>0.2109</cdr:y>
    </cdr:from>
    <cdr:to>
      <cdr:x>0.51401</cdr:x>
      <cdr:y>0.2109</cdr:y>
    </cdr:to>
    <cdr:sp macro="" textlink="">
      <cdr:nvSpPr>
        <cdr:cNvPr id="1331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26062" y="501356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Helv"/>
            </a:rPr>
            <a:t>FINOS</a:t>
          </a:r>
        </a:p>
      </cdr:txBody>
    </cdr:sp>
  </cdr:relSizeAnchor>
  <cdr:relSizeAnchor xmlns:cdr="http://schemas.openxmlformats.org/drawingml/2006/chartDrawing">
    <cdr:from>
      <cdr:x>0.17872</cdr:x>
      <cdr:y>0.43282</cdr:y>
    </cdr:from>
    <cdr:to>
      <cdr:x>0.17872</cdr:x>
      <cdr:y>0.43282</cdr:y>
    </cdr:to>
    <cdr:sp macro="" textlink="">
      <cdr:nvSpPr>
        <cdr:cNvPr id="1331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19471" y="1025589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Helv"/>
            </a:rPr>
            <a:t>GRUESOS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0.51527</cdr:x>
      <cdr:y>0.22297</cdr:y>
    </cdr:from>
    <cdr:to>
      <cdr:x>0.51527</cdr:x>
      <cdr:y>0.22297</cdr:y>
    </cdr:to>
    <cdr:sp macro="" textlink="">
      <cdr:nvSpPr>
        <cdr:cNvPr id="1433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262030" y="548979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Helv"/>
            </a:rPr>
            <a:t>FINOS</a:t>
          </a:r>
        </a:p>
      </cdr:txBody>
    </cdr:sp>
  </cdr:relSizeAnchor>
  <cdr:relSizeAnchor xmlns:cdr="http://schemas.openxmlformats.org/drawingml/2006/chartDrawing">
    <cdr:from>
      <cdr:x>0.16487</cdr:x>
      <cdr:y>0.4642</cdr:y>
    </cdr:from>
    <cdr:to>
      <cdr:x>0.16487</cdr:x>
      <cdr:y>0.4642</cdr:y>
    </cdr:to>
    <cdr:sp macro="" textlink="">
      <cdr:nvSpPr>
        <cdr:cNvPr id="14338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45939" y="1139500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Helv"/>
            </a:rPr>
            <a:t>GRUESOS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0.4867</cdr:x>
      <cdr:y>0.21149</cdr:y>
    </cdr:from>
    <cdr:to>
      <cdr:x>0.4867</cdr:x>
      <cdr:y>0.21149</cdr:y>
    </cdr:to>
    <cdr:sp macro="" textlink="">
      <cdr:nvSpPr>
        <cdr:cNvPr id="81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62843" y="528955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Helv"/>
            </a:rPr>
            <a:t>FINOS</a:t>
          </a:r>
        </a:p>
      </cdr:txBody>
    </cdr:sp>
  </cdr:relSizeAnchor>
  <cdr:relSizeAnchor xmlns:cdr="http://schemas.openxmlformats.org/drawingml/2006/chartDrawing">
    <cdr:from>
      <cdr:x>0.12256</cdr:x>
      <cdr:y>0.43797</cdr:y>
    </cdr:from>
    <cdr:to>
      <cdr:x>0.12256</cdr:x>
      <cdr:y>0.43797</cdr:y>
    </cdr:to>
    <cdr:sp macro="" textlink="">
      <cdr:nvSpPr>
        <cdr:cNvPr id="819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73628" y="1091983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Helv"/>
            </a:rPr>
            <a:t>GRUESOS</a:t>
          </a:r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66</xdr:row>
      <xdr:rowOff>114300</xdr:rowOff>
    </xdr:from>
    <xdr:to>
      <xdr:col>15</xdr:col>
      <xdr:colOff>0</xdr:colOff>
      <xdr:row>100</xdr:row>
      <xdr:rowOff>38100</xdr:rowOff>
    </xdr:to>
    <xdr:graphicFrame macro="">
      <xdr:nvGraphicFramePr>
        <xdr:cNvPr id="15361" name="Chart 1">
          <a:extLst>
            <a:ext uri="{FF2B5EF4-FFF2-40B4-BE49-F238E27FC236}">
              <a16:creationId xmlns:a16="http://schemas.microsoft.com/office/drawing/2014/main" id="{00000000-0008-0000-0300-0000013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66674</xdr:colOff>
      <xdr:row>67</xdr:row>
      <xdr:rowOff>130175</xdr:rowOff>
    </xdr:from>
    <xdr:to>
      <xdr:col>10</xdr:col>
      <xdr:colOff>253999</xdr:colOff>
      <xdr:row>97</xdr:row>
      <xdr:rowOff>92075</xdr:rowOff>
    </xdr:to>
    <xdr:sp macro="" textlink="">
      <xdr:nvSpPr>
        <xdr:cNvPr id="15362" name="Rectangle 7">
          <a:extLst>
            <a:ext uri="{FF2B5EF4-FFF2-40B4-BE49-F238E27FC236}">
              <a16:creationId xmlns:a16="http://schemas.microsoft.com/office/drawing/2014/main" id="{00000000-0008-0000-0300-0000023C0000}"/>
            </a:ext>
          </a:extLst>
        </xdr:cNvPr>
        <xdr:cNvSpPr>
          <a:spLocks noChangeArrowheads="1"/>
        </xdr:cNvSpPr>
      </xdr:nvSpPr>
      <xdr:spPr bwMode="auto">
        <a:xfrm>
          <a:off x="5235574" y="10099675"/>
          <a:ext cx="1838325" cy="4914900"/>
        </a:xfrm>
        <a:prstGeom prst="rect">
          <a:avLst/>
        </a:prstGeom>
        <a:solidFill>
          <a:srgbClr val="C0C0C0">
            <a:alpha val="25098"/>
          </a:srgbClr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0</xdr:colOff>
      <xdr:row>29</xdr:row>
      <xdr:rowOff>104775</xdr:rowOff>
    </xdr:from>
    <xdr:to>
      <xdr:col>15</xdr:col>
      <xdr:colOff>9525</xdr:colOff>
      <xdr:row>60</xdr:row>
      <xdr:rowOff>85725</xdr:rowOff>
    </xdr:to>
    <xdr:graphicFrame macro="">
      <xdr:nvGraphicFramePr>
        <xdr:cNvPr id="15363" name="Chart 10">
          <a:extLst>
            <a:ext uri="{FF2B5EF4-FFF2-40B4-BE49-F238E27FC236}">
              <a16:creationId xmlns:a16="http://schemas.microsoft.com/office/drawing/2014/main" id="{00000000-0008-0000-0300-0000033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60</xdr:row>
      <xdr:rowOff>0</xdr:rowOff>
    </xdr:from>
    <xdr:to>
      <xdr:col>18</xdr:col>
      <xdr:colOff>0</xdr:colOff>
      <xdr:row>61</xdr:row>
      <xdr:rowOff>0</xdr:rowOff>
    </xdr:to>
    <xdr:sp macro="" textlink="">
      <xdr:nvSpPr>
        <xdr:cNvPr id="15371" name="Rectangle 11">
          <a:extLst>
            <a:ext uri="{FF2B5EF4-FFF2-40B4-BE49-F238E27FC236}">
              <a16:creationId xmlns:a16="http://schemas.microsoft.com/office/drawing/2014/main" id="{00000000-0008-0000-0300-00000B3C0000}"/>
            </a:ext>
          </a:extLst>
        </xdr:cNvPr>
        <xdr:cNvSpPr>
          <a:spLocks noChangeArrowheads="1"/>
        </xdr:cNvSpPr>
      </xdr:nvSpPr>
      <xdr:spPr bwMode="auto">
        <a:xfrm>
          <a:off x="13506450" y="8401050"/>
          <a:ext cx="0" cy="1714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>
              <a:alpha val="50000"/>
            </a:srgbClr>
          </a:outerShdw>
        </a:effectLst>
      </xdr:spPr>
    </xdr:sp>
    <xdr:clientData/>
  </xdr:twoCellAnchor>
  <xdr:twoCellAnchor>
    <xdr:from>
      <xdr:col>8</xdr:col>
      <xdr:colOff>292100</xdr:colOff>
      <xdr:row>0</xdr:row>
      <xdr:rowOff>152400</xdr:rowOff>
    </xdr:from>
    <xdr:to>
      <xdr:col>10</xdr:col>
      <xdr:colOff>647700</xdr:colOff>
      <xdr:row>6</xdr:row>
      <xdr:rowOff>24489</xdr:rowOff>
    </xdr:to>
    <xdr:pic>
      <xdr:nvPicPr>
        <xdr:cNvPr id="6" name="Picture 5" descr="logo CEMEX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61000" y="152400"/>
          <a:ext cx="2006600" cy="5070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0.44167</cdr:x>
      <cdr:y>0.21712</cdr:y>
    </cdr:from>
    <cdr:to>
      <cdr:x>0.44167</cdr:x>
      <cdr:y>0.21712</cdr:y>
    </cdr:to>
    <cdr:sp macro="" textlink="">
      <cdr:nvSpPr>
        <cdr:cNvPr id="2662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671631" y="1118736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32004" rIns="27432" bIns="32004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Helv"/>
            </a:rPr>
            <a:t>FINOS</a:t>
          </a:r>
        </a:p>
      </cdr:txBody>
    </cdr:sp>
  </cdr:relSizeAnchor>
  <cdr:relSizeAnchor xmlns:cdr="http://schemas.openxmlformats.org/drawingml/2006/chartDrawing">
    <cdr:from>
      <cdr:x>0.03939</cdr:x>
      <cdr:y>0.49363</cdr:y>
    </cdr:from>
    <cdr:to>
      <cdr:x>0.03939</cdr:x>
      <cdr:y>0.49363</cdr:y>
    </cdr:to>
    <cdr:sp macro="" textlink="">
      <cdr:nvSpPr>
        <cdr:cNvPr id="2662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34919" y="2480323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32004" rIns="27432" bIns="32004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Helv"/>
            </a:rPr>
            <a:t>GRUESOS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0.43202</cdr:x>
      <cdr:y>0.2171</cdr:y>
    </cdr:from>
    <cdr:to>
      <cdr:x>0.43202</cdr:x>
      <cdr:y>0.2171</cdr:y>
    </cdr:to>
    <cdr:sp macro="" textlink="">
      <cdr:nvSpPr>
        <cdr:cNvPr id="15667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641487" y="1119505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32004" rIns="27432" bIns="32004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Helv"/>
            </a:rPr>
            <a:t>FINOS</a:t>
          </a:r>
        </a:p>
      </cdr:txBody>
    </cdr:sp>
  </cdr:relSizeAnchor>
  <cdr:relSizeAnchor xmlns:cdr="http://schemas.openxmlformats.org/drawingml/2006/chartDrawing">
    <cdr:from>
      <cdr:x>0.03594</cdr:x>
      <cdr:y>0.4951</cdr:y>
    </cdr:from>
    <cdr:to>
      <cdr:x>0.03594</cdr:x>
      <cdr:y>0.4951</cdr:y>
    </cdr:to>
    <cdr:sp macro="" textlink="">
      <cdr:nvSpPr>
        <cdr:cNvPr id="15667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90843" y="2483676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32004" rIns="27432" bIns="32004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Helv"/>
            </a:rPr>
            <a:t>GRUESOS</a:t>
          </a:r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341539</xdr:colOff>
      <xdr:row>20</xdr:row>
      <xdr:rowOff>0</xdr:rowOff>
    </xdr:from>
    <xdr:to>
      <xdr:col>22</xdr:col>
      <xdr:colOff>27214</xdr:colOff>
      <xdr:row>37</xdr:row>
      <xdr:rowOff>47625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00000000-0008-0000-0400-000001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25214</xdr:colOff>
      <xdr:row>1</xdr:row>
      <xdr:rowOff>272864</xdr:rowOff>
    </xdr:from>
    <xdr:to>
      <xdr:col>18</xdr:col>
      <xdr:colOff>415739</xdr:colOff>
      <xdr:row>17</xdr:row>
      <xdr:rowOff>15689</xdr:rowOff>
    </xdr:to>
    <xdr:graphicFrame macro="">
      <xdr:nvGraphicFramePr>
        <xdr:cNvPr id="2050" name="Chart 2">
          <a:extLst>
            <a:ext uri="{FF2B5EF4-FFF2-40B4-BE49-F238E27FC236}">
              <a16:creationId xmlns:a16="http://schemas.microsoft.com/office/drawing/2014/main" id="{00000000-0008-0000-0400-000002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295275</xdr:colOff>
      <xdr:row>16</xdr:row>
      <xdr:rowOff>15688</xdr:rowOff>
    </xdr:from>
    <xdr:to>
      <xdr:col>13</xdr:col>
      <xdr:colOff>38100</xdr:colOff>
      <xdr:row>17</xdr:row>
      <xdr:rowOff>91888</xdr:rowOff>
    </xdr:to>
    <xdr:sp macro="" textlink="">
      <xdr:nvSpPr>
        <xdr:cNvPr id="2051" name="Text Box 3">
          <a:extLst>
            <a:ext uri="{FF2B5EF4-FFF2-40B4-BE49-F238E27FC236}">
              <a16:creationId xmlns:a16="http://schemas.microsoft.com/office/drawing/2014/main" id="{00000000-0008-0000-0400-000003080000}"/>
            </a:ext>
          </a:extLst>
        </xdr:cNvPr>
        <xdr:cNvSpPr txBox="1">
          <a:spLocks noChangeArrowheads="1"/>
        </xdr:cNvSpPr>
      </xdr:nvSpPr>
      <xdr:spPr bwMode="auto">
        <a:xfrm>
          <a:off x="6010275" y="2772335"/>
          <a:ext cx="224678" cy="23308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n-US" sz="500" b="0" i="0" strike="noStrike">
              <a:solidFill>
                <a:srgbClr val="000000"/>
              </a:solidFill>
              <a:latin typeface="Arial"/>
              <a:cs typeface="Arial"/>
            </a:rPr>
            <a:t>#200</a:t>
          </a:r>
        </a:p>
      </xdr:txBody>
    </xdr:sp>
    <xdr:clientData/>
  </xdr:twoCellAnchor>
  <xdr:twoCellAnchor>
    <xdr:from>
      <xdr:col>12</xdr:col>
      <xdr:colOff>361950</xdr:colOff>
      <xdr:row>16</xdr:row>
      <xdr:rowOff>38100</xdr:rowOff>
    </xdr:from>
    <xdr:to>
      <xdr:col>13</xdr:col>
      <xdr:colOff>123825</xdr:colOff>
      <xdr:row>17</xdr:row>
      <xdr:rowOff>76200</xdr:rowOff>
    </xdr:to>
    <xdr:sp macro="" textlink="">
      <xdr:nvSpPr>
        <xdr:cNvPr id="2052" name="Text Box 4">
          <a:extLst>
            <a:ext uri="{FF2B5EF4-FFF2-40B4-BE49-F238E27FC236}">
              <a16:creationId xmlns:a16="http://schemas.microsoft.com/office/drawing/2014/main" id="{00000000-0008-0000-0400-000004080000}"/>
            </a:ext>
          </a:extLst>
        </xdr:cNvPr>
        <xdr:cNvSpPr txBox="1">
          <a:spLocks noChangeArrowheads="1"/>
        </xdr:cNvSpPr>
      </xdr:nvSpPr>
      <xdr:spPr bwMode="auto">
        <a:xfrm>
          <a:off x="5838825" y="2867025"/>
          <a:ext cx="2381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n-US" sz="500" b="0" i="0" strike="noStrike">
              <a:solidFill>
                <a:srgbClr val="000000"/>
              </a:solidFill>
              <a:latin typeface="Arial"/>
              <a:cs typeface="Arial"/>
            </a:rPr>
            <a:t>#100</a:t>
          </a:r>
        </a:p>
      </xdr:txBody>
    </xdr:sp>
    <xdr:clientData/>
  </xdr:twoCellAnchor>
  <xdr:twoCellAnchor>
    <xdr:from>
      <xdr:col>12</xdr:col>
      <xdr:colOff>447675</xdr:colOff>
      <xdr:row>16</xdr:row>
      <xdr:rowOff>38100</xdr:rowOff>
    </xdr:from>
    <xdr:to>
      <xdr:col>13</xdr:col>
      <xdr:colOff>209550</xdr:colOff>
      <xdr:row>17</xdr:row>
      <xdr:rowOff>38100</xdr:rowOff>
    </xdr:to>
    <xdr:sp macro="" textlink="">
      <xdr:nvSpPr>
        <xdr:cNvPr id="2053" name="Text Box 5">
          <a:extLst>
            <a:ext uri="{FF2B5EF4-FFF2-40B4-BE49-F238E27FC236}">
              <a16:creationId xmlns:a16="http://schemas.microsoft.com/office/drawing/2014/main" id="{00000000-0008-0000-0400-000005080000}"/>
            </a:ext>
          </a:extLst>
        </xdr:cNvPr>
        <xdr:cNvSpPr txBox="1">
          <a:spLocks noChangeArrowheads="1"/>
        </xdr:cNvSpPr>
      </xdr:nvSpPr>
      <xdr:spPr bwMode="auto">
        <a:xfrm>
          <a:off x="5924550" y="2867025"/>
          <a:ext cx="2381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n-US" sz="500" b="0" i="0" strike="noStrike">
              <a:solidFill>
                <a:srgbClr val="000000"/>
              </a:solidFill>
              <a:latin typeface="Arial"/>
              <a:cs typeface="Arial"/>
            </a:rPr>
            <a:t>#50</a:t>
          </a:r>
        </a:p>
      </xdr:txBody>
    </xdr:sp>
    <xdr:clientData/>
  </xdr:twoCellAnchor>
  <xdr:twoCellAnchor>
    <xdr:from>
      <xdr:col>13</xdr:col>
      <xdr:colOff>85725</xdr:colOff>
      <xdr:row>16</xdr:row>
      <xdr:rowOff>38100</xdr:rowOff>
    </xdr:from>
    <xdr:to>
      <xdr:col>13</xdr:col>
      <xdr:colOff>323850</xdr:colOff>
      <xdr:row>17</xdr:row>
      <xdr:rowOff>133350</xdr:rowOff>
    </xdr:to>
    <xdr:sp macro="" textlink="">
      <xdr:nvSpPr>
        <xdr:cNvPr id="2054" name="Text Box 6">
          <a:extLst>
            <a:ext uri="{FF2B5EF4-FFF2-40B4-BE49-F238E27FC236}">
              <a16:creationId xmlns:a16="http://schemas.microsoft.com/office/drawing/2014/main" id="{00000000-0008-0000-0400-000006080000}"/>
            </a:ext>
          </a:extLst>
        </xdr:cNvPr>
        <xdr:cNvSpPr txBox="1">
          <a:spLocks noChangeArrowheads="1"/>
        </xdr:cNvSpPr>
      </xdr:nvSpPr>
      <xdr:spPr bwMode="auto">
        <a:xfrm>
          <a:off x="6038850" y="2867025"/>
          <a:ext cx="2381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n-US" sz="500" b="0" i="0" strike="noStrike">
              <a:solidFill>
                <a:srgbClr val="000000"/>
              </a:solidFill>
              <a:latin typeface="Arial"/>
              <a:cs typeface="Arial"/>
            </a:rPr>
            <a:t>#30</a:t>
          </a:r>
        </a:p>
      </xdr:txBody>
    </xdr:sp>
    <xdr:clientData/>
  </xdr:twoCellAnchor>
  <xdr:twoCellAnchor>
    <xdr:from>
      <xdr:col>13</xdr:col>
      <xdr:colOff>247650</xdr:colOff>
      <xdr:row>16</xdr:row>
      <xdr:rowOff>38100</xdr:rowOff>
    </xdr:from>
    <xdr:to>
      <xdr:col>13</xdr:col>
      <xdr:colOff>476250</xdr:colOff>
      <xdr:row>17</xdr:row>
      <xdr:rowOff>133350</xdr:rowOff>
    </xdr:to>
    <xdr:sp macro="" textlink="">
      <xdr:nvSpPr>
        <xdr:cNvPr id="2055" name="Text Box 7">
          <a:extLst>
            <a:ext uri="{FF2B5EF4-FFF2-40B4-BE49-F238E27FC236}">
              <a16:creationId xmlns:a16="http://schemas.microsoft.com/office/drawing/2014/main" id="{00000000-0008-0000-0400-000007080000}"/>
            </a:ext>
          </a:extLst>
        </xdr:cNvPr>
        <xdr:cNvSpPr txBox="1">
          <a:spLocks noChangeArrowheads="1"/>
        </xdr:cNvSpPr>
      </xdr:nvSpPr>
      <xdr:spPr bwMode="auto">
        <a:xfrm>
          <a:off x="6200775" y="2867025"/>
          <a:ext cx="228600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n-US" sz="500" b="0" i="0" strike="noStrike">
              <a:solidFill>
                <a:srgbClr val="000000"/>
              </a:solidFill>
              <a:latin typeface="Arial"/>
              <a:cs typeface="Arial"/>
            </a:rPr>
            <a:t>#16</a:t>
          </a:r>
        </a:p>
      </xdr:txBody>
    </xdr:sp>
    <xdr:clientData/>
  </xdr:twoCellAnchor>
  <xdr:twoCellAnchor>
    <xdr:from>
      <xdr:col>13</xdr:col>
      <xdr:colOff>466725</xdr:colOff>
      <xdr:row>16</xdr:row>
      <xdr:rowOff>38100</xdr:rowOff>
    </xdr:from>
    <xdr:to>
      <xdr:col>14</xdr:col>
      <xdr:colOff>95250</xdr:colOff>
      <xdr:row>17</xdr:row>
      <xdr:rowOff>9525</xdr:rowOff>
    </xdr:to>
    <xdr:sp macro="" textlink="">
      <xdr:nvSpPr>
        <xdr:cNvPr id="2056" name="Text Box 8">
          <a:extLst>
            <a:ext uri="{FF2B5EF4-FFF2-40B4-BE49-F238E27FC236}">
              <a16:creationId xmlns:a16="http://schemas.microsoft.com/office/drawing/2014/main" id="{00000000-0008-0000-0400-000008080000}"/>
            </a:ext>
          </a:extLst>
        </xdr:cNvPr>
        <xdr:cNvSpPr txBox="1">
          <a:spLocks noChangeArrowheads="1"/>
        </xdr:cNvSpPr>
      </xdr:nvSpPr>
      <xdr:spPr bwMode="auto">
        <a:xfrm>
          <a:off x="6419850" y="2867025"/>
          <a:ext cx="238125" cy="133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n-US" sz="500" b="0" i="0" strike="noStrike">
              <a:solidFill>
                <a:srgbClr val="000000"/>
              </a:solidFill>
              <a:latin typeface="Arial"/>
              <a:cs typeface="Arial"/>
            </a:rPr>
            <a:t>#8</a:t>
          </a:r>
        </a:p>
      </xdr:txBody>
    </xdr:sp>
    <xdr:clientData/>
  </xdr:twoCellAnchor>
  <xdr:twoCellAnchor>
    <xdr:from>
      <xdr:col>14</xdr:col>
      <xdr:colOff>142875</xdr:colOff>
      <xdr:row>16</xdr:row>
      <xdr:rowOff>38100</xdr:rowOff>
    </xdr:from>
    <xdr:to>
      <xdr:col>14</xdr:col>
      <xdr:colOff>381000</xdr:colOff>
      <xdr:row>18</xdr:row>
      <xdr:rowOff>38100</xdr:rowOff>
    </xdr:to>
    <xdr:sp macro="" textlink="">
      <xdr:nvSpPr>
        <xdr:cNvPr id="10249" name="Text Box 9">
          <a:extLst>
            <a:ext uri="{FF2B5EF4-FFF2-40B4-BE49-F238E27FC236}">
              <a16:creationId xmlns:a16="http://schemas.microsoft.com/office/drawing/2014/main" id="{00000000-0008-0000-0400-000009280000}"/>
            </a:ext>
          </a:extLst>
        </xdr:cNvPr>
        <xdr:cNvSpPr txBox="1">
          <a:spLocks noChangeArrowheads="1"/>
        </xdr:cNvSpPr>
      </xdr:nvSpPr>
      <xdr:spPr bwMode="auto">
        <a:xfrm>
          <a:off x="6419850" y="3486150"/>
          <a:ext cx="238125" cy="323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#4</a:t>
          </a:r>
        </a:p>
      </xdr:txBody>
    </xdr:sp>
    <xdr:clientData/>
  </xdr:twoCellAnchor>
  <xdr:twoCellAnchor>
    <xdr:from>
      <xdr:col>15</xdr:col>
      <xdr:colOff>0</xdr:colOff>
      <xdr:row>16</xdr:row>
      <xdr:rowOff>38100</xdr:rowOff>
    </xdr:from>
    <xdr:to>
      <xdr:col>15</xdr:col>
      <xdr:colOff>238125</xdr:colOff>
      <xdr:row>17</xdr:row>
      <xdr:rowOff>66675</xdr:rowOff>
    </xdr:to>
    <xdr:sp macro="" textlink="">
      <xdr:nvSpPr>
        <xdr:cNvPr id="2058" name="Text Box 10">
          <a:extLst>
            <a:ext uri="{FF2B5EF4-FFF2-40B4-BE49-F238E27FC236}">
              <a16:creationId xmlns:a16="http://schemas.microsoft.com/office/drawing/2014/main" id="{00000000-0008-0000-0400-00000A080000}"/>
            </a:ext>
          </a:extLst>
        </xdr:cNvPr>
        <xdr:cNvSpPr txBox="1">
          <a:spLocks noChangeArrowheads="1"/>
        </xdr:cNvSpPr>
      </xdr:nvSpPr>
      <xdr:spPr bwMode="auto">
        <a:xfrm>
          <a:off x="7172325" y="2867025"/>
          <a:ext cx="238125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n-US" sz="500" b="0" i="0" strike="noStrike">
              <a:solidFill>
                <a:srgbClr val="000000"/>
              </a:solidFill>
              <a:latin typeface="Arial"/>
              <a:cs typeface="Arial"/>
            </a:rPr>
            <a:t>3/8"</a:t>
          </a:r>
        </a:p>
      </xdr:txBody>
    </xdr:sp>
    <xdr:clientData/>
  </xdr:twoCellAnchor>
  <xdr:twoCellAnchor>
    <xdr:from>
      <xdr:col>15</xdr:col>
      <xdr:colOff>238125</xdr:colOff>
      <xdr:row>16</xdr:row>
      <xdr:rowOff>38100</xdr:rowOff>
    </xdr:from>
    <xdr:to>
      <xdr:col>15</xdr:col>
      <xdr:colOff>466725</xdr:colOff>
      <xdr:row>17</xdr:row>
      <xdr:rowOff>47625</xdr:rowOff>
    </xdr:to>
    <xdr:sp macro="" textlink="">
      <xdr:nvSpPr>
        <xdr:cNvPr id="2059" name="Text Box 11">
          <a:extLst>
            <a:ext uri="{FF2B5EF4-FFF2-40B4-BE49-F238E27FC236}">
              <a16:creationId xmlns:a16="http://schemas.microsoft.com/office/drawing/2014/main" id="{00000000-0008-0000-0400-00000B080000}"/>
            </a:ext>
          </a:extLst>
        </xdr:cNvPr>
        <xdr:cNvSpPr txBox="1">
          <a:spLocks noChangeArrowheads="1"/>
        </xdr:cNvSpPr>
      </xdr:nvSpPr>
      <xdr:spPr bwMode="auto">
        <a:xfrm>
          <a:off x="7410450" y="2867025"/>
          <a:ext cx="228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n-US" sz="500" b="0" i="0" strike="noStrike">
              <a:solidFill>
                <a:srgbClr val="000000"/>
              </a:solidFill>
              <a:latin typeface="Arial"/>
              <a:cs typeface="Arial"/>
            </a:rPr>
            <a:t>1/2"</a:t>
          </a:r>
        </a:p>
      </xdr:txBody>
    </xdr:sp>
    <xdr:clientData/>
  </xdr:twoCellAnchor>
  <xdr:twoCellAnchor>
    <xdr:from>
      <xdr:col>15</xdr:col>
      <xdr:colOff>590550</xdr:colOff>
      <xdr:row>16</xdr:row>
      <xdr:rowOff>38100</xdr:rowOff>
    </xdr:from>
    <xdr:to>
      <xdr:col>16</xdr:col>
      <xdr:colOff>219075</xdr:colOff>
      <xdr:row>17</xdr:row>
      <xdr:rowOff>38100</xdr:rowOff>
    </xdr:to>
    <xdr:sp macro="" textlink="">
      <xdr:nvSpPr>
        <xdr:cNvPr id="2060" name="Text Box 12">
          <a:extLst>
            <a:ext uri="{FF2B5EF4-FFF2-40B4-BE49-F238E27FC236}">
              <a16:creationId xmlns:a16="http://schemas.microsoft.com/office/drawing/2014/main" id="{00000000-0008-0000-0400-00000C080000}"/>
            </a:ext>
          </a:extLst>
        </xdr:cNvPr>
        <xdr:cNvSpPr txBox="1">
          <a:spLocks noChangeArrowheads="1"/>
        </xdr:cNvSpPr>
      </xdr:nvSpPr>
      <xdr:spPr bwMode="auto">
        <a:xfrm>
          <a:off x="7762875" y="2867025"/>
          <a:ext cx="2381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n-US" sz="500" b="0" i="0" strike="noStrike">
              <a:solidFill>
                <a:srgbClr val="000000"/>
              </a:solidFill>
              <a:latin typeface="Arial"/>
              <a:cs typeface="Arial"/>
            </a:rPr>
            <a:t>3/4"</a:t>
          </a:r>
        </a:p>
      </xdr:txBody>
    </xdr:sp>
    <xdr:clientData/>
  </xdr:twoCellAnchor>
  <xdr:twoCellAnchor>
    <xdr:from>
      <xdr:col>16</xdr:col>
      <xdr:colOff>247650</xdr:colOff>
      <xdr:row>16</xdr:row>
      <xdr:rowOff>38100</xdr:rowOff>
    </xdr:from>
    <xdr:to>
      <xdr:col>16</xdr:col>
      <xdr:colOff>495300</xdr:colOff>
      <xdr:row>18</xdr:row>
      <xdr:rowOff>9525</xdr:rowOff>
    </xdr:to>
    <xdr:sp macro="" textlink="">
      <xdr:nvSpPr>
        <xdr:cNvPr id="10253" name="Text Box 13">
          <a:extLst>
            <a:ext uri="{FF2B5EF4-FFF2-40B4-BE49-F238E27FC236}">
              <a16:creationId xmlns:a16="http://schemas.microsoft.com/office/drawing/2014/main" id="{00000000-0008-0000-0400-00000D280000}"/>
            </a:ext>
          </a:extLst>
        </xdr:cNvPr>
        <xdr:cNvSpPr txBox="1">
          <a:spLocks noChangeArrowheads="1"/>
        </xdr:cNvSpPr>
      </xdr:nvSpPr>
      <xdr:spPr bwMode="auto">
        <a:xfrm>
          <a:off x="7743825" y="3486150"/>
          <a:ext cx="247650" cy="2952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1"</a:t>
          </a:r>
        </a:p>
      </xdr:txBody>
    </xdr:sp>
    <xdr:clientData/>
  </xdr:twoCellAnchor>
  <xdr:twoCellAnchor>
    <xdr:from>
      <xdr:col>17</xdr:col>
      <xdr:colOff>123825</xdr:colOff>
      <xdr:row>16</xdr:row>
      <xdr:rowOff>28575</xdr:rowOff>
    </xdr:from>
    <xdr:to>
      <xdr:col>17</xdr:col>
      <xdr:colOff>381000</xdr:colOff>
      <xdr:row>18</xdr:row>
      <xdr:rowOff>142875</xdr:rowOff>
    </xdr:to>
    <xdr:sp macro="" textlink="">
      <xdr:nvSpPr>
        <xdr:cNvPr id="10254" name="Text Box 14">
          <a:extLst>
            <a:ext uri="{FF2B5EF4-FFF2-40B4-BE49-F238E27FC236}">
              <a16:creationId xmlns:a16="http://schemas.microsoft.com/office/drawing/2014/main" id="{00000000-0008-0000-0400-00000E280000}"/>
            </a:ext>
          </a:extLst>
        </xdr:cNvPr>
        <xdr:cNvSpPr txBox="1">
          <a:spLocks noChangeArrowheads="1"/>
        </xdr:cNvSpPr>
      </xdr:nvSpPr>
      <xdr:spPr bwMode="auto">
        <a:xfrm>
          <a:off x="8229600" y="3476625"/>
          <a:ext cx="257175" cy="438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1 1/2"</a:t>
          </a:r>
        </a:p>
      </xdr:txBody>
    </xdr:sp>
    <xdr:clientData/>
  </xdr:twoCellAnchor>
  <xdr:twoCellAnchor>
    <xdr:from>
      <xdr:col>13</xdr:col>
      <xdr:colOff>521661</xdr:colOff>
      <xdr:row>1</xdr:row>
      <xdr:rowOff>254935</xdr:rowOff>
    </xdr:from>
    <xdr:to>
      <xdr:col>17</xdr:col>
      <xdr:colOff>72428</xdr:colOff>
      <xdr:row>2</xdr:row>
      <xdr:rowOff>89648</xdr:rowOff>
    </xdr:to>
    <xdr:sp macro="" textlink="">
      <xdr:nvSpPr>
        <xdr:cNvPr id="10255" name="Text Box 15">
          <a:extLst>
            <a:ext uri="{FF2B5EF4-FFF2-40B4-BE49-F238E27FC236}">
              <a16:creationId xmlns:a16="http://schemas.microsoft.com/office/drawing/2014/main" id="{00000000-0008-0000-0400-00000F280000}"/>
            </a:ext>
          </a:extLst>
        </xdr:cNvPr>
        <xdr:cNvSpPr txBox="1">
          <a:spLocks noChangeArrowheads="1"/>
        </xdr:cNvSpPr>
      </xdr:nvSpPr>
      <xdr:spPr bwMode="auto">
        <a:xfrm>
          <a:off x="7479557" y="545331"/>
          <a:ext cx="2013328" cy="1948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s-MX" sz="1000" b="1" i="0" strike="noStrike">
              <a:solidFill>
                <a:srgbClr val="000000"/>
              </a:solidFill>
              <a:latin typeface="Arial"/>
              <a:cs typeface="Arial"/>
            </a:rPr>
            <a:t>Gráfico Graduación 0.45 </a:t>
          </a:r>
          <a:endParaRPr lang="es-MX" sz="1000" b="1" i="0" strike="noStrike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161925</xdr:colOff>
      <xdr:row>2</xdr:row>
      <xdr:rowOff>123825</xdr:rowOff>
    </xdr:from>
    <xdr:to>
      <xdr:col>17</xdr:col>
      <xdr:colOff>209550</xdr:colOff>
      <xdr:row>16</xdr:row>
      <xdr:rowOff>19050</xdr:rowOff>
    </xdr:to>
    <xdr:sp macro="" textlink="">
      <xdr:nvSpPr>
        <xdr:cNvPr id="2064" name="Line 16">
          <a:extLst>
            <a:ext uri="{FF2B5EF4-FFF2-40B4-BE49-F238E27FC236}">
              <a16:creationId xmlns:a16="http://schemas.microsoft.com/office/drawing/2014/main" id="{00000000-0008-0000-0400-000010080000}"/>
            </a:ext>
          </a:extLst>
        </xdr:cNvPr>
        <xdr:cNvSpPr>
          <a:spLocks noChangeAspect="1" noChangeShapeType="1"/>
        </xdr:cNvSpPr>
      </xdr:nvSpPr>
      <xdr:spPr bwMode="auto">
        <a:xfrm flipV="1">
          <a:off x="5638800" y="647700"/>
          <a:ext cx="2962275" cy="2200275"/>
        </a:xfrm>
        <a:prstGeom prst="line">
          <a:avLst/>
        </a:prstGeom>
        <a:noFill/>
        <a:ln w="9525">
          <a:noFill/>
          <a:prstDash val="dash"/>
          <a:round/>
          <a:headEnd/>
          <a:tailEnd/>
        </a:ln>
      </xdr:spPr>
    </xdr:sp>
    <xdr:clientData/>
  </xdr:twoCellAnchor>
  <xdr:twoCellAnchor>
    <xdr:from>
      <xdr:col>12</xdr:col>
      <xdr:colOff>180975</xdr:colOff>
      <xdr:row>2</xdr:row>
      <xdr:rowOff>142875</xdr:rowOff>
    </xdr:from>
    <xdr:to>
      <xdr:col>17</xdr:col>
      <xdr:colOff>142875</xdr:colOff>
      <xdr:row>15</xdr:row>
      <xdr:rowOff>152400</xdr:rowOff>
    </xdr:to>
    <xdr:sp macro="" textlink="">
      <xdr:nvSpPr>
        <xdr:cNvPr id="2065" name="Line 18">
          <a:extLst>
            <a:ext uri="{FF2B5EF4-FFF2-40B4-BE49-F238E27FC236}">
              <a16:creationId xmlns:a16="http://schemas.microsoft.com/office/drawing/2014/main" id="{00000000-0008-0000-0400-000011080000}"/>
            </a:ext>
          </a:extLst>
        </xdr:cNvPr>
        <xdr:cNvSpPr>
          <a:spLocks noChangeShapeType="1"/>
        </xdr:cNvSpPr>
      </xdr:nvSpPr>
      <xdr:spPr bwMode="auto">
        <a:xfrm flipV="1">
          <a:off x="5895975" y="658346"/>
          <a:ext cx="2864224" cy="2093819"/>
        </a:xfrm>
        <a:prstGeom prst="line">
          <a:avLst/>
        </a:prstGeom>
        <a:noFill/>
        <a:ln w="9525">
          <a:solidFill>
            <a:srgbClr val="FF0000"/>
          </a:solidFill>
          <a:prstDash val="dash"/>
          <a:round/>
          <a:headEnd/>
          <a:tailEnd/>
        </a:ln>
      </xdr:spPr>
    </xdr:sp>
    <xdr:clientData/>
  </xdr:twoCellAnchor>
  <xdr:twoCellAnchor>
    <xdr:from>
      <xdr:col>14</xdr:col>
      <xdr:colOff>571500</xdr:colOff>
      <xdr:row>17</xdr:row>
      <xdr:rowOff>38100</xdr:rowOff>
    </xdr:from>
    <xdr:to>
      <xdr:col>16</xdr:col>
      <xdr:colOff>504825</xdr:colOff>
      <xdr:row>18</xdr:row>
      <xdr:rowOff>47625</xdr:rowOff>
    </xdr:to>
    <xdr:sp macro="" textlink="">
      <xdr:nvSpPr>
        <xdr:cNvPr id="2066" name="Text Box 20">
          <a:extLst>
            <a:ext uri="{FF2B5EF4-FFF2-40B4-BE49-F238E27FC236}">
              <a16:creationId xmlns:a16="http://schemas.microsoft.com/office/drawing/2014/main" id="{00000000-0008-0000-0400-000012080000}"/>
            </a:ext>
          </a:extLst>
        </xdr:cNvPr>
        <xdr:cNvSpPr txBox="1">
          <a:spLocks noChangeArrowheads="1"/>
        </xdr:cNvSpPr>
      </xdr:nvSpPr>
      <xdr:spPr bwMode="auto">
        <a:xfrm>
          <a:off x="7134225" y="3028950"/>
          <a:ext cx="1152525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Malla</a:t>
          </a:r>
        </a:p>
      </xdr:txBody>
    </xdr:sp>
    <xdr:clientData/>
  </xdr:twoCellAnchor>
  <xdr:twoCellAnchor>
    <xdr:from>
      <xdr:col>18</xdr:col>
      <xdr:colOff>266700</xdr:colOff>
      <xdr:row>5</xdr:row>
      <xdr:rowOff>104775</xdr:rowOff>
    </xdr:from>
    <xdr:to>
      <xdr:col>18</xdr:col>
      <xdr:colOff>419100</xdr:colOff>
      <xdr:row>17</xdr:row>
      <xdr:rowOff>133350</xdr:rowOff>
    </xdr:to>
    <xdr:sp macro="" textlink="">
      <xdr:nvSpPr>
        <xdr:cNvPr id="2067" name="Text Box 21">
          <a:extLst>
            <a:ext uri="{FF2B5EF4-FFF2-40B4-BE49-F238E27FC236}">
              <a16:creationId xmlns:a16="http://schemas.microsoft.com/office/drawing/2014/main" id="{00000000-0008-0000-0400-000013080000}"/>
            </a:ext>
          </a:extLst>
        </xdr:cNvPr>
        <xdr:cNvSpPr txBox="1">
          <a:spLocks noChangeArrowheads="1"/>
        </xdr:cNvSpPr>
      </xdr:nvSpPr>
      <xdr:spPr bwMode="auto">
        <a:xfrm>
          <a:off x="9286875" y="1133475"/>
          <a:ext cx="152400" cy="1990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" wrap="square" lIns="27432" tIns="22860" rIns="0" bIns="0" anchor="b" upright="1"/>
        <a:lstStyle/>
        <a:p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Porcentaje que pasa</a:t>
          </a:r>
        </a:p>
      </xdr:txBody>
    </xdr:sp>
    <xdr:clientData/>
  </xdr:twoCellAnchor>
  <xdr:twoCellAnchor>
    <xdr:from>
      <xdr:col>7</xdr:col>
      <xdr:colOff>57150</xdr:colOff>
      <xdr:row>7</xdr:row>
      <xdr:rowOff>95250</xdr:rowOff>
    </xdr:from>
    <xdr:to>
      <xdr:col>7</xdr:col>
      <xdr:colOff>133350</xdr:colOff>
      <xdr:row>12</xdr:row>
      <xdr:rowOff>104775</xdr:rowOff>
    </xdr:to>
    <xdr:grpSp>
      <xdr:nvGrpSpPr>
        <xdr:cNvPr id="2068" name="Group 51">
          <a:extLst>
            <a:ext uri="{FF2B5EF4-FFF2-40B4-BE49-F238E27FC236}">
              <a16:creationId xmlns:a16="http://schemas.microsoft.com/office/drawing/2014/main" id="{00000000-0008-0000-0400-000014080000}"/>
            </a:ext>
          </a:extLst>
        </xdr:cNvPr>
        <xdr:cNvGrpSpPr>
          <a:grpSpLocks/>
        </xdr:cNvGrpSpPr>
      </xdr:nvGrpSpPr>
      <xdr:grpSpPr bwMode="auto">
        <a:xfrm>
          <a:off x="4184650" y="1564821"/>
          <a:ext cx="76200" cy="825954"/>
          <a:chOff x="380" y="61"/>
          <a:chExt cx="8" cy="86"/>
        </a:xfrm>
      </xdr:grpSpPr>
      <xdr:sp macro="" textlink="">
        <xdr:nvSpPr>
          <xdr:cNvPr id="2069" name="Line 27">
            <a:extLst>
              <a:ext uri="{FF2B5EF4-FFF2-40B4-BE49-F238E27FC236}">
                <a16:creationId xmlns:a16="http://schemas.microsoft.com/office/drawing/2014/main" id="{00000000-0008-0000-0400-000015080000}"/>
              </a:ext>
            </a:extLst>
          </xdr:cNvPr>
          <xdr:cNvSpPr>
            <a:spLocks noChangeShapeType="1"/>
          </xdr:cNvSpPr>
        </xdr:nvSpPr>
        <xdr:spPr bwMode="auto">
          <a:xfrm>
            <a:off x="382" y="61"/>
            <a:ext cx="6" cy="1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70" name="Line 28">
            <a:extLst>
              <a:ext uri="{FF2B5EF4-FFF2-40B4-BE49-F238E27FC236}">
                <a16:creationId xmlns:a16="http://schemas.microsoft.com/office/drawing/2014/main" id="{00000000-0008-0000-0400-000016080000}"/>
              </a:ext>
            </a:extLst>
          </xdr:cNvPr>
          <xdr:cNvSpPr>
            <a:spLocks noChangeShapeType="1"/>
          </xdr:cNvSpPr>
        </xdr:nvSpPr>
        <xdr:spPr bwMode="auto">
          <a:xfrm>
            <a:off x="381" y="77"/>
            <a:ext cx="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71" name="Line 29">
            <a:extLst>
              <a:ext uri="{FF2B5EF4-FFF2-40B4-BE49-F238E27FC236}">
                <a16:creationId xmlns:a16="http://schemas.microsoft.com/office/drawing/2014/main" id="{00000000-0008-0000-0400-00001708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80" y="78"/>
            <a:ext cx="8" cy="1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72" name="Line 30">
            <a:extLst>
              <a:ext uri="{FF2B5EF4-FFF2-40B4-BE49-F238E27FC236}">
                <a16:creationId xmlns:a16="http://schemas.microsoft.com/office/drawing/2014/main" id="{00000000-0008-0000-0400-000018080000}"/>
              </a:ext>
            </a:extLst>
          </xdr:cNvPr>
          <xdr:cNvSpPr>
            <a:spLocks noChangeShapeType="1"/>
          </xdr:cNvSpPr>
        </xdr:nvSpPr>
        <xdr:spPr bwMode="auto">
          <a:xfrm>
            <a:off x="382" y="113"/>
            <a:ext cx="6" cy="1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73" name="Line 31">
            <a:extLst>
              <a:ext uri="{FF2B5EF4-FFF2-40B4-BE49-F238E27FC236}">
                <a16:creationId xmlns:a16="http://schemas.microsoft.com/office/drawing/2014/main" id="{00000000-0008-0000-0400-000019080000}"/>
              </a:ext>
            </a:extLst>
          </xdr:cNvPr>
          <xdr:cNvSpPr>
            <a:spLocks noChangeShapeType="1"/>
          </xdr:cNvSpPr>
        </xdr:nvSpPr>
        <xdr:spPr bwMode="auto">
          <a:xfrm>
            <a:off x="381" y="129"/>
            <a:ext cx="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74" name="Line 32">
            <a:extLst>
              <a:ext uri="{FF2B5EF4-FFF2-40B4-BE49-F238E27FC236}">
                <a16:creationId xmlns:a16="http://schemas.microsoft.com/office/drawing/2014/main" id="{00000000-0008-0000-0400-00001A08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80" y="130"/>
            <a:ext cx="8" cy="1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5</xdr:col>
      <xdr:colOff>28575</xdr:colOff>
      <xdr:row>7</xdr:row>
      <xdr:rowOff>85725</xdr:rowOff>
    </xdr:from>
    <xdr:to>
      <xdr:col>5</xdr:col>
      <xdr:colOff>180975</xdr:colOff>
      <xdr:row>7</xdr:row>
      <xdr:rowOff>85725</xdr:rowOff>
    </xdr:to>
    <xdr:sp macro="" textlink="">
      <xdr:nvSpPr>
        <xdr:cNvPr id="2075" name="Line 41">
          <a:extLst>
            <a:ext uri="{FF2B5EF4-FFF2-40B4-BE49-F238E27FC236}">
              <a16:creationId xmlns:a16="http://schemas.microsoft.com/office/drawing/2014/main" id="{00000000-0008-0000-0400-00001B080000}"/>
            </a:ext>
          </a:extLst>
        </xdr:cNvPr>
        <xdr:cNvSpPr>
          <a:spLocks noChangeShapeType="1"/>
        </xdr:cNvSpPr>
      </xdr:nvSpPr>
      <xdr:spPr bwMode="auto">
        <a:xfrm>
          <a:off x="2571750" y="1438275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28575</xdr:colOff>
      <xdr:row>7</xdr:row>
      <xdr:rowOff>85725</xdr:rowOff>
    </xdr:from>
    <xdr:to>
      <xdr:col>5</xdr:col>
      <xdr:colOff>180975</xdr:colOff>
      <xdr:row>7</xdr:row>
      <xdr:rowOff>85725</xdr:rowOff>
    </xdr:to>
    <xdr:sp macro="" textlink="">
      <xdr:nvSpPr>
        <xdr:cNvPr id="2076" name="Line 42">
          <a:extLst>
            <a:ext uri="{FF2B5EF4-FFF2-40B4-BE49-F238E27FC236}">
              <a16:creationId xmlns:a16="http://schemas.microsoft.com/office/drawing/2014/main" id="{00000000-0008-0000-0400-00001C080000}"/>
            </a:ext>
          </a:extLst>
        </xdr:cNvPr>
        <xdr:cNvSpPr>
          <a:spLocks noChangeShapeType="1"/>
        </xdr:cNvSpPr>
      </xdr:nvSpPr>
      <xdr:spPr bwMode="auto">
        <a:xfrm>
          <a:off x="2571750" y="1438275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28575</xdr:colOff>
      <xdr:row>8</xdr:row>
      <xdr:rowOff>85725</xdr:rowOff>
    </xdr:from>
    <xdr:to>
      <xdr:col>5</xdr:col>
      <xdr:colOff>180975</xdr:colOff>
      <xdr:row>8</xdr:row>
      <xdr:rowOff>85725</xdr:rowOff>
    </xdr:to>
    <xdr:sp macro="" textlink="">
      <xdr:nvSpPr>
        <xdr:cNvPr id="2077" name="Line 43">
          <a:extLst>
            <a:ext uri="{FF2B5EF4-FFF2-40B4-BE49-F238E27FC236}">
              <a16:creationId xmlns:a16="http://schemas.microsoft.com/office/drawing/2014/main" id="{00000000-0008-0000-0400-00001D080000}"/>
            </a:ext>
          </a:extLst>
        </xdr:cNvPr>
        <xdr:cNvSpPr>
          <a:spLocks noChangeShapeType="1"/>
        </xdr:cNvSpPr>
      </xdr:nvSpPr>
      <xdr:spPr bwMode="auto">
        <a:xfrm>
          <a:off x="2571750" y="1600200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28575</xdr:colOff>
      <xdr:row>9</xdr:row>
      <xdr:rowOff>85725</xdr:rowOff>
    </xdr:from>
    <xdr:to>
      <xdr:col>5</xdr:col>
      <xdr:colOff>180975</xdr:colOff>
      <xdr:row>9</xdr:row>
      <xdr:rowOff>85725</xdr:rowOff>
    </xdr:to>
    <xdr:sp macro="" textlink="">
      <xdr:nvSpPr>
        <xdr:cNvPr id="2078" name="Line 44">
          <a:extLst>
            <a:ext uri="{FF2B5EF4-FFF2-40B4-BE49-F238E27FC236}">
              <a16:creationId xmlns:a16="http://schemas.microsoft.com/office/drawing/2014/main" id="{00000000-0008-0000-0400-00001E080000}"/>
            </a:ext>
          </a:extLst>
        </xdr:cNvPr>
        <xdr:cNvSpPr>
          <a:spLocks noChangeShapeType="1"/>
        </xdr:cNvSpPr>
      </xdr:nvSpPr>
      <xdr:spPr bwMode="auto">
        <a:xfrm>
          <a:off x="2571750" y="1762125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28575</xdr:colOff>
      <xdr:row>9</xdr:row>
      <xdr:rowOff>85725</xdr:rowOff>
    </xdr:from>
    <xdr:to>
      <xdr:col>5</xdr:col>
      <xdr:colOff>180975</xdr:colOff>
      <xdr:row>9</xdr:row>
      <xdr:rowOff>85725</xdr:rowOff>
    </xdr:to>
    <xdr:sp macro="" textlink="">
      <xdr:nvSpPr>
        <xdr:cNvPr id="2079" name="Line 45">
          <a:extLst>
            <a:ext uri="{FF2B5EF4-FFF2-40B4-BE49-F238E27FC236}">
              <a16:creationId xmlns:a16="http://schemas.microsoft.com/office/drawing/2014/main" id="{00000000-0008-0000-0400-00001F080000}"/>
            </a:ext>
          </a:extLst>
        </xdr:cNvPr>
        <xdr:cNvSpPr>
          <a:spLocks noChangeShapeType="1"/>
        </xdr:cNvSpPr>
      </xdr:nvSpPr>
      <xdr:spPr bwMode="auto">
        <a:xfrm>
          <a:off x="2571750" y="1762125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28575</xdr:colOff>
      <xdr:row>10</xdr:row>
      <xdr:rowOff>85725</xdr:rowOff>
    </xdr:from>
    <xdr:to>
      <xdr:col>5</xdr:col>
      <xdr:colOff>180975</xdr:colOff>
      <xdr:row>10</xdr:row>
      <xdr:rowOff>85725</xdr:rowOff>
    </xdr:to>
    <xdr:sp macro="" textlink="">
      <xdr:nvSpPr>
        <xdr:cNvPr id="2080" name="Line 46">
          <a:extLst>
            <a:ext uri="{FF2B5EF4-FFF2-40B4-BE49-F238E27FC236}">
              <a16:creationId xmlns:a16="http://schemas.microsoft.com/office/drawing/2014/main" id="{00000000-0008-0000-0400-000020080000}"/>
            </a:ext>
          </a:extLst>
        </xdr:cNvPr>
        <xdr:cNvSpPr>
          <a:spLocks noChangeShapeType="1"/>
        </xdr:cNvSpPr>
      </xdr:nvSpPr>
      <xdr:spPr bwMode="auto">
        <a:xfrm>
          <a:off x="2571750" y="1924050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28575</xdr:colOff>
      <xdr:row>11</xdr:row>
      <xdr:rowOff>85725</xdr:rowOff>
    </xdr:from>
    <xdr:to>
      <xdr:col>5</xdr:col>
      <xdr:colOff>180975</xdr:colOff>
      <xdr:row>11</xdr:row>
      <xdr:rowOff>85725</xdr:rowOff>
    </xdr:to>
    <xdr:sp macro="" textlink="">
      <xdr:nvSpPr>
        <xdr:cNvPr id="2081" name="Line 47">
          <a:extLst>
            <a:ext uri="{FF2B5EF4-FFF2-40B4-BE49-F238E27FC236}">
              <a16:creationId xmlns:a16="http://schemas.microsoft.com/office/drawing/2014/main" id="{00000000-0008-0000-0400-000021080000}"/>
            </a:ext>
          </a:extLst>
        </xdr:cNvPr>
        <xdr:cNvSpPr>
          <a:spLocks noChangeShapeType="1"/>
        </xdr:cNvSpPr>
      </xdr:nvSpPr>
      <xdr:spPr bwMode="auto">
        <a:xfrm>
          <a:off x="2571750" y="2085975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19050</xdr:colOff>
      <xdr:row>10</xdr:row>
      <xdr:rowOff>85725</xdr:rowOff>
    </xdr:from>
    <xdr:to>
      <xdr:col>5</xdr:col>
      <xdr:colOff>171450</xdr:colOff>
      <xdr:row>10</xdr:row>
      <xdr:rowOff>85725</xdr:rowOff>
    </xdr:to>
    <xdr:sp macro="" textlink="">
      <xdr:nvSpPr>
        <xdr:cNvPr id="2082" name="Line 48">
          <a:extLst>
            <a:ext uri="{FF2B5EF4-FFF2-40B4-BE49-F238E27FC236}">
              <a16:creationId xmlns:a16="http://schemas.microsoft.com/office/drawing/2014/main" id="{00000000-0008-0000-0400-000022080000}"/>
            </a:ext>
          </a:extLst>
        </xdr:cNvPr>
        <xdr:cNvSpPr>
          <a:spLocks noChangeShapeType="1"/>
        </xdr:cNvSpPr>
      </xdr:nvSpPr>
      <xdr:spPr bwMode="auto">
        <a:xfrm>
          <a:off x="2562225" y="1924050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19050</xdr:colOff>
      <xdr:row>11</xdr:row>
      <xdr:rowOff>85725</xdr:rowOff>
    </xdr:from>
    <xdr:to>
      <xdr:col>5</xdr:col>
      <xdr:colOff>171450</xdr:colOff>
      <xdr:row>11</xdr:row>
      <xdr:rowOff>85725</xdr:rowOff>
    </xdr:to>
    <xdr:sp macro="" textlink="">
      <xdr:nvSpPr>
        <xdr:cNvPr id="2083" name="Line 49">
          <a:extLst>
            <a:ext uri="{FF2B5EF4-FFF2-40B4-BE49-F238E27FC236}">
              <a16:creationId xmlns:a16="http://schemas.microsoft.com/office/drawing/2014/main" id="{00000000-0008-0000-0400-000023080000}"/>
            </a:ext>
          </a:extLst>
        </xdr:cNvPr>
        <xdr:cNvSpPr>
          <a:spLocks noChangeShapeType="1"/>
        </xdr:cNvSpPr>
      </xdr:nvSpPr>
      <xdr:spPr bwMode="auto">
        <a:xfrm>
          <a:off x="2562225" y="2085975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19050</xdr:colOff>
      <xdr:row>12</xdr:row>
      <xdr:rowOff>85725</xdr:rowOff>
    </xdr:from>
    <xdr:to>
      <xdr:col>5</xdr:col>
      <xdr:colOff>171450</xdr:colOff>
      <xdr:row>12</xdr:row>
      <xdr:rowOff>85725</xdr:rowOff>
    </xdr:to>
    <xdr:sp macro="" textlink="">
      <xdr:nvSpPr>
        <xdr:cNvPr id="2084" name="Line 50">
          <a:extLst>
            <a:ext uri="{FF2B5EF4-FFF2-40B4-BE49-F238E27FC236}">
              <a16:creationId xmlns:a16="http://schemas.microsoft.com/office/drawing/2014/main" id="{00000000-0008-0000-0400-000024080000}"/>
            </a:ext>
          </a:extLst>
        </xdr:cNvPr>
        <xdr:cNvSpPr>
          <a:spLocks noChangeShapeType="1"/>
        </xdr:cNvSpPr>
      </xdr:nvSpPr>
      <xdr:spPr bwMode="auto">
        <a:xfrm>
          <a:off x="2562225" y="2257425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38100</xdr:colOff>
      <xdr:row>19</xdr:row>
      <xdr:rowOff>47625</xdr:rowOff>
    </xdr:from>
    <xdr:to>
      <xdr:col>11</xdr:col>
      <xdr:colOff>342900</xdr:colOff>
      <xdr:row>36</xdr:row>
      <xdr:rowOff>76200</xdr:rowOff>
    </xdr:to>
    <xdr:graphicFrame macro="">
      <xdr:nvGraphicFramePr>
        <xdr:cNvPr id="2085" name="Chart 53">
          <a:extLst>
            <a:ext uri="{FF2B5EF4-FFF2-40B4-BE49-F238E27FC236}">
              <a16:creationId xmlns:a16="http://schemas.microsoft.com/office/drawing/2014/main" id="{00000000-0008-0000-0400-000025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76200</xdr:colOff>
      <xdr:row>26</xdr:row>
      <xdr:rowOff>114300</xdr:rowOff>
    </xdr:from>
    <xdr:to>
      <xdr:col>11</xdr:col>
      <xdr:colOff>361950</xdr:colOff>
      <xdr:row>28</xdr:row>
      <xdr:rowOff>9525</xdr:rowOff>
    </xdr:to>
    <xdr:sp macro="" textlink="">
      <xdr:nvSpPr>
        <xdr:cNvPr id="10294" name="Text Box 54">
          <a:extLst>
            <a:ext uri="{FF2B5EF4-FFF2-40B4-BE49-F238E27FC236}">
              <a16:creationId xmlns:a16="http://schemas.microsoft.com/office/drawing/2014/main" id="{00000000-0008-0000-0400-000036280000}"/>
            </a:ext>
          </a:extLst>
        </xdr:cNvPr>
        <xdr:cNvSpPr txBox="1">
          <a:spLocks noChangeArrowheads="1"/>
        </xdr:cNvSpPr>
      </xdr:nvSpPr>
      <xdr:spPr bwMode="auto">
        <a:xfrm>
          <a:off x="3924300" y="4581525"/>
          <a:ext cx="150495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1">
            <a:defRPr sz="1000"/>
          </a:pPr>
          <a:r>
            <a:rPr lang="es-MX" sz="700" b="0" i="0" strike="noStrike">
              <a:solidFill>
                <a:srgbClr val="000000"/>
              </a:solidFill>
              <a:latin typeface="Arial"/>
              <a:cs typeface="Arial"/>
            </a:rPr>
            <a:t>Área Límite</a:t>
          </a:r>
        </a:p>
      </xdr:txBody>
    </xdr:sp>
    <xdr:clientData/>
  </xdr:twoCellAnchor>
  <xdr:twoCellAnchor>
    <xdr:from>
      <xdr:col>3</xdr:col>
      <xdr:colOff>161925</xdr:colOff>
      <xdr:row>22</xdr:row>
      <xdr:rowOff>66675</xdr:rowOff>
    </xdr:from>
    <xdr:to>
      <xdr:col>4</xdr:col>
      <xdr:colOff>600075</xdr:colOff>
      <xdr:row>23</xdr:row>
      <xdr:rowOff>66675</xdr:rowOff>
    </xdr:to>
    <xdr:sp macro="" textlink="">
      <xdr:nvSpPr>
        <xdr:cNvPr id="10295" name="Text Box 55">
          <a:extLst>
            <a:ext uri="{FF2B5EF4-FFF2-40B4-BE49-F238E27FC236}">
              <a16:creationId xmlns:a16="http://schemas.microsoft.com/office/drawing/2014/main" id="{00000000-0008-0000-0400-000037280000}"/>
            </a:ext>
          </a:extLst>
        </xdr:cNvPr>
        <xdr:cNvSpPr txBox="1">
          <a:spLocks noChangeArrowheads="1"/>
        </xdr:cNvSpPr>
      </xdr:nvSpPr>
      <xdr:spPr bwMode="auto">
        <a:xfrm>
          <a:off x="1238250" y="4457700"/>
          <a:ext cx="104775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1">
            <a:defRPr sz="1000"/>
          </a:pPr>
          <a:r>
            <a:rPr lang="es-MX" sz="700" b="0" i="0" strike="noStrike">
              <a:solidFill>
                <a:srgbClr val="969696"/>
              </a:solidFill>
              <a:latin typeface="Arial"/>
              <a:cs typeface="Arial"/>
            </a:rPr>
            <a:t>Muy Fino</a:t>
          </a:r>
        </a:p>
      </xdr:txBody>
    </xdr:sp>
    <xdr:clientData/>
  </xdr:twoCellAnchor>
  <xdr:twoCellAnchor>
    <xdr:from>
      <xdr:col>4</xdr:col>
      <xdr:colOff>228600</xdr:colOff>
      <xdr:row>32</xdr:row>
      <xdr:rowOff>38100</xdr:rowOff>
    </xdr:from>
    <xdr:to>
      <xdr:col>7</xdr:col>
      <xdr:colOff>9525</xdr:colOff>
      <xdr:row>33</xdr:row>
      <xdr:rowOff>38100</xdr:rowOff>
    </xdr:to>
    <xdr:sp macro="" textlink="">
      <xdr:nvSpPr>
        <xdr:cNvPr id="10296" name="Text Box 56">
          <a:extLst>
            <a:ext uri="{FF2B5EF4-FFF2-40B4-BE49-F238E27FC236}">
              <a16:creationId xmlns:a16="http://schemas.microsoft.com/office/drawing/2014/main" id="{00000000-0008-0000-0400-000038280000}"/>
            </a:ext>
          </a:extLst>
        </xdr:cNvPr>
        <xdr:cNvSpPr txBox="1">
          <a:spLocks noChangeArrowheads="1"/>
        </xdr:cNvSpPr>
      </xdr:nvSpPr>
      <xdr:spPr bwMode="auto">
        <a:xfrm>
          <a:off x="1914525" y="6048375"/>
          <a:ext cx="104775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1">
            <a:defRPr sz="1000"/>
          </a:pPr>
          <a:r>
            <a:rPr lang="es-MX" sz="700" b="0" i="0" strike="noStrike">
              <a:solidFill>
                <a:srgbClr val="969696"/>
              </a:solidFill>
              <a:latin typeface="Arial"/>
              <a:cs typeface="Arial"/>
            </a:rPr>
            <a:t>Muy Grueso</a:t>
          </a:r>
        </a:p>
      </xdr:txBody>
    </xdr:sp>
    <xdr:clientData/>
  </xdr:twoCellAnchor>
  <xdr:twoCellAnchor>
    <xdr:from>
      <xdr:col>8</xdr:col>
      <xdr:colOff>66675</xdr:colOff>
      <xdr:row>23</xdr:row>
      <xdr:rowOff>85725</xdr:rowOff>
    </xdr:from>
    <xdr:to>
      <xdr:col>10</xdr:col>
      <xdr:colOff>466725</xdr:colOff>
      <xdr:row>25</xdr:row>
      <xdr:rowOff>114300</xdr:rowOff>
    </xdr:to>
    <xdr:sp macro="" textlink="">
      <xdr:nvSpPr>
        <xdr:cNvPr id="10297" name="Text Box 57">
          <a:extLst>
            <a:ext uri="{FF2B5EF4-FFF2-40B4-BE49-F238E27FC236}">
              <a16:creationId xmlns:a16="http://schemas.microsoft.com/office/drawing/2014/main" id="{00000000-0008-0000-0400-000039280000}"/>
            </a:ext>
          </a:extLst>
        </xdr:cNvPr>
        <xdr:cNvSpPr txBox="1">
          <a:spLocks noChangeArrowheads="1"/>
        </xdr:cNvSpPr>
      </xdr:nvSpPr>
      <xdr:spPr bwMode="auto">
        <a:xfrm>
          <a:off x="3190875" y="4638675"/>
          <a:ext cx="1047750" cy="352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1">
            <a:defRPr sz="1000"/>
          </a:pPr>
          <a:r>
            <a:rPr lang="en-US" sz="700" b="0" i="0" strike="noStrike">
              <a:solidFill>
                <a:srgbClr val="969696"/>
              </a:solidFill>
              <a:latin typeface="Arial"/>
              <a:cs typeface="Arial"/>
            </a:rPr>
            <a:t>Área Optima para </a:t>
          </a:r>
        </a:p>
        <a:p>
          <a:pPr algn="l" rtl="1">
            <a:defRPr sz="1000"/>
          </a:pPr>
          <a:r>
            <a:rPr lang="en-US" sz="700" b="0" i="0" strike="noStrike">
              <a:solidFill>
                <a:srgbClr val="969696"/>
              </a:solidFill>
              <a:latin typeface="Arial"/>
              <a:cs typeface="Arial"/>
            </a:rPr>
            <a:t> Grava 1/2" o </a:t>
          </a:r>
        </a:p>
        <a:p>
          <a:pPr algn="l" rtl="1">
            <a:defRPr sz="1000"/>
          </a:pPr>
          <a:r>
            <a:rPr lang="en-US" sz="700" b="0" i="0" strike="noStrike">
              <a:solidFill>
                <a:srgbClr val="969696"/>
              </a:solidFill>
              <a:latin typeface="Arial"/>
              <a:cs typeface="Arial"/>
            </a:rPr>
            <a:t>más pequeño</a:t>
          </a:r>
        </a:p>
      </xdr:txBody>
    </xdr:sp>
    <xdr:clientData/>
  </xdr:twoCellAnchor>
  <xdr:twoCellAnchor>
    <xdr:from>
      <xdr:col>2</xdr:col>
      <xdr:colOff>133350</xdr:colOff>
      <xdr:row>29</xdr:row>
      <xdr:rowOff>9525</xdr:rowOff>
    </xdr:from>
    <xdr:to>
      <xdr:col>3</xdr:col>
      <xdr:colOff>304800</xdr:colOff>
      <xdr:row>30</xdr:row>
      <xdr:rowOff>19050</xdr:rowOff>
    </xdr:to>
    <xdr:sp macro="" textlink="">
      <xdr:nvSpPr>
        <xdr:cNvPr id="10298" name="Text Box 58">
          <a:extLst>
            <a:ext uri="{FF2B5EF4-FFF2-40B4-BE49-F238E27FC236}">
              <a16:creationId xmlns:a16="http://schemas.microsoft.com/office/drawing/2014/main" id="{00000000-0008-0000-0400-00003A280000}"/>
            </a:ext>
          </a:extLst>
        </xdr:cNvPr>
        <xdr:cNvSpPr txBox="1">
          <a:spLocks noChangeArrowheads="1"/>
        </xdr:cNvSpPr>
      </xdr:nvSpPr>
      <xdr:spPr bwMode="auto">
        <a:xfrm>
          <a:off x="342900" y="5534025"/>
          <a:ext cx="1038225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1">
            <a:defRPr sz="1000"/>
          </a:pPr>
          <a:r>
            <a:rPr lang="es-MX" sz="700" b="0" i="0" strike="noStrike">
              <a:solidFill>
                <a:srgbClr val="969696"/>
              </a:solidFill>
              <a:latin typeface="Arial"/>
              <a:cs typeface="Arial"/>
            </a:rPr>
            <a:t>Segregable</a:t>
          </a:r>
        </a:p>
      </xdr:txBody>
    </xdr:sp>
    <xdr:clientData/>
  </xdr:twoCellAnchor>
  <xdr:twoCellAnchor>
    <xdr:from>
      <xdr:col>1</xdr:col>
      <xdr:colOff>314507</xdr:colOff>
      <xdr:row>20</xdr:row>
      <xdr:rowOff>126869</xdr:rowOff>
    </xdr:from>
    <xdr:to>
      <xdr:col>10</xdr:col>
      <xdr:colOff>33867</xdr:colOff>
      <xdr:row>30</xdr:row>
      <xdr:rowOff>95250</xdr:rowOff>
    </xdr:to>
    <xdr:grpSp>
      <xdr:nvGrpSpPr>
        <xdr:cNvPr id="2092" name="Group 60">
          <a:extLst>
            <a:ext uri="{FF2B5EF4-FFF2-40B4-BE49-F238E27FC236}">
              <a16:creationId xmlns:a16="http://schemas.microsoft.com/office/drawing/2014/main" id="{00000000-0008-0000-0400-00002C080000}"/>
            </a:ext>
          </a:extLst>
        </xdr:cNvPr>
        <xdr:cNvGrpSpPr>
          <a:grpSpLocks/>
        </xdr:cNvGrpSpPr>
      </xdr:nvGrpSpPr>
      <xdr:grpSpPr bwMode="auto">
        <a:xfrm>
          <a:off x="958578" y="3728226"/>
          <a:ext cx="4064575" cy="1601238"/>
          <a:chOff x="77" y="237"/>
          <a:chExt cx="396" cy="188"/>
        </a:xfrm>
      </xdr:grpSpPr>
      <xdr:sp macro="" textlink="">
        <xdr:nvSpPr>
          <xdr:cNvPr id="2093" name="Line 61">
            <a:extLst>
              <a:ext uri="{FF2B5EF4-FFF2-40B4-BE49-F238E27FC236}">
                <a16:creationId xmlns:a16="http://schemas.microsoft.com/office/drawing/2014/main" id="{00000000-0008-0000-0400-00002D08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2" y="322"/>
            <a:ext cx="0" cy="103"/>
          </a:xfrm>
          <a:prstGeom prst="line">
            <a:avLst/>
          </a:prstGeom>
          <a:noFill/>
          <a:ln w="9525">
            <a:solidFill>
              <a:srgbClr val="3366FF"/>
            </a:solidFill>
            <a:prstDash val="dash"/>
            <a:round/>
            <a:headEnd/>
            <a:tailEnd/>
          </a:ln>
        </xdr:spPr>
      </xdr:sp>
      <xdr:sp macro="" textlink="">
        <xdr:nvSpPr>
          <xdr:cNvPr id="2094" name="Line 62">
            <a:extLst>
              <a:ext uri="{FF2B5EF4-FFF2-40B4-BE49-F238E27FC236}">
                <a16:creationId xmlns:a16="http://schemas.microsoft.com/office/drawing/2014/main" id="{00000000-0008-0000-0400-00002E08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42" y="276"/>
            <a:ext cx="0" cy="108"/>
          </a:xfrm>
          <a:prstGeom prst="line">
            <a:avLst/>
          </a:prstGeom>
          <a:noFill/>
          <a:ln w="9525">
            <a:solidFill>
              <a:srgbClr val="3366FF"/>
            </a:solidFill>
            <a:prstDash val="dash"/>
            <a:round/>
            <a:headEnd/>
            <a:tailEnd/>
          </a:ln>
        </xdr:spPr>
      </xdr:sp>
      <xdr:sp macro="" textlink="">
        <xdr:nvSpPr>
          <xdr:cNvPr id="2095" name="Line 63">
            <a:extLst>
              <a:ext uri="{FF2B5EF4-FFF2-40B4-BE49-F238E27FC236}">
                <a16:creationId xmlns:a16="http://schemas.microsoft.com/office/drawing/2014/main" id="{00000000-0008-0000-0400-00002F08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77" y="237"/>
            <a:ext cx="396" cy="124"/>
          </a:xfrm>
          <a:prstGeom prst="line">
            <a:avLst/>
          </a:prstGeom>
          <a:noFill/>
          <a:ln w="9525">
            <a:solidFill>
              <a:srgbClr val="3366FF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4</xdr:col>
      <xdr:colOff>247650</xdr:colOff>
      <xdr:row>35</xdr:row>
      <xdr:rowOff>95250</xdr:rowOff>
    </xdr:from>
    <xdr:to>
      <xdr:col>10</xdr:col>
      <xdr:colOff>66675</xdr:colOff>
      <xdr:row>36</xdr:row>
      <xdr:rowOff>66675</xdr:rowOff>
    </xdr:to>
    <xdr:sp macro="" textlink="">
      <xdr:nvSpPr>
        <xdr:cNvPr id="10304" name="Text Box 64">
          <a:extLst>
            <a:ext uri="{FF2B5EF4-FFF2-40B4-BE49-F238E27FC236}">
              <a16:creationId xmlns:a16="http://schemas.microsoft.com/office/drawing/2014/main" id="{00000000-0008-0000-0400-000040280000}"/>
            </a:ext>
          </a:extLst>
        </xdr:cNvPr>
        <xdr:cNvSpPr txBox="1">
          <a:spLocks noChangeArrowheads="1"/>
        </xdr:cNvSpPr>
      </xdr:nvSpPr>
      <xdr:spPr bwMode="auto">
        <a:xfrm>
          <a:off x="1933575" y="6591300"/>
          <a:ext cx="1905000" cy="133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1">
            <a:defRPr sz="1000"/>
          </a:pPr>
          <a:r>
            <a:rPr lang="es-MX" sz="800" b="0" i="0" strike="noStrike">
              <a:solidFill>
                <a:srgbClr val="000000"/>
              </a:solidFill>
              <a:latin typeface="Tahoma"/>
              <a:cs typeface="Tahoma"/>
            </a:rPr>
            <a:t>Factor Grosura</a:t>
          </a:r>
        </a:p>
      </xdr:txBody>
    </xdr:sp>
    <xdr:clientData/>
  </xdr:twoCellAnchor>
  <xdr:twoCellAnchor>
    <xdr:from>
      <xdr:col>1</xdr:col>
      <xdr:colOff>66675</xdr:colOff>
      <xdr:row>24</xdr:row>
      <xdr:rowOff>66675</xdr:rowOff>
    </xdr:from>
    <xdr:to>
      <xdr:col>2</xdr:col>
      <xdr:colOff>19050</xdr:colOff>
      <xdr:row>31</xdr:row>
      <xdr:rowOff>123825</xdr:rowOff>
    </xdr:to>
    <xdr:sp macro="" textlink="">
      <xdr:nvSpPr>
        <xdr:cNvPr id="10305" name="Text Box 65">
          <a:extLst>
            <a:ext uri="{FF2B5EF4-FFF2-40B4-BE49-F238E27FC236}">
              <a16:creationId xmlns:a16="http://schemas.microsoft.com/office/drawing/2014/main" id="{00000000-0008-0000-0400-000041280000}"/>
            </a:ext>
          </a:extLst>
        </xdr:cNvPr>
        <xdr:cNvSpPr txBox="1">
          <a:spLocks noChangeArrowheads="1"/>
        </xdr:cNvSpPr>
      </xdr:nvSpPr>
      <xdr:spPr bwMode="auto">
        <a:xfrm>
          <a:off x="66675" y="4781550"/>
          <a:ext cx="161925" cy="1190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27432" tIns="18288" rIns="0" bIns="0" anchor="t" upright="1"/>
        <a:lstStyle/>
        <a:p>
          <a:pPr algn="r" rtl="1">
            <a:defRPr sz="1000"/>
          </a:pPr>
          <a:r>
            <a:rPr lang="es-MX" sz="800" b="0" i="0" strike="noStrike">
              <a:solidFill>
                <a:srgbClr val="000000"/>
              </a:solidFill>
              <a:latin typeface="Tahoma"/>
              <a:cs typeface="Tahoma"/>
            </a:rPr>
            <a:t>Factor Trabajabilidad</a:t>
          </a:r>
        </a:p>
      </xdr:txBody>
    </xdr:sp>
    <xdr:clientData/>
  </xdr:twoCellAnchor>
  <xdr:twoCellAnchor>
    <xdr:from>
      <xdr:col>3</xdr:col>
      <xdr:colOff>219075</xdr:colOff>
      <xdr:row>19</xdr:row>
      <xdr:rowOff>76200</xdr:rowOff>
    </xdr:from>
    <xdr:to>
      <xdr:col>10</xdr:col>
      <xdr:colOff>323850</xdr:colOff>
      <xdr:row>20</xdr:row>
      <xdr:rowOff>85725</xdr:rowOff>
    </xdr:to>
    <xdr:sp macro="" textlink="">
      <xdr:nvSpPr>
        <xdr:cNvPr id="10306" name="Text Box 66">
          <a:extLst>
            <a:ext uri="{FF2B5EF4-FFF2-40B4-BE49-F238E27FC236}">
              <a16:creationId xmlns:a16="http://schemas.microsoft.com/office/drawing/2014/main" id="{00000000-0008-0000-0400-000042280000}"/>
            </a:ext>
          </a:extLst>
        </xdr:cNvPr>
        <xdr:cNvSpPr txBox="1">
          <a:spLocks noChangeArrowheads="1"/>
        </xdr:cNvSpPr>
      </xdr:nvSpPr>
      <xdr:spPr bwMode="auto">
        <a:xfrm>
          <a:off x="1295400" y="3981450"/>
          <a:ext cx="280035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s-MX" sz="1000" b="1" i="0" strike="noStrike">
              <a:solidFill>
                <a:srgbClr val="000000"/>
              </a:solidFill>
              <a:latin typeface="Arial"/>
              <a:cs typeface="Arial"/>
            </a:rPr>
            <a:t>Gráfico Factor Grosura/Trabajilidad</a:t>
          </a:r>
        </a:p>
      </xdr:txBody>
    </xdr:sp>
    <xdr:clientData/>
  </xdr:twoCellAnchor>
  <xdr:twoCellAnchor>
    <xdr:from>
      <xdr:col>4</xdr:col>
      <xdr:colOff>57149</xdr:colOff>
      <xdr:row>24</xdr:row>
      <xdr:rowOff>123825</xdr:rowOff>
    </xdr:from>
    <xdr:to>
      <xdr:col>6</xdr:col>
      <xdr:colOff>295274</xdr:colOff>
      <xdr:row>26</xdr:row>
      <xdr:rowOff>28575</xdr:rowOff>
    </xdr:to>
    <xdr:sp macro="" textlink="">
      <xdr:nvSpPr>
        <xdr:cNvPr id="10307" name="Text Box 67">
          <a:extLst>
            <a:ext uri="{FF2B5EF4-FFF2-40B4-BE49-F238E27FC236}">
              <a16:creationId xmlns:a16="http://schemas.microsoft.com/office/drawing/2014/main" id="{00000000-0008-0000-0400-000043280000}"/>
            </a:ext>
          </a:extLst>
        </xdr:cNvPr>
        <xdr:cNvSpPr txBox="1">
          <a:spLocks noChangeArrowheads="1"/>
        </xdr:cNvSpPr>
      </xdr:nvSpPr>
      <xdr:spPr bwMode="auto">
        <a:xfrm>
          <a:off x="1981199" y="4267200"/>
          <a:ext cx="104775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1">
            <a:defRPr sz="1000"/>
          </a:pPr>
          <a:r>
            <a:rPr lang="en-US" sz="700" b="0" i="0" strike="noStrike">
              <a:solidFill>
                <a:srgbClr val="969696"/>
              </a:solidFill>
              <a:latin typeface="Arial"/>
              <a:cs typeface="Arial"/>
            </a:rPr>
            <a:t>Área Optima para </a:t>
          </a:r>
        </a:p>
        <a:p>
          <a:pPr algn="l" rtl="1">
            <a:defRPr sz="1000"/>
          </a:pPr>
          <a:r>
            <a:rPr lang="en-US" sz="700" b="0" i="0" strike="noStrike">
              <a:solidFill>
                <a:srgbClr val="969696"/>
              </a:solidFill>
              <a:latin typeface="Arial"/>
              <a:cs typeface="Arial"/>
            </a:rPr>
            <a:t>Grava 1 1/2" o 3/4"</a:t>
          </a:r>
        </a:p>
      </xdr:txBody>
    </xdr:sp>
    <xdr:clientData/>
  </xdr:twoCellAnchor>
  <xdr:twoCellAnchor>
    <xdr:from>
      <xdr:col>11</xdr:col>
      <xdr:colOff>295275</xdr:colOff>
      <xdr:row>19</xdr:row>
      <xdr:rowOff>28575</xdr:rowOff>
    </xdr:from>
    <xdr:to>
      <xdr:col>14</xdr:col>
      <xdr:colOff>342900</xdr:colOff>
      <xdr:row>20</xdr:row>
      <xdr:rowOff>57150</xdr:rowOff>
    </xdr:to>
    <xdr:sp macro="" textlink="">
      <xdr:nvSpPr>
        <xdr:cNvPr id="2100" name="Text Box 66">
          <a:extLst>
            <a:ext uri="{FF2B5EF4-FFF2-40B4-BE49-F238E27FC236}">
              <a16:creationId xmlns:a16="http://schemas.microsoft.com/office/drawing/2014/main" id="{00000000-0008-0000-0400-000034080000}"/>
            </a:ext>
          </a:extLst>
        </xdr:cNvPr>
        <xdr:cNvSpPr txBox="1">
          <a:spLocks noChangeArrowheads="1"/>
        </xdr:cNvSpPr>
      </xdr:nvSpPr>
      <xdr:spPr bwMode="auto">
        <a:xfrm>
          <a:off x="5114925" y="3352800"/>
          <a:ext cx="17907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Curva Integral</a:t>
          </a: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28</xdr:col>
      <xdr:colOff>289672</xdr:colOff>
      <xdr:row>17</xdr:row>
      <xdr:rowOff>101414</xdr:rowOff>
    </xdr:to>
    <xdr:graphicFrame macro="">
      <xdr:nvGraphicFramePr>
        <xdr:cNvPr id="54" name="Chart 2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131669</xdr:colOff>
      <xdr:row>3</xdr:row>
      <xdr:rowOff>44822</xdr:rowOff>
    </xdr:from>
    <xdr:to>
      <xdr:col>26</xdr:col>
      <xdr:colOff>549088</xdr:colOff>
      <xdr:row>16</xdr:row>
      <xdr:rowOff>24652</xdr:rowOff>
    </xdr:to>
    <xdr:sp macro="" textlink="">
      <xdr:nvSpPr>
        <xdr:cNvPr id="55" name="Line 18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>
          <a:spLocks noChangeShapeType="1"/>
        </xdr:cNvSpPr>
      </xdr:nvSpPr>
      <xdr:spPr bwMode="auto">
        <a:xfrm flipV="1">
          <a:off x="10586757" y="728381"/>
          <a:ext cx="2837890" cy="2052918"/>
        </a:xfrm>
        <a:prstGeom prst="line">
          <a:avLst/>
        </a:prstGeom>
        <a:noFill/>
        <a:ln w="9525">
          <a:solidFill>
            <a:srgbClr val="FF0000"/>
          </a:solidFill>
          <a:prstDash val="dash"/>
          <a:round/>
          <a:headEnd/>
          <a:tailEnd/>
        </a:ln>
      </xdr:spPr>
    </xdr:sp>
    <xdr:clientData/>
  </xdr:twoCellAnchor>
  <xdr:twoCellAnchor>
    <xdr:from>
      <xdr:col>23</xdr:col>
      <xdr:colOff>294714</xdr:colOff>
      <xdr:row>1</xdr:row>
      <xdr:rowOff>313766</xdr:rowOff>
    </xdr:from>
    <xdr:to>
      <xdr:col>26</xdr:col>
      <xdr:colOff>549088</xdr:colOff>
      <xdr:row>2</xdr:row>
      <xdr:rowOff>167529</xdr:rowOff>
    </xdr:to>
    <xdr:sp macro="" textlink="">
      <xdr:nvSpPr>
        <xdr:cNvPr id="56" name="Text Box 1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 txBox="1">
          <a:spLocks noChangeArrowheads="1"/>
        </xdr:cNvSpPr>
      </xdr:nvSpPr>
      <xdr:spPr bwMode="auto">
        <a:xfrm>
          <a:off x="10749802" y="470648"/>
          <a:ext cx="2069727" cy="21235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s-MX" sz="1000" b="1" i="0" strike="noStrike">
              <a:solidFill>
                <a:srgbClr val="000000"/>
              </a:solidFill>
              <a:latin typeface="Arial"/>
              <a:cs typeface="Arial"/>
            </a:rPr>
            <a:t>Gráfico Graduación 0.45 </a:t>
          </a:r>
          <a:r>
            <a:rPr lang="es-MX" sz="1000" b="1" i="0" strike="noStrike">
              <a:solidFill>
                <a:srgbClr val="FF0000"/>
              </a:solidFill>
              <a:latin typeface="Arial"/>
              <a:cs typeface="Arial"/>
            </a:rPr>
            <a:t>20mm</a:t>
          </a:r>
        </a:p>
      </xdr:txBody>
    </xdr:sp>
    <xdr:clientData/>
  </xdr:twoCellAnchor>
  <xdr:twoCellAnchor>
    <xdr:from>
      <xdr:col>28</xdr:col>
      <xdr:colOff>142875</xdr:colOff>
      <xdr:row>5</xdr:row>
      <xdr:rowOff>80123</xdr:rowOff>
    </xdr:from>
    <xdr:to>
      <xdr:col>28</xdr:col>
      <xdr:colOff>295275</xdr:colOff>
      <xdr:row>17</xdr:row>
      <xdr:rowOff>108698</xdr:rowOff>
    </xdr:to>
    <xdr:sp macro="" textlink="">
      <xdr:nvSpPr>
        <xdr:cNvPr id="57" name="Text Box 21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 txBox="1">
          <a:spLocks noChangeArrowheads="1"/>
        </xdr:cNvSpPr>
      </xdr:nvSpPr>
      <xdr:spPr bwMode="auto">
        <a:xfrm>
          <a:off x="14228669" y="1088652"/>
          <a:ext cx="152400" cy="1933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" wrap="square" lIns="27432" tIns="22860" rIns="0" bIns="0" anchor="b" upright="1"/>
        <a:lstStyle/>
        <a:p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Porcentaje que pasa</a:t>
          </a:r>
        </a:p>
      </xdr:txBody>
    </xdr:sp>
    <xdr:clientData/>
  </xdr:twoCellAnchor>
  <xdr:twoCellAnchor>
    <xdr:from>
      <xdr:col>27</xdr:col>
      <xdr:colOff>363071</xdr:colOff>
      <xdr:row>16</xdr:row>
      <xdr:rowOff>70037</xdr:rowOff>
    </xdr:from>
    <xdr:to>
      <xdr:col>28</xdr:col>
      <xdr:colOff>15128</xdr:colOff>
      <xdr:row>19</xdr:row>
      <xdr:rowOff>16249</xdr:rowOff>
    </xdr:to>
    <xdr:sp macro="" textlink="">
      <xdr:nvSpPr>
        <xdr:cNvPr id="58" name="Text Box 14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 txBox="1">
          <a:spLocks noChangeArrowheads="1"/>
        </xdr:cNvSpPr>
      </xdr:nvSpPr>
      <xdr:spPr bwMode="auto">
        <a:xfrm>
          <a:off x="13843747" y="2826684"/>
          <a:ext cx="257175" cy="4280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1 1/2"</a:t>
          </a:r>
        </a:p>
      </xdr:txBody>
    </xdr:sp>
    <xdr:clientData/>
  </xdr:twoCellAnchor>
  <xdr:twoCellAnchor>
    <xdr:from>
      <xdr:col>26</xdr:col>
      <xdr:colOff>504825</xdr:colOff>
      <xdr:row>16</xdr:row>
      <xdr:rowOff>79562</xdr:rowOff>
    </xdr:from>
    <xdr:to>
      <xdr:col>27</xdr:col>
      <xdr:colOff>147358</xdr:colOff>
      <xdr:row>18</xdr:row>
      <xdr:rowOff>50987</xdr:rowOff>
    </xdr:to>
    <xdr:sp macro="" textlink="">
      <xdr:nvSpPr>
        <xdr:cNvPr id="59" name="Text Box 13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 txBox="1">
          <a:spLocks noChangeArrowheads="1"/>
        </xdr:cNvSpPr>
      </xdr:nvSpPr>
      <xdr:spPr bwMode="auto">
        <a:xfrm>
          <a:off x="13380384" y="2836209"/>
          <a:ext cx="247650" cy="285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1"</a:t>
          </a:r>
        </a:p>
      </xdr:txBody>
    </xdr:sp>
    <xdr:clientData/>
  </xdr:twoCellAnchor>
  <xdr:twoCellAnchor>
    <xdr:from>
      <xdr:col>26</xdr:col>
      <xdr:colOff>154081</xdr:colOff>
      <xdr:row>16</xdr:row>
      <xdr:rowOff>65555</xdr:rowOff>
    </xdr:from>
    <xdr:to>
      <xdr:col>26</xdr:col>
      <xdr:colOff>387724</xdr:colOff>
      <xdr:row>17</xdr:row>
      <xdr:rowOff>65555</xdr:rowOff>
    </xdr:to>
    <xdr:sp macro="" textlink="">
      <xdr:nvSpPr>
        <xdr:cNvPr id="60" name="Text Box 12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 txBox="1">
          <a:spLocks noChangeArrowheads="1"/>
        </xdr:cNvSpPr>
      </xdr:nvSpPr>
      <xdr:spPr bwMode="auto">
        <a:xfrm>
          <a:off x="13029640" y="2822202"/>
          <a:ext cx="233643" cy="15688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n-US" sz="500" b="0" i="0" strike="noStrike">
              <a:solidFill>
                <a:srgbClr val="000000"/>
              </a:solidFill>
              <a:latin typeface="Arial"/>
              <a:cs typeface="Arial"/>
            </a:rPr>
            <a:t>3/4"</a:t>
          </a:r>
        </a:p>
      </xdr:txBody>
    </xdr:sp>
    <xdr:clientData/>
  </xdr:twoCellAnchor>
  <xdr:twoCellAnchor>
    <xdr:from>
      <xdr:col>25</xdr:col>
      <xdr:colOff>350744</xdr:colOff>
      <xdr:row>16</xdr:row>
      <xdr:rowOff>65554</xdr:rowOff>
    </xdr:from>
    <xdr:to>
      <xdr:col>25</xdr:col>
      <xdr:colOff>579344</xdr:colOff>
      <xdr:row>17</xdr:row>
      <xdr:rowOff>75079</xdr:rowOff>
    </xdr:to>
    <xdr:sp macro="" textlink="">
      <xdr:nvSpPr>
        <xdr:cNvPr id="61" name="Text Box 11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 txBox="1">
          <a:spLocks noChangeArrowheads="1"/>
        </xdr:cNvSpPr>
      </xdr:nvSpPr>
      <xdr:spPr bwMode="auto">
        <a:xfrm>
          <a:off x="12621185" y="2822201"/>
          <a:ext cx="228600" cy="16640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n-US" sz="500" b="0" i="0" strike="noStrike">
              <a:solidFill>
                <a:srgbClr val="000000"/>
              </a:solidFill>
              <a:latin typeface="Arial"/>
              <a:cs typeface="Arial"/>
            </a:rPr>
            <a:t>1/2"</a:t>
          </a:r>
        </a:p>
      </xdr:txBody>
    </xdr:sp>
    <xdr:clientData/>
  </xdr:twoCellAnchor>
  <xdr:twoCellAnchor>
    <xdr:from>
      <xdr:col>25</xdr:col>
      <xdr:colOff>90208</xdr:colOff>
      <xdr:row>16</xdr:row>
      <xdr:rowOff>65554</xdr:rowOff>
    </xdr:from>
    <xdr:to>
      <xdr:col>25</xdr:col>
      <xdr:colOff>328333</xdr:colOff>
      <xdr:row>17</xdr:row>
      <xdr:rowOff>94129</xdr:rowOff>
    </xdr:to>
    <xdr:sp macro="" textlink="">
      <xdr:nvSpPr>
        <xdr:cNvPr id="62" name="Text Box 10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 txBox="1">
          <a:spLocks noChangeArrowheads="1"/>
        </xdr:cNvSpPr>
      </xdr:nvSpPr>
      <xdr:spPr bwMode="auto">
        <a:xfrm>
          <a:off x="12360649" y="2822201"/>
          <a:ext cx="238125" cy="1854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n-US" sz="500" b="0" i="0" strike="noStrike">
              <a:solidFill>
                <a:srgbClr val="000000"/>
              </a:solidFill>
              <a:latin typeface="Arial"/>
              <a:cs typeface="Arial"/>
            </a:rPr>
            <a:t>3/8"</a:t>
          </a:r>
        </a:p>
      </xdr:txBody>
    </xdr:sp>
    <xdr:clientData/>
  </xdr:twoCellAnchor>
  <xdr:twoCellAnchor>
    <xdr:from>
      <xdr:col>24</xdr:col>
      <xdr:colOff>222995</xdr:colOff>
      <xdr:row>16</xdr:row>
      <xdr:rowOff>68356</xdr:rowOff>
    </xdr:from>
    <xdr:to>
      <xdr:col>24</xdr:col>
      <xdr:colOff>461120</xdr:colOff>
      <xdr:row>18</xdr:row>
      <xdr:rowOff>68356</xdr:rowOff>
    </xdr:to>
    <xdr:sp macro="" textlink="">
      <xdr:nvSpPr>
        <xdr:cNvPr id="63" name="Text Box 9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 txBox="1">
          <a:spLocks noChangeArrowheads="1"/>
        </xdr:cNvSpPr>
      </xdr:nvSpPr>
      <xdr:spPr bwMode="auto">
        <a:xfrm>
          <a:off x="11888319" y="2825003"/>
          <a:ext cx="238125" cy="3137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#4</a:t>
          </a:r>
        </a:p>
      </xdr:txBody>
    </xdr:sp>
    <xdr:clientData/>
  </xdr:twoCellAnchor>
  <xdr:twoCellAnchor>
    <xdr:from>
      <xdr:col>24</xdr:col>
      <xdr:colOff>601195</xdr:colOff>
      <xdr:row>17</xdr:row>
      <xdr:rowOff>93009</xdr:rowOff>
    </xdr:from>
    <xdr:to>
      <xdr:col>26</xdr:col>
      <xdr:colOff>534520</xdr:colOff>
      <xdr:row>18</xdr:row>
      <xdr:rowOff>102534</xdr:rowOff>
    </xdr:to>
    <xdr:sp macro="" textlink="">
      <xdr:nvSpPr>
        <xdr:cNvPr id="64" name="Text Box 20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 txBox="1">
          <a:spLocks noChangeArrowheads="1"/>
        </xdr:cNvSpPr>
      </xdr:nvSpPr>
      <xdr:spPr bwMode="auto">
        <a:xfrm>
          <a:off x="12266519" y="3006538"/>
          <a:ext cx="1143560" cy="1664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Malla</a:t>
          </a:r>
        </a:p>
      </xdr:txBody>
    </xdr:sp>
    <xdr:clientData/>
  </xdr:twoCellAnchor>
  <xdr:twoCellAnchor>
    <xdr:from>
      <xdr:col>23</xdr:col>
      <xdr:colOff>480732</xdr:colOff>
      <xdr:row>16</xdr:row>
      <xdr:rowOff>76761</xdr:rowOff>
    </xdr:from>
    <xdr:to>
      <xdr:col>24</xdr:col>
      <xdr:colOff>109257</xdr:colOff>
      <xdr:row>17</xdr:row>
      <xdr:rowOff>48186</xdr:rowOff>
    </xdr:to>
    <xdr:sp macro="" textlink="">
      <xdr:nvSpPr>
        <xdr:cNvPr id="65" name="Text Box 8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 txBox="1">
          <a:spLocks noChangeArrowheads="1"/>
        </xdr:cNvSpPr>
      </xdr:nvSpPr>
      <xdr:spPr bwMode="auto">
        <a:xfrm>
          <a:off x="11540938" y="2833408"/>
          <a:ext cx="233643" cy="12830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n-US" sz="500" b="0" i="0" strike="noStrike">
              <a:solidFill>
                <a:srgbClr val="000000"/>
              </a:solidFill>
              <a:latin typeface="Arial"/>
              <a:cs typeface="Arial"/>
            </a:rPr>
            <a:t>#8</a:t>
          </a:r>
        </a:p>
      </xdr:txBody>
    </xdr:sp>
    <xdr:clientData/>
  </xdr:twoCellAnchor>
  <xdr:twoCellAnchor>
    <xdr:from>
      <xdr:col>23</xdr:col>
      <xdr:colOff>194422</xdr:colOff>
      <xdr:row>16</xdr:row>
      <xdr:rowOff>54348</xdr:rowOff>
    </xdr:from>
    <xdr:to>
      <xdr:col>23</xdr:col>
      <xdr:colOff>423022</xdr:colOff>
      <xdr:row>17</xdr:row>
      <xdr:rowOff>149598</xdr:rowOff>
    </xdr:to>
    <xdr:sp macro="" textlink="">
      <xdr:nvSpPr>
        <xdr:cNvPr id="66" name="Text Box 7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 txBox="1">
          <a:spLocks noChangeArrowheads="1"/>
        </xdr:cNvSpPr>
      </xdr:nvSpPr>
      <xdr:spPr bwMode="auto">
        <a:xfrm>
          <a:off x="11254628" y="2810995"/>
          <a:ext cx="228600" cy="2521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n-US" sz="500" b="0" i="0" strike="noStrike">
              <a:solidFill>
                <a:srgbClr val="000000"/>
              </a:solidFill>
              <a:latin typeface="Arial"/>
              <a:cs typeface="Arial"/>
            </a:rPr>
            <a:t>#16</a:t>
          </a:r>
        </a:p>
      </xdr:txBody>
    </xdr:sp>
    <xdr:clientData/>
  </xdr:twoCellAnchor>
  <xdr:twoCellAnchor>
    <xdr:from>
      <xdr:col>23</xdr:col>
      <xdr:colOff>10085</xdr:colOff>
      <xdr:row>16</xdr:row>
      <xdr:rowOff>54348</xdr:rowOff>
    </xdr:from>
    <xdr:to>
      <xdr:col>23</xdr:col>
      <xdr:colOff>248210</xdr:colOff>
      <xdr:row>17</xdr:row>
      <xdr:rowOff>149598</xdr:rowOff>
    </xdr:to>
    <xdr:sp macro="" textlink="">
      <xdr:nvSpPr>
        <xdr:cNvPr id="67" name="Text Box 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 txBox="1">
          <a:spLocks noChangeArrowheads="1"/>
        </xdr:cNvSpPr>
      </xdr:nvSpPr>
      <xdr:spPr bwMode="auto">
        <a:xfrm>
          <a:off x="11070291" y="2810995"/>
          <a:ext cx="238125" cy="2521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n-US" sz="500" b="0" i="0" strike="noStrike">
              <a:solidFill>
                <a:srgbClr val="000000"/>
              </a:solidFill>
              <a:latin typeface="Arial"/>
              <a:cs typeface="Arial"/>
            </a:rPr>
            <a:t>#30</a:t>
          </a:r>
        </a:p>
      </xdr:txBody>
    </xdr:sp>
    <xdr:clientData/>
  </xdr:twoCellAnchor>
  <xdr:twoCellAnchor>
    <xdr:from>
      <xdr:col>22</xdr:col>
      <xdr:colOff>478491</xdr:colOff>
      <xdr:row>16</xdr:row>
      <xdr:rowOff>54349</xdr:rowOff>
    </xdr:from>
    <xdr:to>
      <xdr:col>23</xdr:col>
      <xdr:colOff>117101</xdr:colOff>
      <xdr:row>17</xdr:row>
      <xdr:rowOff>54349</xdr:rowOff>
    </xdr:to>
    <xdr:sp macro="" textlink="">
      <xdr:nvSpPr>
        <xdr:cNvPr id="68" name="Text Box 5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 txBox="1">
          <a:spLocks noChangeArrowheads="1"/>
        </xdr:cNvSpPr>
      </xdr:nvSpPr>
      <xdr:spPr bwMode="auto">
        <a:xfrm>
          <a:off x="10933579" y="2810996"/>
          <a:ext cx="243728" cy="15688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n-US" sz="500" b="0" i="0" strike="noStrike">
              <a:solidFill>
                <a:srgbClr val="000000"/>
              </a:solidFill>
              <a:latin typeface="Arial"/>
              <a:cs typeface="Arial"/>
            </a:rPr>
            <a:t>#50</a:t>
          </a:r>
        </a:p>
      </xdr:txBody>
    </xdr:sp>
    <xdr:clientData/>
  </xdr:twoCellAnchor>
  <xdr:twoCellAnchor>
    <xdr:from>
      <xdr:col>22</xdr:col>
      <xdr:colOff>370355</xdr:colOff>
      <xdr:row>16</xdr:row>
      <xdr:rowOff>43143</xdr:rowOff>
    </xdr:from>
    <xdr:to>
      <xdr:col>23</xdr:col>
      <xdr:colOff>8965</xdr:colOff>
      <xdr:row>17</xdr:row>
      <xdr:rowOff>81243</xdr:rowOff>
    </xdr:to>
    <xdr:sp macro="" textlink="">
      <xdr:nvSpPr>
        <xdr:cNvPr id="69" name="Text Box 4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 txBox="1">
          <a:spLocks noChangeArrowheads="1"/>
        </xdr:cNvSpPr>
      </xdr:nvSpPr>
      <xdr:spPr bwMode="auto">
        <a:xfrm>
          <a:off x="10825443" y="2799790"/>
          <a:ext cx="243728" cy="19498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n-US" sz="500" b="0" i="0" strike="noStrike">
              <a:solidFill>
                <a:srgbClr val="000000"/>
              </a:solidFill>
              <a:latin typeface="Arial"/>
              <a:cs typeface="Arial"/>
            </a:rPr>
            <a:t>#100</a:t>
          </a:r>
        </a:p>
      </xdr:txBody>
    </xdr:sp>
    <xdr:clientData/>
  </xdr:twoCellAnchor>
  <xdr:twoCellAnchor>
    <xdr:from>
      <xdr:col>22</xdr:col>
      <xdr:colOff>292474</xdr:colOff>
      <xdr:row>16</xdr:row>
      <xdr:rowOff>43143</xdr:rowOff>
    </xdr:from>
    <xdr:to>
      <xdr:col>22</xdr:col>
      <xdr:colOff>517152</xdr:colOff>
      <xdr:row>17</xdr:row>
      <xdr:rowOff>119343</xdr:rowOff>
    </xdr:to>
    <xdr:sp macro="" textlink="">
      <xdr:nvSpPr>
        <xdr:cNvPr id="70" name="Text Box 3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 txBox="1">
          <a:spLocks noChangeArrowheads="1"/>
        </xdr:cNvSpPr>
      </xdr:nvSpPr>
      <xdr:spPr bwMode="auto">
        <a:xfrm>
          <a:off x="10747562" y="2799790"/>
          <a:ext cx="224678" cy="23308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n-US" sz="500" b="0" i="0" strike="noStrike">
              <a:solidFill>
                <a:srgbClr val="000000"/>
              </a:solidFill>
              <a:latin typeface="Arial"/>
              <a:cs typeface="Arial"/>
            </a:rPr>
            <a:t>#200</a:t>
          </a:r>
        </a:p>
      </xdr:txBody>
    </xdr:sp>
    <xdr:clientData/>
  </xdr:twoCell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0.44882</cdr:x>
      <cdr:y>0.21302</cdr:y>
    </cdr:from>
    <cdr:to>
      <cdr:x>0.44882</cdr:x>
      <cdr:y>0.21302</cdr:y>
    </cdr:to>
    <cdr:sp macro="" textlink="">
      <cdr:nvSpPr>
        <cdr:cNvPr id="15667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641487" y="1119505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32004" rIns="27432" bIns="32004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Helv"/>
            </a:rPr>
            <a:t>FINOS</a:t>
          </a:r>
        </a:p>
      </cdr:txBody>
    </cdr:sp>
  </cdr:relSizeAnchor>
  <cdr:relSizeAnchor xmlns:cdr="http://schemas.openxmlformats.org/drawingml/2006/chartDrawing">
    <cdr:from>
      <cdr:x>0.0689</cdr:x>
      <cdr:y>0.45948</cdr:y>
    </cdr:from>
    <cdr:to>
      <cdr:x>0.0689</cdr:x>
      <cdr:y>0.45948</cdr:y>
    </cdr:to>
    <cdr:sp macro="" textlink="">
      <cdr:nvSpPr>
        <cdr:cNvPr id="15667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90843" y="2483676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32004" rIns="27432" bIns="32004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Helv"/>
            </a:rPr>
            <a:t>GRUESOS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0.14601</cdr:x>
      <cdr:y>0.09573</cdr:y>
    </cdr:from>
    <cdr:to>
      <cdr:x>0.14601</cdr:x>
      <cdr:y>0.91606</cdr:y>
    </cdr:to>
    <cdr:sp macro="" textlink="">
      <cdr:nvSpPr>
        <cdr:cNvPr id="14337" name="Line 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578952" y="250306"/>
          <a:ext cx="0" cy="208012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0.42193</cdr:x>
      <cdr:y>0.09573</cdr:y>
    </cdr:from>
    <cdr:to>
      <cdr:x>0.42193</cdr:x>
      <cdr:y>0.91606</cdr:y>
    </cdr:to>
    <cdr:sp macro="" textlink="">
      <cdr:nvSpPr>
        <cdr:cNvPr id="14338" name="Line 2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1667002" y="250306"/>
          <a:ext cx="0" cy="208012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0.47463</cdr:x>
      <cdr:y>0.09573</cdr:y>
    </cdr:from>
    <cdr:to>
      <cdr:x>0.47463</cdr:x>
      <cdr:y>0.91606</cdr:y>
    </cdr:to>
    <cdr:sp macro="" textlink="">
      <cdr:nvSpPr>
        <cdr:cNvPr id="14339" name="Line 3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1874799" y="250306"/>
          <a:ext cx="0" cy="208012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0.5627</cdr:x>
      <cdr:y>0.09573</cdr:y>
    </cdr:from>
    <cdr:to>
      <cdr:x>0.5627</cdr:x>
      <cdr:y>0.9163</cdr:y>
    </cdr:to>
    <cdr:sp macro="" textlink="">
      <cdr:nvSpPr>
        <cdr:cNvPr id="14340" name="Line 4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222090" y="250306"/>
          <a:ext cx="0" cy="208012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0.18627</cdr:x>
      <cdr:y>0.09573</cdr:y>
    </cdr:from>
    <cdr:to>
      <cdr:x>0.18627</cdr:x>
      <cdr:y>0.91606</cdr:y>
    </cdr:to>
    <cdr:sp macro="" textlink="">
      <cdr:nvSpPr>
        <cdr:cNvPr id="14341" name="Line 5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737686" y="250306"/>
          <a:ext cx="0" cy="208012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0.31703</cdr:x>
      <cdr:y>0.09573</cdr:y>
    </cdr:from>
    <cdr:to>
      <cdr:x>0.31703</cdr:x>
      <cdr:y>0.91606</cdr:y>
    </cdr:to>
    <cdr:sp macro="" textlink="">
      <cdr:nvSpPr>
        <cdr:cNvPr id="14342" name="Line 6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1253331" y="250306"/>
          <a:ext cx="0" cy="208012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0.75543</cdr:x>
      <cdr:y>0.09573</cdr:y>
    </cdr:from>
    <cdr:to>
      <cdr:x>0.75543</cdr:x>
      <cdr:y>0.91606</cdr:y>
    </cdr:to>
    <cdr:sp macro="" textlink="">
      <cdr:nvSpPr>
        <cdr:cNvPr id="14343" name="Line 7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2982090" y="250306"/>
          <a:ext cx="0" cy="208012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0.24335</cdr:x>
      <cdr:y>0.09573</cdr:y>
    </cdr:from>
    <cdr:to>
      <cdr:x>0.24335</cdr:x>
      <cdr:y>0.91606</cdr:y>
    </cdr:to>
    <cdr:sp macro="" textlink="">
      <cdr:nvSpPr>
        <cdr:cNvPr id="14344" name="Line 8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962800" y="250306"/>
          <a:ext cx="0" cy="208012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0.07892</cdr:x>
      <cdr:y>0.09573</cdr:y>
    </cdr:from>
    <cdr:to>
      <cdr:x>0.07892</cdr:x>
      <cdr:y>0.91606</cdr:y>
    </cdr:to>
    <cdr:sp macro="" textlink="">
      <cdr:nvSpPr>
        <cdr:cNvPr id="14345" name="Line 9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314395" y="250306"/>
          <a:ext cx="0" cy="208012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0.09576</cdr:x>
      <cdr:y>0.09573</cdr:y>
    </cdr:from>
    <cdr:to>
      <cdr:x>0.09576</cdr:x>
      <cdr:y>0.91606</cdr:y>
    </cdr:to>
    <cdr:sp macro="" textlink="">
      <cdr:nvSpPr>
        <cdr:cNvPr id="14346" name="Line 10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380775" y="250306"/>
          <a:ext cx="0" cy="208012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0.11674</cdr:x>
      <cdr:y>0.09573</cdr:y>
    </cdr:from>
    <cdr:to>
      <cdr:x>0.11674</cdr:x>
      <cdr:y>0.91606</cdr:y>
    </cdr:to>
    <cdr:sp macro="" textlink="">
      <cdr:nvSpPr>
        <cdr:cNvPr id="14347" name="Line 1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463509" y="250306"/>
          <a:ext cx="0" cy="208012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0.63637</cdr:x>
      <cdr:y>0.09573</cdr:y>
    </cdr:from>
    <cdr:to>
      <cdr:x>0.63637</cdr:x>
      <cdr:y>0.91606</cdr:y>
    </cdr:to>
    <cdr:sp macro="" textlink="">
      <cdr:nvSpPr>
        <cdr:cNvPr id="14348" name="Line 12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2512622" y="250306"/>
          <a:ext cx="0" cy="208012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0.31287</cdr:x>
      <cdr:y>0.40327</cdr:y>
    </cdr:from>
    <cdr:to>
      <cdr:x>0.39491</cdr:x>
      <cdr:y>0.5279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0000000-0008-0000-0400-000002000000}"/>
            </a:ext>
          </a:extLst>
        </cdr:cNvPr>
        <cdr:cNvSpPr/>
      </cdr:nvSpPr>
      <cdr:spPr>
        <a:xfrm xmlns:a="http://schemas.openxmlformats.org/drawingml/2006/main">
          <a:off x="1723483" y="1131075"/>
          <a:ext cx="451947" cy="349560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>
            <a:alpha val="28000"/>
          </a:srgbClr>
        </a:solidFill>
        <a:ln xmlns:a="http://schemas.openxmlformats.org/drawingml/2006/main" w="9525">
          <a:solidFill>
            <a:srgbClr val="FF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s-MX" sz="1100"/>
        </a:p>
      </cdr:txBody>
    </cdr:sp>
  </cdr:relSizeAnchor>
  <cdr:relSizeAnchor xmlns:cdr="http://schemas.openxmlformats.org/drawingml/2006/chartDrawing">
    <cdr:from>
      <cdr:x>0.31323</cdr:x>
      <cdr:y>0.40916</cdr:y>
    </cdr:from>
    <cdr:to>
      <cdr:x>0.31323</cdr:x>
      <cdr:y>0.86172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0000000-0008-0000-0400-000003000000}"/>
            </a:ext>
          </a:extLst>
        </cdr:cNvPr>
        <cdr:cNvCxnSpPr/>
      </cdr:nvCxnSpPr>
      <cdr:spPr>
        <a:xfrm xmlns:a="http://schemas.openxmlformats.org/drawingml/2006/main">
          <a:off x="1725495" y="1147587"/>
          <a:ext cx="0" cy="1269339"/>
        </a:xfrm>
        <a:prstGeom xmlns:a="http://schemas.openxmlformats.org/drawingml/2006/main" prst="line">
          <a:avLst/>
        </a:prstGeom>
        <a:ln xmlns:a="http://schemas.openxmlformats.org/drawingml/2006/main" w="12700">
          <a:prstDash val="sysDot"/>
        </a:ln>
      </cdr:spPr>
      <cdr:style>
        <a:lnRef xmlns:a="http://schemas.openxmlformats.org/drawingml/2006/main" idx="1">
          <a:schemeClr val="accent2"/>
        </a:lnRef>
        <a:fillRef xmlns:a="http://schemas.openxmlformats.org/drawingml/2006/main" idx="0">
          <a:schemeClr val="accent2"/>
        </a:fillRef>
        <a:effectRef xmlns:a="http://schemas.openxmlformats.org/drawingml/2006/main" idx="0">
          <a:schemeClr val="accent2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0.39479</cdr:x>
      <cdr:y>0.41821</cdr:y>
    </cdr:from>
    <cdr:to>
      <cdr:x>0.39479</cdr:x>
      <cdr:y>0.86942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0000000-0008-0000-0400-000004000000}"/>
            </a:ext>
          </a:extLst>
        </cdr:cNvPr>
        <cdr:cNvCxnSpPr/>
      </cdr:nvCxnSpPr>
      <cdr:spPr>
        <a:xfrm xmlns:a="http://schemas.openxmlformats.org/drawingml/2006/main">
          <a:off x="2174784" y="1172987"/>
          <a:ext cx="0" cy="1265529"/>
        </a:xfrm>
        <a:prstGeom xmlns:a="http://schemas.openxmlformats.org/drawingml/2006/main" prst="line">
          <a:avLst/>
        </a:prstGeom>
        <a:ln xmlns:a="http://schemas.openxmlformats.org/drawingml/2006/main" w="12700">
          <a:prstDash val="sysDot"/>
        </a:ln>
      </cdr:spPr>
      <cdr:style>
        <a:lnRef xmlns:a="http://schemas.openxmlformats.org/drawingml/2006/main" idx="1">
          <a:schemeClr val="accent2"/>
        </a:lnRef>
        <a:fillRef xmlns:a="http://schemas.openxmlformats.org/drawingml/2006/main" idx="0">
          <a:schemeClr val="accent2"/>
        </a:fillRef>
        <a:effectRef xmlns:a="http://schemas.openxmlformats.org/drawingml/2006/main" idx="0">
          <a:schemeClr val="accent2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0.3132</cdr:x>
      <cdr:y>0.40916</cdr:y>
    </cdr:from>
    <cdr:to>
      <cdr:x>0.9202</cdr:x>
      <cdr:y>0.40916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00000000-0008-0000-0400-000005000000}"/>
            </a:ext>
          </a:extLst>
        </cdr:cNvPr>
        <cdr:cNvCxnSpPr/>
      </cdr:nvCxnSpPr>
      <cdr:spPr>
        <a:xfrm xmlns:a="http://schemas.openxmlformats.org/drawingml/2006/main">
          <a:off x="1725342" y="1147588"/>
          <a:ext cx="3343792" cy="0"/>
        </a:xfrm>
        <a:prstGeom xmlns:a="http://schemas.openxmlformats.org/drawingml/2006/main" prst="line">
          <a:avLst/>
        </a:prstGeom>
        <a:ln xmlns:a="http://schemas.openxmlformats.org/drawingml/2006/main" w="12700">
          <a:prstDash val="sysDot"/>
        </a:ln>
      </cdr:spPr>
      <cdr:style>
        <a:lnRef xmlns:a="http://schemas.openxmlformats.org/drawingml/2006/main" idx="1">
          <a:schemeClr val="accent2"/>
        </a:lnRef>
        <a:fillRef xmlns:a="http://schemas.openxmlformats.org/drawingml/2006/main" idx="0">
          <a:schemeClr val="accent2"/>
        </a:fillRef>
        <a:effectRef xmlns:a="http://schemas.openxmlformats.org/drawingml/2006/main" idx="0">
          <a:schemeClr val="accent2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0.31236</cdr:x>
      <cdr:y>0.53486</cdr:y>
    </cdr:from>
    <cdr:to>
      <cdr:x>0.91971</cdr:x>
      <cdr:y>0.53486</cdr:y>
    </cdr:to>
    <cdr:cxnSp macro="">
      <cdr:nvCxnSpPr>
        <cdr:cNvPr id="6" name="Straight Connector 5">
          <a:extLst xmlns:a="http://schemas.openxmlformats.org/drawingml/2006/main">
            <a:ext uri="{FF2B5EF4-FFF2-40B4-BE49-F238E27FC236}">
              <a16:creationId xmlns:a16="http://schemas.microsoft.com/office/drawing/2014/main" id="{00000000-0008-0000-0400-000006000000}"/>
            </a:ext>
          </a:extLst>
        </cdr:cNvPr>
        <cdr:cNvCxnSpPr/>
      </cdr:nvCxnSpPr>
      <cdr:spPr>
        <a:xfrm xmlns:a="http://schemas.openxmlformats.org/drawingml/2006/main">
          <a:off x="1720702" y="1500147"/>
          <a:ext cx="3345697" cy="0"/>
        </a:xfrm>
        <a:prstGeom xmlns:a="http://schemas.openxmlformats.org/drawingml/2006/main" prst="line">
          <a:avLst/>
        </a:prstGeom>
        <a:ln xmlns:a="http://schemas.openxmlformats.org/drawingml/2006/main" w="12700">
          <a:prstDash val="sysDot"/>
        </a:ln>
      </cdr:spPr>
      <cdr:style>
        <a:lnRef xmlns:a="http://schemas.openxmlformats.org/drawingml/2006/main" idx="1">
          <a:schemeClr val="accent2"/>
        </a:lnRef>
        <a:fillRef xmlns:a="http://schemas.openxmlformats.org/drawingml/2006/main" idx="0">
          <a:schemeClr val="accent2"/>
        </a:fillRef>
        <a:effectRef xmlns:a="http://schemas.openxmlformats.org/drawingml/2006/main" idx="0">
          <a:schemeClr val="accent2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0.22641</cdr:x>
      <cdr:y>0.43511</cdr:y>
    </cdr:from>
    <cdr:to>
      <cdr:x>0.31967</cdr:x>
      <cdr:y>0.51268</cdr:y>
    </cdr:to>
    <cdr:sp macro="" textlink="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00000000-0008-0000-0400-000007000000}"/>
            </a:ext>
          </a:extLst>
        </cdr:cNvPr>
        <cdr:cNvSpPr txBox="1"/>
      </cdr:nvSpPr>
      <cdr:spPr>
        <a:xfrm xmlns:a="http://schemas.openxmlformats.org/drawingml/2006/main">
          <a:off x="1247233" y="1220386"/>
          <a:ext cx="513730" cy="21756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MX" sz="800" b="1">
              <a:solidFill>
                <a:srgbClr val="FF0000"/>
              </a:solidFill>
            </a:rPr>
            <a:t>35 +/- 2</a:t>
          </a:r>
        </a:p>
      </cdr:txBody>
    </cdr:sp>
  </cdr:relSizeAnchor>
  <cdr:relSizeAnchor xmlns:cdr="http://schemas.openxmlformats.org/drawingml/2006/chartDrawing">
    <cdr:from>
      <cdr:x>0.3029</cdr:x>
      <cdr:y>0.33701</cdr:y>
    </cdr:from>
    <cdr:to>
      <cdr:x>0.39615</cdr:x>
      <cdr:y>0.41457</cdr:y>
    </cdr:to>
    <cdr:sp macro="" textlink="">
      <cdr:nvSpPr>
        <cdr:cNvPr id="8" name="TextBox 7">
          <a:extLst xmlns:a="http://schemas.openxmlformats.org/drawingml/2006/main">
            <a:ext uri="{FF2B5EF4-FFF2-40B4-BE49-F238E27FC236}">
              <a16:creationId xmlns:a16="http://schemas.microsoft.com/office/drawing/2014/main" id="{00000000-0008-0000-0400-000008000000}"/>
            </a:ext>
          </a:extLst>
        </cdr:cNvPr>
        <cdr:cNvSpPr txBox="1"/>
      </cdr:nvSpPr>
      <cdr:spPr>
        <a:xfrm xmlns:a="http://schemas.openxmlformats.org/drawingml/2006/main">
          <a:off x="1668566" y="945221"/>
          <a:ext cx="513730" cy="21756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MX" sz="800" b="1">
              <a:solidFill>
                <a:srgbClr val="FF0000"/>
              </a:solidFill>
            </a:rPr>
            <a:t>65 +/- 5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0.16602</cdr:x>
      <cdr:y>0.09125</cdr:y>
    </cdr:from>
    <cdr:to>
      <cdr:x>0.16602</cdr:x>
      <cdr:y>0.91158</cdr:y>
    </cdr:to>
    <cdr:sp macro="" textlink="">
      <cdr:nvSpPr>
        <cdr:cNvPr id="14337" name="Line 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650855" y="228069"/>
          <a:ext cx="0" cy="2050392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0.3762</cdr:x>
      <cdr:y>0.09573</cdr:y>
    </cdr:from>
    <cdr:to>
      <cdr:x>0.3762</cdr:x>
      <cdr:y>0.91606</cdr:y>
    </cdr:to>
    <cdr:sp macro="" textlink="">
      <cdr:nvSpPr>
        <cdr:cNvPr id="14338" name="Line 2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1474831" y="239274"/>
          <a:ext cx="0" cy="2050392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0.49464</cdr:x>
      <cdr:y>0.09573</cdr:y>
    </cdr:from>
    <cdr:to>
      <cdr:x>0.49464</cdr:x>
      <cdr:y>0.91606</cdr:y>
    </cdr:to>
    <cdr:sp macro="" textlink="">
      <cdr:nvSpPr>
        <cdr:cNvPr id="14339" name="Line 3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1939170" y="239274"/>
          <a:ext cx="0" cy="2050392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0.5627</cdr:x>
      <cdr:y>0.09573</cdr:y>
    </cdr:from>
    <cdr:to>
      <cdr:x>0.5627</cdr:x>
      <cdr:y>0.9163</cdr:y>
    </cdr:to>
    <cdr:sp macro="" textlink="">
      <cdr:nvSpPr>
        <cdr:cNvPr id="14340" name="Line 4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222090" y="250306"/>
          <a:ext cx="0" cy="208012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0.28273</cdr:x>
      <cdr:y>0.09573</cdr:y>
    </cdr:from>
    <cdr:to>
      <cdr:x>0.28273</cdr:x>
      <cdr:y>0.91606</cdr:y>
    </cdr:to>
    <cdr:sp macro="" textlink="">
      <cdr:nvSpPr>
        <cdr:cNvPr id="14342" name="Line 6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1108406" y="239274"/>
          <a:ext cx="0" cy="2050392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0.75543</cdr:x>
      <cdr:y>0.09573</cdr:y>
    </cdr:from>
    <cdr:to>
      <cdr:x>0.75543</cdr:x>
      <cdr:y>0.91606</cdr:y>
    </cdr:to>
    <cdr:sp macro="" textlink="">
      <cdr:nvSpPr>
        <cdr:cNvPr id="14343" name="Line 7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2982090" y="250306"/>
          <a:ext cx="0" cy="208012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0.21762</cdr:x>
      <cdr:y>0.09573</cdr:y>
    </cdr:from>
    <cdr:to>
      <cdr:x>0.21762</cdr:x>
      <cdr:y>0.91606</cdr:y>
    </cdr:to>
    <cdr:sp macro="" textlink="">
      <cdr:nvSpPr>
        <cdr:cNvPr id="14344" name="Line 8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853171" y="239274"/>
          <a:ext cx="0" cy="2050392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0.0875</cdr:x>
      <cdr:y>0.09573</cdr:y>
    </cdr:from>
    <cdr:to>
      <cdr:x>0.0875</cdr:x>
      <cdr:y>0.91606</cdr:y>
    </cdr:to>
    <cdr:sp macro="" textlink="">
      <cdr:nvSpPr>
        <cdr:cNvPr id="14345" name="Line 9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343014" y="239274"/>
          <a:ext cx="0" cy="2050392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0.10434</cdr:x>
      <cdr:y>0.09573</cdr:y>
    </cdr:from>
    <cdr:to>
      <cdr:x>0.10434</cdr:x>
      <cdr:y>0.91606</cdr:y>
    </cdr:to>
    <cdr:sp macro="" textlink="">
      <cdr:nvSpPr>
        <cdr:cNvPr id="14346" name="Line 10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409033" y="239274"/>
          <a:ext cx="0" cy="2050392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0.13103</cdr:x>
      <cdr:y>0.10021</cdr:y>
    </cdr:from>
    <cdr:to>
      <cdr:x>0.13103</cdr:x>
      <cdr:y>0.92054</cdr:y>
    </cdr:to>
    <cdr:sp macro="" textlink="">
      <cdr:nvSpPr>
        <cdr:cNvPr id="14347" name="Line 1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513695" y="250480"/>
          <a:ext cx="0" cy="2050392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0.6621</cdr:x>
      <cdr:y>0.09573</cdr:y>
    </cdr:from>
    <cdr:to>
      <cdr:x>0.6621</cdr:x>
      <cdr:y>0.91606</cdr:y>
    </cdr:to>
    <cdr:sp macro="" textlink="">
      <cdr:nvSpPr>
        <cdr:cNvPr id="14348" name="Line 12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2595664" y="239274"/>
          <a:ext cx="0" cy="2050392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25400</xdr:colOff>
      <xdr:row>7</xdr:row>
      <xdr:rowOff>25400</xdr:rowOff>
    </xdr:from>
    <xdr:to>
      <xdr:col>10</xdr:col>
      <xdr:colOff>129705</xdr:colOff>
      <xdr:row>14</xdr:row>
      <xdr:rowOff>152245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63800" y="1136650"/>
          <a:ext cx="3761905" cy="1238095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428625</xdr:colOff>
      <xdr:row>1</xdr:row>
      <xdr:rowOff>104775</xdr:rowOff>
    </xdr:from>
    <xdr:to>
      <xdr:col>13</xdr:col>
      <xdr:colOff>209550</xdr:colOff>
      <xdr:row>20</xdr:row>
      <xdr:rowOff>47625</xdr:rowOff>
    </xdr:to>
    <xdr:graphicFrame macro="">
      <xdr:nvGraphicFramePr>
        <xdr:cNvPr id="20482" name="Chart 4">
          <a:extLst>
            <a:ext uri="{FF2B5EF4-FFF2-40B4-BE49-F238E27FC236}">
              <a16:creationId xmlns:a16="http://schemas.microsoft.com/office/drawing/2014/main" id="{00000000-0008-0000-0700-0000025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142875</xdr:colOff>
      <xdr:row>19</xdr:row>
      <xdr:rowOff>28575</xdr:rowOff>
    </xdr:from>
    <xdr:to>
      <xdr:col>5</xdr:col>
      <xdr:colOff>447675</xdr:colOff>
      <xdr:row>20</xdr:row>
      <xdr:rowOff>28575</xdr:rowOff>
    </xdr:to>
    <xdr:sp macro="" textlink="">
      <xdr:nvSpPr>
        <xdr:cNvPr id="5125" name="Text Box 5">
          <a:extLst>
            <a:ext uri="{FF2B5EF4-FFF2-40B4-BE49-F238E27FC236}">
              <a16:creationId xmlns:a16="http://schemas.microsoft.com/office/drawing/2014/main" id="{00000000-0008-0000-0700-000005140000}"/>
            </a:ext>
          </a:extLst>
        </xdr:cNvPr>
        <xdr:cNvSpPr txBox="1">
          <a:spLocks noChangeArrowheads="1"/>
        </xdr:cNvSpPr>
      </xdr:nvSpPr>
      <xdr:spPr bwMode="auto">
        <a:xfrm>
          <a:off x="3800475" y="3248025"/>
          <a:ext cx="3048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#</a:t>
          </a:r>
          <a:r>
            <a:rPr lang="es-MX" sz="500" b="0" i="0" strike="noStrike">
              <a:solidFill>
                <a:schemeClr val="accent1">
                  <a:lumMod val="50000"/>
                </a:schemeClr>
              </a:solidFill>
              <a:latin typeface="Arial"/>
              <a:cs typeface="Arial"/>
            </a:rPr>
            <a:t>200</a:t>
          </a:r>
        </a:p>
      </xdr:txBody>
    </xdr:sp>
    <xdr:clientData/>
  </xdr:twoCellAnchor>
  <xdr:twoCellAnchor>
    <xdr:from>
      <xdr:col>5</xdr:col>
      <xdr:colOff>247650</xdr:colOff>
      <xdr:row>19</xdr:row>
      <xdr:rowOff>28575</xdr:rowOff>
    </xdr:from>
    <xdr:to>
      <xdr:col>5</xdr:col>
      <xdr:colOff>561975</xdr:colOff>
      <xdr:row>20</xdr:row>
      <xdr:rowOff>28575</xdr:rowOff>
    </xdr:to>
    <xdr:sp macro="" textlink="">
      <xdr:nvSpPr>
        <xdr:cNvPr id="5126" name="Text Box 6">
          <a:extLst>
            <a:ext uri="{FF2B5EF4-FFF2-40B4-BE49-F238E27FC236}">
              <a16:creationId xmlns:a16="http://schemas.microsoft.com/office/drawing/2014/main" id="{00000000-0008-0000-0700-000006140000}"/>
            </a:ext>
          </a:extLst>
        </xdr:cNvPr>
        <xdr:cNvSpPr txBox="1">
          <a:spLocks noChangeArrowheads="1"/>
        </xdr:cNvSpPr>
      </xdr:nvSpPr>
      <xdr:spPr bwMode="auto">
        <a:xfrm>
          <a:off x="3905250" y="3248025"/>
          <a:ext cx="3143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#100</a:t>
          </a:r>
        </a:p>
      </xdr:txBody>
    </xdr:sp>
    <xdr:clientData/>
  </xdr:twoCellAnchor>
  <xdr:twoCellAnchor>
    <xdr:from>
      <xdr:col>5</xdr:col>
      <xdr:colOff>361950</xdr:colOff>
      <xdr:row>19</xdr:row>
      <xdr:rowOff>28575</xdr:rowOff>
    </xdr:from>
    <xdr:to>
      <xdr:col>6</xdr:col>
      <xdr:colOff>66675</xdr:colOff>
      <xdr:row>20</xdr:row>
      <xdr:rowOff>66675</xdr:rowOff>
    </xdr:to>
    <xdr:sp macro="" textlink="">
      <xdr:nvSpPr>
        <xdr:cNvPr id="5127" name="Text Box 7">
          <a:extLst>
            <a:ext uri="{FF2B5EF4-FFF2-40B4-BE49-F238E27FC236}">
              <a16:creationId xmlns:a16="http://schemas.microsoft.com/office/drawing/2014/main" id="{00000000-0008-0000-0700-000007140000}"/>
            </a:ext>
          </a:extLst>
        </xdr:cNvPr>
        <xdr:cNvSpPr txBox="1">
          <a:spLocks noChangeArrowheads="1"/>
        </xdr:cNvSpPr>
      </xdr:nvSpPr>
      <xdr:spPr bwMode="auto">
        <a:xfrm>
          <a:off x="4019550" y="3248025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#50</a:t>
          </a:r>
        </a:p>
      </xdr:txBody>
    </xdr:sp>
    <xdr:clientData/>
  </xdr:twoCellAnchor>
  <xdr:twoCellAnchor>
    <xdr:from>
      <xdr:col>5</xdr:col>
      <xdr:colOff>514350</xdr:colOff>
      <xdr:row>19</xdr:row>
      <xdr:rowOff>28575</xdr:rowOff>
    </xdr:from>
    <xdr:to>
      <xdr:col>6</xdr:col>
      <xdr:colOff>219075</xdr:colOff>
      <xdr:row>20</xdr:row>
      <xdr:rowOff>19050</xdr:rowOff>
    </xdr:to>
    <xdr:sp macro="" textlink="">
      <xdr:nvSpPr>
        <xdr:cNvPr id="5128" name="Text Box 8">
          <a:extLst>
            <a:ext uri="{FF2B5EF4-FFF2-40B4-BE49-F238E27FC236}">
              <a16:creationId xmlns:a16="http://schemas.microsoft.com/office/drawing/2014/main" id="{00000000-0008-0000-0700-000008140000}"/>
            </a:ext>
          </a:extLst>
        </xdr:cNvPr>
        <xdr:cNvSpPr txBox="1">
          <a:spLocks noChangeArrowheads="1"/>
        </xdr:cNvSpPr>
      </xdr:nvSpPr>
      <xdr:spPr bwMode="auto">
        <a:xfrm>
          <a:off x="4171950" y="3248025"/>
          <a:ext cx="314325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#</a:t>
          </a:r>
          <a:r>
            <a:rPr lang="es-MX" sz="500" b="0" i="0" strike="noStrike">
              <a:solidFill>
                <a:schemeClr val="accent1">
                  <a:lumMod val="50000"/>
                </a:schemeClr>
              </a:solidFill>
              <a:latin typeface="Arial"/>
              <a:cs typeface="Arial"/>
            </a:rPr>
            <a:t>30</a:t>
          </a:r>
        </a:p>
      </xdr:txBody>
    </xdr:sp>
    <xdr:clientData/>
  </xdr:twoCellAnchor>
  <xdr:twoCellAnchor>
    <xdr:from>
      <xdr:col>6</xdr:col>
      <xdr:colOff>104775</xdr:colOff>
      <xdr:row>19</xdr:row>
      <xdr:rowOff>28575</xdr:rowOff>
    </xdr:from>
    <xdr:to>
      <xdr:col>6</xdr:col>
      <xdr:colOff>419100</xdr:colOff>
      <xdr:row>20</xdr:row>
      <xdr:rowOff>9525</xdr:rowOff>
    </xdr:to>
    <xdr:sp macro="" textlink="">
      <xdr:nvSpPr>
        <xdr:cNvPr id="5129" name="Text Box 9">
          <a:extLst>
            <a:ext uri="{FF2B5EF4-FFF2-40B4-BE49-F238E27FC236}">
              <a16:creationId xmlns:a16="http://schemas.microsoft.com/office/drawing/2014/main" id="{00000000-0008-0000-0700-000009140000}"/>
            </a:ext>
          </a:extLst>
        </xdr:cNvPr>
        <xdr:cNvSpPr txBox="1">
          <a:spLocks noChangeArrowheads="1"/>
        </xdr:cNvSpPr>
      </xdr:nvSpPr>
      <xdr:spPr bwMode="auto">
        <a:xfrm>
          <a:off x="4371975" y="3248025"/>
          <a:ext cx="314325" cy="142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#16</a:t>
          </a:r>
        </a:p>
      </xdr:txBody>
    </xdr:sp>
    <xdr:clientData/>
  </xdr:twoCellAnchor>
  <xdr:twoCellAnchor>
    <xdr:from>
      <xdr:col>6</xdr:col>
      <xdr:colOff>409575</xdr:colOff>
      <xdr:row>19</xdr:row>
      <xdr:rowOff>28575</xdr:rowOff>
    </xdr:from>
    <xdr:to>
      <xdr:col>7</xdr:col>
      <xdr:colOff>114300</xdr:colOff>
      <xdr:row>20</xdr:row>
      <xdr:rowOff>19050</xdr:rowOff>
    </xdr:to>
    <xdr:sp macro="" textlink="">
      <xdr:nvSpPr>
        <xdr:cNvPr id="5130" name="Text Box 10">
          <a:extLst>
            <a:ext uri="{FF2B5EF4-FFF2-40B4-BE49-F238E27FC236}">
              <a16:creationId xmlns:a16="http://schemas.microsoft.com/office/drawing/2014/main" id="{00000000-0008-0000-0700-00000A140000}"/>
            </a:ext>
          </a:extLst>
        </xdr:cNvPr>
        <xdr:cNvSpPr txBox="1">
          <a:spLocks noChangeArrowheads="1"/>
        </xdr:cNvSpPr>
      </xdr:nvSpPr>
      <xdr:spPr bwMode="auto">
        <a:xfrm>
          <a:off x="4676775" y="3248025"/>
          <a:ext cx="314325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#8</a:t>
          </a:r>
        </a:p>
      </xdr:txBody>
    </xdr:sp>
    <xdr:clientData/>
  </xdr:twoCellAnchor>
  <xdr:twoCellAnchor>
    <xdr:from>
      <xdr:col>7</xdr:col>
      <xdr:colOff>190500</xdr:colOff>
      <xdr:row>19</xdr:row>
      <xdr:rowOff>28575</xdr:rowOff>
    </xdr:from>
    <xdr:to>
      <xdr:col>7</xdr:col>
      <xdr:colOff>504825</xdr:colOff>
      <xdr:row>20</xdr:row>
      <xdr:rowOff>0</xdr:rowOff>
    </xdr:to>
    <xdr:sp macro="" textlink="">
      <xdr:nvSpPr>
        <xdr:cNvPr id="5131" name="Text Box 11">
          <a:extLst>
            <a:ext uri="{FF2B5EF4-FFF2-40B4-BE49-F238E27FC236}">
              <a16:creationId xmlns:a16="http://schemas.microsoft.com/office/drawing/2014/main" id="{00000000-0008-0000-0700-00000B140000}"/>
            </a:ext>
          </a:extLst>
        </xdr:cNvPr>
        <xdr:cNvSpPr txBox="1">
          <a:spLocks noChangeArrowheads="1"/>
        </xdr:cNvSpPr>
      </xdr:nvSpPr>
      <xdr:spPr bwMode="auto">
        <a:xfrm>
          <a:off x="5067300" y="3248025"/>
          <a:ext cx="314325" cy="133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#4</a:t>
          </a:r>
        </a:p>
      </xdr:txBody>
    </xdr:sp>
    <xdr:clientData/>
  </xdr:twoCellAnchor>
  <xdr:twoCellAnchor>
    <xdr:from>
      <xdr:col>8</xdr:col>
      <xdr:colOff>200025</xdr:colOff>
      <xdr:row>19</xdr:row>
      <xdr:rowOff>19050</xdr:rowOff>
    </xdr:from>
    <xdr:to>
      <xdr:col>8</xdr:col>
      <xdr:colOff>514350</xdr:colOff>
      <xdr:row>20</xdr:row>
      <xdr:rowOff>95250</xdr:rowOff>
    </xdr:to>
    <xdr:sp macro="" textlink="">
      <xdr:nvSpPr>
        <xdr:cNvPr id="5133" name="Text Box 13">
          <a:extLst>
            <a:ext uri="{FF2B5EF4-FFF2-40B4-BE49-F238E27FC236}">
              <a16:creationId xmlns:a16="http://schemas.microsoft.com/office/drawing/2014/main" id="{00000000-0008-0000-0700-00000D140000}"/>
            </a:ext>
          </a:extLst>
        </xdr:cNvPr>
        <xdr:cNvSpPr txBox="1">
          <a:spLocks noChangeArrowheads="1"/>
        </xdr:cNvSpPr>
      </xdr:nvSpPr>
      <xdr:spPr bwMode="auto">
        <a:xfrm>
          <a:off x="5686425" y="3238500"/>
          <a:ext cx="3143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chemeClr val="accent1">
                  <a:lumMod val="50000"/>
                </a:schemeClr>
              </a:solidFill>
              <a:latin typeface="Arial"/>
              <a:cs typeface="Arial"/>
            </a:rPr>
            <a:t>3/8</a:t>
          </a: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"</a:t>
          </a:r>
        </a:p>
      </xdr:txBody>
    </xdr:sp>
    <xdr:clientData/>
  </xdr:twoCellAnchor>
  <xdr:twoCellAnchor>
    <xdr:from>
      <xdr:col>8</xdr:col>
      <xdr:colOff>514350</xdr:colOff>
      <xdr:row>19</xdr:row>
      <xdr:rowOff>28575</xdr:rowOff>
    </xdr:from>
    <xdr:to>
      <xdr:col>9</xdr:col>
      <xdr:colOff>219075</xdr:colOff>
      <xdr:row>20</xdr:row>
      <xdr:rowOff>76200</xdr:rowOff>
    </xdr:to>
    <xdr:sp macro="" textlink="">
      <xdr:nvSpPr>
        <xdr:cNvPr id="5134" name="Text Box 14">
          <a:extLst>
            <a:ext uri="{FF2B5EF4-FFF2-40B4-BE49-F238E27FC236}">
              <a16:creationId xmlns:a16="http://schemas.microsoft.com/office/drawing/2014/main" id="{00000000-0008-0000-0700-00000E140000}"/>
            </a:ext>
          </a:extLst>
        </xdr:cNvPr>
        <xdr:cNvSpPr txBox="1">
          <a:spLocks noChangeArrowheads="1"/>
        </xdr:cNvSpPr>
      </xdr:nvSpPr>
      <xdr:spPr bwMode="auto">
        <a:xfrm>
          <a:off x="6000750" y="3248025"/>
          <a:ext cx="31432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chemeClr val="accent1">
                  <a:lumMod val="50000"/>
                </a:schemeClr>
              </a:solidFill>
              <a:latin typeface="Arial"/>
              <a:cs typeface="Arial"/>
            </a:rPr>
            <a:t>1/2</a:t>
          </a: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"</a:t>
          </a:r>
        </a:p>
      </xdr:txBody>
    </xdr:sp>
    <xdr:clientData/>
  </xdr:twoCellAnchor>
  <xdr:twoCellAnchor>
    <xdr:from>
      <xdr:col>9</xdr:col>
      <xdr:colOff>381000</xdr:colOff>
      <xdr:row>19</xdr:row>
      <xdr:rowOff>28575</xdr:rowOff>
    </xdr:from>
    <xdr:to>
      <xdr:col>10</xdr:col>
      <xdr:colOff>85725</xdr:colOff>
      <xdr:row>20</xdr:row>
      <xdr:rowOff>47625</xdr:rowOff>
    </xdr:to>
    <xdr:sp macro="" textlink="">
      <xdr:nvSpPr>
        <xdr:cNvPr id="5135" name="Text Box 15">
          <a:extLst>
            <a:ext uri="{FF2B5EF4-FFF2-40B4-BE49-F238E27FC236}">
              <a16:creationId xmlns:a16="http://schemas.microsoft.com/office/drawing/2014/main" id="{00000000-0008-0000-0700-00000F140000}"/>
            </a:ext>
          </a:extLst>
        </xdr:cNvPr>
        <xdr:cNvSpPr txBox="1">
          <a:spLocks noChangeArrowheads="1"/>
        </xdr:cNvSpPr>
      </xdr:nvSpPr>
      <xdr:spPr bwMode="auto">
        <a:xfrm>
          <a:off x="6477000" y="3248025"/>
          <a:ext cx="3143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chemeClr val="accent1">
                  <a:lumMod val="50000"/>
                </a:schemeClr>
              </a:solidFill>
              <a:latin typeface="Arial"/>
              <a:cs typeface="Arial"/>
            </a:rPr>
            <a:t>3/4</a:t>
          </a: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"</a:t>
          </a:r>
        </a:p>
      </xdr:txBody>
    </xdr:sp>
    <xdr:clientData/>
  </xdr:twoCellAnchor>
  <xdr:twoCellAnchor>
    <xdr:from>
      <xdr:col>10</xdr:col>
      <xdr:colOff>152400</xdr:colOff>
      <xdr:row>19</xdr:row>
      <xdr:rowOff>19050</xdr:rowOff>
    </xdr:from>
    <xdr:to>
      <xdr:col>10</xdr:col>
      <xdr:colOff>466725</xdr:colOff>
      <xdr:row>19</xdr:row>
      <xdr:rowOff>152400</xdr:rowOff>
    </xdr:to>
    <xdr:sp macro="" textlink="">
      <xdr:nvSpPr>
        <xdr:cNvPr id="5136" name="Text Box 16">
          <a:extLst>
            <a:ext uri="{FF2B5EF4-FFF2-40B4-BE49-F238E27FC236}">
              <a16:creationId xmlns:a16="http://schemas.microsoft.com/office/drawing/2014/main" id="{00000000-0008-0000-0700-000010140000}"/>
            </a:ext>
          </a:extLst>
        </xdr:cNvPr>
        <xdr:cNvSpPr txBox="1">
          <a:spLocks noChangeArrowheads="1"/>
        </xdr:cNvSpPr>
      </xdr:nvSpPr>
      <xdr:spPr bwMode="auto">
        <a:xfrm>
          <a:off x="6858000" y="3238500"/>
          <a:ext cx="314325" cy="133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1"</a:t>
          </a:r>
        </a:p>
      </xdr:txBody>
    </xdr:sp>
    <xdr:clientData/>
  </xdr:twoCellAnchor>
  <xdr:twoCellAnchor>
    <xdr:from>
      <xdr:col>11</xdr:col>
      <xdr:colOff>200025</xdr:colOff>
      <xdr:row>19</xdr:row>
      <xdr:rowOff>0</xdr:rowOff>
    </xdr:from>
    <xdr:to>
      <xdr:col>11</xdr:col>
      <xdr:colOff>514350</xdr:colOff>
      <xdr:row>20</xdr:row>
      <xdr:rowOff>28575</xdr:rowOff>
    </xdr:to>
    <xdr:sp macro="" textlink="">
      <xdr:nvSpPr>
        <xdr:cNvPr id="5137" name="Text Box 17">
          <a:extLst>
            <a:ext uri="{FF2B5EF4-FFF2-40B4-BE49-F238E27FC236}">
              <a16:creationId xmlns:a16="http://schemas.microsoft.com/office/drawing/2014/main" id="{00000000-0008-0000-0700-000011140000}"/>
            </a:ext>
          </a:extLst>
        </xdr:cNvPr>
        <xdr:cNvSpPr txBox="1">
          <a:spLocks noChangeArrowheads="1"/>
        </xdr:cNvSpPr>
      </xdr:nvSpPr>
      <xdr:spPr bwMode="auto">
        <a:xfrm>
          <a:off x="7515225" y="3219450"/>
          <a:ext cx="314325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1 </a:t>
          </a:r>
          <a:r>
            <a:rPr lang="es-MX" sz="500" b="0" i="0" strike="noStrike">
              <a:solidFill>
                <a:schemeClr val="accent1">
                  <a:lumMod val="50000"/>
                </a:schemeClr>
              </a:solidFill>
              <a:latin typeface="Arial"/>
              <a:cs typeface="Arial"/>
            </a:rPr>
            <a:t>1/2</a:t>
          </a: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"</a:t>
          </a:r>
        </a:p>
      </xdr:txBody>
    </xdr:sp>
    <xdr:clientData/>
  </xdr:twoCellAnchor>
  <xdr:twoCellAnchor>
    <xdr:from>
      <xdr:col>7</xdr:col>
      <xdr:colOff>371475</xdr:colOff>
      <xdr:row>1</xdr:row>
      <xdr:rowOff>114300</xdr:rowOff>
    </xdr:from>
    <xdr:to>
      <xdr:col>11</xdr:col>
      <xdr:colOff>390525</xdr:colOff>
      <xdr:row>3</xdr:row>
      <xdr:rowOff>38100</xdr:rowOff>
    </xdr:to>
    <xdr:sp macro="" textlink="">
      <xdr:nvSpPr>
        <xdr:cNvPr id="5138" name="Text Box 18">
          <a:extLst>
            <a:ext uri="{FF2B5EF4-FFF2-40B4-BE49-F238E27FC236}">
              <a16:creationId xmlns:a16="http://schemas.microsoft.com/office/drawing/2014/main" id="{00000000-0008-0000-0700-000012140000}"/>
            </a:ext>
          </a:extLst>
        </xdr:cNvPr>
        <xdr:cNvSpPr txBox="1">
          <a:spLocks noChangeArrowheads="1"/>
        </xdr:cNvSpPr>
      </xdr:nvSpPr>
      <xdr:spPr bwMode="auto">
        <a:xfrm>
          <a:off x="5248275" y="276225"/>
          <a:ext cx="2457450" cy="247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s-MX" sz="1000" b="1" i="0" strike="noStrike">
              <a:solidFill>
                <a:schemeClr val="accent1">
                  <a:lumMod val="50000"/>
                </a:schemeClr>
              </a:solidFill>
              <a:latin typeface="Arial"/>
              <a:cs typeface="Arial"/>
            </a:rPr>
            <a:t>Gráfico</a:t>
          </a:r>
          <a:r>
            <a:rPr lang="es-MX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s-MX" sz="1000" b="1" i="0" strike="noStrike">
              <a:solidFill>
                <a:schemeClr val="accent1">
                  <a:lumMod val="50000"/>
                </a:schemeClr>
              </a:solidFill>
              <a:latin typeface="Arial"/>
              <a:cs typeface="Arial"/>
            </a:rPr>
            <a:t>Graduación</a:t>
          </a:r>
          <a:r>
            <a:rPr lang="es-MX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s-MX" sz="1000" b="1" i="0" strike="noStrike">
              <a:solidFill>
                <a:schemeClr val="accent1">
                  <a:lumMod val="50000"/>
                </a:schemeClr>
              </a:solidFill>
              <a:latin typeface="Arial"/>
              <a:cs typeface="Arial"/>
            </a:rPr>
            <a:t>0.45</a:t>
          </a:r>
        </a:p>
      </xdr:txBody>
    </xdr:sp>
    <xdr:clientData/>
  </xdr:twoCellAnchor>
  <xdr:twoCellAnchor>
    <xdr:from>
      <xdr:col>4</xdr:col>
      <xdr:colOff>581025</xdr:colOff>
      <xdr:row>3</xdr:row>
      <xdr:rowOff>9525</xdr:rowOff>
    </xdr:from>
    <xdr:to>
      <xdr:col>11</xdr:col>
      <xdr:colOff>276225</xdr:colOff>
      <xdr:row>18</xdr:row>
      <xdr:rowOff>152400</xdr:rowOff>
    </xdr:to>
    <xdr:sp macro="" textlink="">
      <xdr:nvSpPr>
        <xdr:cNvPr id="20496" name="Line 20">
          <a:extLst>
            <a:ext uri="{FF2B5EF4-FFF2-40B4-BE49-F238E27FC236}">
              <a16:creationId xmlns:a16="http://schemas.microsoft.com/office/drawing/2014/main" id="{00000000-0008-0000-0700-000010500000}"/>
            </a:ext>
          </a:extLst>
        </xdr:cNvPr>
        <xdr:cNvSpPr>
          <a:spLocks noChangeAspect="1" noChangeShapeType="1"/>
        </xdr:cNvSpPr>
      </xdr:nvSpPr>
      <xdr:spPr bwMode="auto">
        <a:xfrm flipV="1">
          <a:off x="2514600" y="495300"/>
          <a:ext cx="3962400" cy="2571750"/>
        </a:xfrm>
        <a:prstGeom prst="line">
          <a:avLst/>
        </a:prstGeom>
        <a:noFill/>
        <a:ln w="9525">
          <a:solidFill>
            <a:schemeClr val="accent1">
              <a:lumMod val="50000"/>
            </a:schemeClr>
          </a:solidFill>
          <a:prstDash val="dash"/>
          <a:round/>
          <a:headEnd/>
          <a:tailEnd/>
        </a:ln>
      </xdr:spPr>
    </xdr:sp>
    <xdr:clientData/>
  </xdr:twoCellAnchor>
  <xdr:twoCellAnchor>
    <xdr:from>
      <xdr:col>11</xdr:col>
      <xdr:colOff>142875</xdr:colOff>
      <xdr:row>49</xdr:row>
      <xdr:rowOff>28575</xdr:rowOff>
    </xdr:from>
    <xdr:to>
      <xdr:col>11</xdr:col>
      <xdr:colOff>447675</xdr:colOff>
      <xdr:row>50</xdr:row>
      <xdr:rowOff>28575</xdr:rowOff>
    </xdr:to>
    <xdr:sp macro="" textlink="">
      <xdr:nvSpPr>
        <xdr:cNvPr id="94" name="Text Box 5">
          <a:extLs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SpPr txBox="1">
          <a:spLocks noChangeArrowheads="1"/>
        </xdr:cNvSpPr>
      </xdr:nvSpPr>
      <xdr:spPr bwMode="auto">
        <a:xfrm>
          <a:off x="8172450" y="3105150"/>
          <a:ext cx="3048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#</a:t>
          </a:r>
          <a:r>
            <a:rPr lang="es-MX" sz="500" b="0" i="0" strike="noStrike">
              <a:solidFill>
                <a:schemeClr val="accent1">
                  <a:lumMod val="50000"/>
                </a:schemeClr>
              </a:solidFill>
              <a:latin typeface="Arial"/>
              <a:cs typeface="Arial"/>
            </a:rPr>
            <a:t>200</a:t>
          </a:r>
        </a:p>
      </xdr:txBody>
    </xdr:sp>
    <xdr:clientData/>
  </xdr:twoCellAnchor>
  <xdr:twoCellAnchor>
    <xdr:from>
      <xdr:col>11</xdr:col>
      <xdr:colOff>247650</xdr:colOff>
      <xdr:row>49</xdr:row>
      <xdr:rowOff>28575</xdr:rowOff>
    </xdr:from>
    <xdr:to>
      <xdr:col>11</xdr:col>
      <xdr:colOff>561975</xdr:colOff>
      <xdr:row>50</xdr:row>
      <xdr:rowOff>28575</xdr:rowOff>
    </xdr:to>
    <xdr:sp macro="" textlink="">
      <xdr:nvSpPr>
        <xdr:cNvPr id="95" name="Text Box 6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SpPr txBox="1">
          <a:spLocks noChangeArrowheads="1"/>
        </xdr:cNvSpPr>
      </xdr:nvSpPr>
      <xdr:spPr bwMode="auto">
        <a:xfrm>
          <a:off x="8277225" y="3105150"/>
          <a:ext cx="3143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#100</a:t>
          </a:r>
        </a:p>
      </xdr:txBody>
    </xdr:sp>
    <xdr:clientData/>
  </xdr:twoCellAnchor>
  <xdr:twoCellAnchor>
    <xdr:from>
      <xdr:col>11</xdr:col>
      <xdr:colOff>361950</xdr:colOff>
      <xdr:row>49</xdr:row>
      <xdr:rowOff>28575</xdr:rowOff>
    </xdr:from>
    <xdr:to>
      <xdr:col>12</xdr:col>
      <xdr:colOff>66675</xdr:colOff>
      <xdr:row>50</xdr:row>
      <xdr:rowOff>66675</xdr:rowOff>
    </xdr:to>
    <xdr:sp macro="" textlink="">
      <xdr:nvSpPr>
        <xdr:cNvPr id="96" name="Text Box 7">
          <a:extLs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SpPr txBox="1">
          <a:spLocks noChangeArrowheads="1"/>
        </xdr:cNvSpPr>
      </xdr:nvSpPr>
      <xdr:spPr bwMode="auto">
        <a:xfrm>
          <a:off x="8391525" y="3105150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#50</a:t>
          </a:r>
        </a:p>
      </xdr:txBody>
    </xdr:sp>
    <xdr:clientData/>
  </xdr:twoCellAnchor>
  <xdr:twoCellAnchor>
    <xdr:from>
      <xdr:col>11</xdr:col>
      <xdr:colOff>514350</xdr:colOff>
      <xdr:row>49</xdr:row>
      <xdr:rowOff>28575</xdr:rowOff>
    </xdr:from>
    <xdr:to>
      <xdr:col>12</xdr:col>
      <xdr:colOff>219075</xdr:colOff>
      <xdr:row>50</xdr:row>
      <xdr:rowOff>19050</xdr:rowOff>
    </xdr:to>
    <xdr:sp macro="" textlink="">
      <xdr:nvSpPr>
        <xdr:cNvPr id="97" name="Text Box 8"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SpPr txBox="1">
          <a:spLocks noChangeArrowheads="1"/>
        </xdr:cNvSpPr>
      </xdr:nvSpPr>
      <xdr:spPr bwMode="auto">
        <a:xfrm>
          <a:off x="8543925" y="3105150"/>
          <a:ext cx="314325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#</a:t>
          </a:r>
          <a:r>
            <a:rPr lang="es-MX" sz="500" b="0" i="0" strike="noStrike">
              <a:solidFill>
                <a:schemeClr val="accent1">
                  <a:lumMod val="50000"/>
                </a:schemeClr>
              </a:solidFill>
              <a:latin typeface="Arial"/>
              <a:cs typeface="Arial"/>
            </a:rPr>
            <a:t>30</a:t>
          </a:r>
        </a:p>
      </xdr:txBody>
    </xdr:sp>
    <xdr:clientData/>
  </xdr:twoCellAnchor>
  <xdr:twoCellAnchor>
    <xdr:from>
      <xdr:col>12</xdr:col>
      <xdr:colOff>104775</xdr:colOff>
      <xdr:row>49</xdr:row>
      <xdr:rowOff>28575</xdr:rowOff>
    </xdr:from>
    <xdr:to>
      <xdr:col>12</xdr:col>
      <xdr:colOff>419100</xdr:colOff>
      <xdr:row>50</xdr:row>
      <xdr:rowOff>9525</xdr:rowOff>
    </xdr:to>
    <xdr:sp macro="" textlink="">
      <xdr:nvSpPr>
        <xdr:cNvPr id="98" name="Text Box 9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SpPr txBox="1">
          <a:spLocks noChangeArrowheads="1"/>
        </xdr:cNvSpPr>
      </xdr:nvSpPr>
      <xdr:spPr bwMode="auto">
        <a:xfrm>
          <a:off x="8743950" y="3105150"/>
          <a:ext cx="314325" cy="142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#16</a:t>
          </a:r>
        </a:p>
      </xdr:txBody>
    </xdr:sp>
    <xdr:clientData/>
  </xdr:twoCellAnchor>
  <xdr:twoCellAnchor>
    <xdr:from>
      <xdr:col>12</xdr:col>
      <xdr:colOff>409575</xdr:colOff>
      <xdr:row>49</xdr:row>
      <xdr:rowOff>28575</xdr:rowOff>
    </xdr:from>
    <xdr:to>
      <xdr:col>13</xdr:col>
      <xdr:colOff>114300</xdr:colOff>
      <xdr:row>50</xdr:row>
      <xdr:rowOff>19050</xdr:rowOff>
    </xdr:to>
    <xdr:sp macro="" textlink="">
      <xdr:nvSpPr>
        <xdr:cNvPr id="99" name="Text Box 10">
          <a:extLs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SpPr txBox="1">
          <a:spLocks noChangeArrowheads="1"/>
        </xdr:cNvSpPr>
      </xdr:nvSpPr>
      <xdr:spPr bwMode="auto">
        <a:xfrm>
          <a:off x="9048750" y="3105150"/>
          <a:ext cx="314325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#8</a:t>
          </a:r>
        </a:p>
      </xdr:txBody>
    </xdr:sp>
    <xdr:clientData/>
  </xdr:twoCellAnchor>
  <xdr:twoCellAnchor>
    <xdr:from>
      <xdr:col>13</xdr:col>
      <xdr:colOff>190500</xdr:colOff>
      <xdr:row>49</xdr:row>
      <xdr:rowOff>28575</xdr:rowOff>
    </xdr:from>
    <xdr:to>
      <xdr:col>13</xdr:col>
      <xdr:colOff>504825</xdr:colOff>
      <xdr:row>50</xdr:row>
      <xdr:rowOff>0</xdr:rowOff>
    </xdr:to>
    <xdr:sp macro="" textlink="">
      <xdr:nvSpPr>
        <xdr:cNvPr id="100" name="Text Box 11">
          <a:extLs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SpPr txBox="1">
          <a:spLocks noChangeArrowheads="1"/>
        </xdr:cNvSpPr>
      </xdr:nvSpPr>
      <xdr:spPr bwMode="auto">
        <a:xfrm>
          <a:off x="9439275" y="3105150"/>
          <a:ext cx="314325" cy="133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#4</a:t>
          </a:r>
        </a:p>
      </xdr:txBody>
    </xdr:sp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0.14232</cdr:x>
      <cdr:y>0.07831</cdr:y>
    </cdr:from>
    <cdr:to>
      <cdr:x>0.14232</cdr:x>
      <cdr:y>0.93018</cdr:y>
    </cdr:to>
    <cdr:sp macro="" textlink="">
      <cdr:nvSpPr>
        <cdr:cNvPr id="6145" name="Line 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754202" y="251547"/>
          <a:ext cx="0" cy="2702002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0.43151</cdr:x>
      <cdr:y>0.07831</cdr:y>
    </cdr:from>
    <cdr:to>
      <cdr:x>0.43151</cdr:x>
      <cdr:y>0.93018</cdr:y>
    </cdr:to>
    <cdr:sp macro="" textlink="">
      <cdr:nvSpPr>
        <cdr:cNvPr id="6146" name="Line 2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2280183" y="251547"/>
          <a:ext cx="0" cy="2702002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0.48699</cdr:x>
      <cdr:y>0.07831</cdr:y>
    </cdr:from>
    <cdr:to>
      <cdr:x>0.48699</cdr:x>
      <cdr:y>0.93018</cdr:y>
    </cdr:to>
    <cdr:sp macro="" textlink="">
      <cdr:nvSpPr>
        <cdr:cNvPr id="6147" name="Line 3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2572944" y="251547"/>
          <a:ext cx="0" cy="2702002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0.57929</cdr:x>
      <cdr:y>0.07831</cdr:y>
    </cdr:from>
    <cdr:to>
      <cdr:x>0.57929</cdr:x>
      <cdr:y>0.93018</cdr:y>
    </cdr:to>
    <cdr:sp macro="" textlink="">
      <cdr:nvSpPr>
        <cdr:cNvPr id="6148" name="Line 4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3060014" y="251547"/>
          <a:ext cx="0" cy="2702002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0.18455</cdr:x>
      <cdr:y>0.07831</cdr:y>
    </cdr:from>
    <cdr:to>
      <cdr:x>0.18455</cdr:x>
      <cdr:y>0.93018</cdr:y>
    </cdr:to>
    <cdr:sp macro="" textlink="">
      <cdr:nvSpPr>
        <cdr:cNvPr id="6149" name="Line 5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977011" y="251547"/>
          <a:ext cx="0" cy="2702002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0.32178</cdr:x>
      <cdr:y>0.07831</cdr:y>
    </cdr:from>
    <cdr:to>
      <cdr:x>0.32178</cdr:x>
      <cdr:y>0.93018</cdr:y>
    </cdr:to>
    <cdr:sp macro="" textlink="">
      <cdr:nvSpPr>
        <cdr:cNvPr id="6150" name="Line 6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1701140" y="251547"/>
          <a:ext cx="0" cy="2702002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0.78133</cdr:x>
      <cdr:y>0.07831</cdr:y>
    </cdr:from>
    <cdr:to>
      <cdr:x>0.78133</cdr:x>
      <cdr:y>0.93018</cdr:y>
    </cdr:to>
    <cdr:sp macro="" textlink="">
      <cdr:nvSpPr>
        <cdr:cNvPr id="6151" name="Line 7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4126128" y="251547"/>
          <a:ext cx="0" cy="2702002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0.24445</cdr:x>
      <cdr:y>0.07831</cdr:y>
    </cdr:from>
    <cdr:to>
      <cdr:x>0.24445</cdr:x>
      <cdr:y>0.93018</cdr:y>
    </cdr:to>
    <cdr:sp macro="" textlink="">
      <cdr:nvSpPr>
        <cdr:cNvPr id="6152" name="Line 8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1293089" y="251547"/>
          <a:ext cx="0" cy="2702002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0.07212</cdr:x>
      <cdr:y>0.07831</cdr:y>
    </cdr:from>
    <cdr:to>
      <cdr:x>0.07212</cdr:x>
      <cdr:y>0.93018</cdr:y>
    </cdr:to>
    <cdr:sp macro="" textlink="">
      <cdr:nvSpPr>
        <cdr:cNvPr id="6153" name="Line 9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383718" y="251547"/>
          <a:ext cx="0" cy="2702002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0.08955</cdr:x>
      <cdr:y>0.07831</cdr:y>
    </cdr:from>
    <cdr:to>
      <cdr:x>0.08955</cdr:x>
      <cdr:y>0.93018</cdr:y>
    </cdr:to>
    <cdr:sp macro="" textlink="">
      <cdr:nvSpPr>
        <cdr:cNvPr id="6154" name="Line 10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475691" y="251547"/>
          <a:ext cx="0" cy="2702002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0.11164</cdr:x>
      <cdr:y>0.07831</cdr:y>
    </cdr:from>
    <cdr:to>
      <cdr:x>0.11164</cdr:x>
      <cdr:y>0.93018</cdr:y>
    </cdr:to>
    <cdr:sp macro="" textlink="">
      <cdr:nvSpPr>
        <cdr:cNvPr id="6155" name="Line 1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592277" y="251547"/>
          <a:ext cx="0" cy="2702002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0.65662</cdr:x>
      <cdr:y>0.07831</cdr:y>
    </cdr:from>
    <cdr:to>
      <cdr:x>0.65662</cdr:x>
      <cdr:y>0.93018</cdr:y>
    </cdr:to>
    <cdr:sp macro="" textlink="">
      <cdr:nvSpPr>
        <cdr:cNvPr id="6156" name="Line 12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3468065" y="251547"/>
          <a:ext cx="0" cy="2702002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428625</xdr:colOff>
      <xdr:row>1</xdr:row>
      <xdr:rowOff>104775</xdr:rowOff>
    </xdr:from>
    <xdr:to>
      <xdr:col>13</xdr:col>
      <xdr:colOff>209550</xdr:colOff>
      <xdr:row>20</xdr:row>
      <xdr:rowOff>47625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174624</xdr:colOff>
      <xdr:row>19</xdr:row>
      <xdr:rowOff>28574</xdr:rowOff>
    </xdr:from>
    <xdr:to>
      <xdr:col>5</xdr:col>
      <xdr:colOff>317499</xdr:colOff>
      <xdr:row>20</xdr:row>
      <xdr:rowOff>126999</xdr:rowOff>
    </xdr:to>
    <xdr:sp macro="" textlink="">
      <xdr:nvSpPr>
        <xdr:cNvPr id="3" name="Text Box 5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>
          <a:spLocks noChangeArrowheads="1"/>
        </xdr:cNvSpPr>
      </xdr:nvSpPr>
      <xdr:spPr bwMode="auto">
        <a:xfrm>
          <a:off x="2735791" y="3044824"/>
          <a:ext cx="14287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#</a:t>
          </a:r>
          <a:r>
            <a:rPr lang="es-MX" sz="500" b="0" i="0" strike="noStrike">
              <a:solidFill>
                <a:schemeClr val="accent1">
                  <a:lumMod val="50000"/>
                </a:schemeClr>
              </a:solidFill>
              <a:latin typeface="Arial"/>
              <a:cs typeface="Arial"/>
            </a:rPr>
            <a:t>200</a:t>
          </a:r>
        </a:p>
      </xdr:txBody>
    </xdr:sp>
    <xdr:clientData/>
  </xdr:twoCellAnchor>
  <xdr:twoCellAnchor>
    <xdr:from>
      <xdr:col>5</xdr:col>
      <xdr:colOff>300566</xdr:colOff>
      <xdr:row>19</xdr:row>
      <xdr:rowOff>28575</xdr:rowOff>
    </xdr:from>
    <xdr:to>
      <xdr:col>5</xdr:col>
      <xdr:colOff>412748</xdr:colOff>
      <xdr:row>20</xdr:row>
      <xdr:rowOff>74083</xdr:rowOff>
    </xdr:to>
    <xdr:sp macro="" textlink="">
      <xdr:nvSpPr>
        <xdr:cNvPr id="4" name="Text Box 6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>
          <a:spLocks noChangeArrowheads="1"/>
        </xdr:cNvSpPr>
      </xdr:nvSpPr>
      <xdr:spPr bwMode="auto">
        <a:xfrm>
          <a:off x="2861733" y="3044825"/>
          <a:ext cx="112182" cy="20425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#100</a:t>
          </a:r>
        </a:p>
      </xdr:txBody>
    </xdr:sp>
    <xdr:clientData/>
  </xdr:twoCellAnchor>
  <xdr:twoCellAnchor>
    <xdr:from>
      <xdr:col>5</xdr:col>
      <xdr:colOff>436031</xdr:colOff>
      <xdr:row>19</xdr:row>
      <xdr:rowOff>28575</xdr:rowOff>
    </xdr:from>
    <xdr:to>
      <xdr:col>5</xdr:col>
      <xdr:colOff>560914</xdr:colOff>
      <xdr:row>20</xdr:row>
      <xdr:rowOff>116417</xdr:rowOff>
    </xdr:to>
    <xdr:sp macro="" textlink="">
      <xdr:nvSpPr>
        <xdr:cNvPr id="5" name="Text Box 7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>
          <a:spLocks noChangeArrowheads="1"/>
        </xdr:cNvSpPr>
      </xdr:nvSpPr>
      <xdr:spPr bwMode="auto">
        <a:xfrm>
          <a:off x="2997198" y="3044825"/>
          <a:ext cx="124883" cy="24659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#50</a:t>
          </a:r>
        </a:p>
      </xdr:txBody>
    </xdr:sp>
    <xdr:clientData/>
  </xdr:twoCellAnchor>
  <xdr:twoCellAnchor>
    <xdr:from>
      <xdr:col>6</xdr:col>
      <xdr:colOff>16930</xdr:colOff>
      <xdr:row>19</xdr:row>
      <xdr:rowOff>28575</xdr:rowOff>
    </xdr:from>
    <xdr:to>
      <xdr:col>6</xdr:col>
      <xdr:colOff>179913</xdr:colOff>
      <xdr:row>20</xdr:row>
      <xdr:rowOff>31750</xdr:rowOff>
    </xdr:to>
    <xdr:sp macro="" textlink="">
      <xdr:nvSpPr>
        <xdr:cNvPr id="6" name="Text Box 8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>
          <a:spLocks noChangeArrowheads="1"/>
        </xdr:cNvSpPr>
      </xdr:nvSpPr>
      <xdr:spPr bwMode="auto">
        <a:xfrm>
          <a:off x="3191930" y="3044825"/>
          <a:ext cx="162983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#</a:t>
          </a:r>
          <a:r>
            <a:rPr lang="es-MX" sz="500" b="0" i="0" strike="noStrike">
              <a:solidFill>
                <a:schemeClr val="accent1">
                  <a:lumMod val="50000"/>
                </a:schemeClr>
              </a:solidFill>
              <a:latin typeface="Arial"/>
              <a:cs typeface="Arial"/>
            </a:rPr>
            <a:t>30</a:t>
          </a:r>
        </a:p>
      </xdr:txBody>
    </xdr:sp>
    <xdr:clientData/>
  </xdr:twoCellAnchor>
  <xdr:twoCellAnchor>
    <xdr:from>
      <xdr:col>6</xdr:col>
      <xdr:colOff>284686</xdr:colOff>
      <xdr:row>19</xdr:row>
      <xdr:rowOff>28575</xdr:rowOff>
    </xdr:from>
    <xdr:to>
      <xdr:col>6</xdr:col>
      <xdr:colOff>433911</xdr:colOff>
      <xdr:row>20</xdr:row>
      <xdr:rowOff>42333</xdr:rowOff>
    </xdr:to>
    <xdr:sp macro="" textlink="">
      <xdr:nvSpPr>
        <xdr:cNvPr id="7" name="Text Box 9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 txBox="1">
          <a:spLocks noChangeArrowheads="1"/>
        </xdr:cNvSpPr>
      </xdr:nvSpPr>
      <xdr:spPr bwMode="auto">
        <a:xfrm>
          <a:off x="3459686" y="3044825"/>
          <a:ext cx="149225" cy="1725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#16</a:t>
          </a:r>
        </a:p>
      </xdr:txBody>
    </xdr:sp>
    <xdr:clientData/>
  </xdr:twoCellAnchor>
  <xdr:twoCellAnchor>
    <xdr:from>
      <xdr:col>7</xdr:col>
      <xdr:colOff>60318</xdr:colOff>
      <xdr:row>19</xdr:row>
      <xdr:rowOff>28575</xdr:rowOff>
    </xdr:from>
    <xdr:to>
      <xdr:col>7</xdr:col>
      <xdr:colOff>190493</xdr:colOff>
      <xdr:row>20</xdr:row>
      <xdr:rowOff>52917</xdr:rowOff>
    </xdr:to>
    <xdr:sp macro="" textlink="">
      <xdr:nvSpPr>
        <xdr:cNvPr id="8" name="Text Box 10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 txBox="1">
          <a:spLocks noChangeArrowheads="1"/>
        </xdr:cNvSpPr>
      </xdr:nvSpPr>
      <xdr:spPr bwMode="auto">
        <a:xfrm>
          <a:off x="3849151" y="3044825"/>
          <a:ext cx="130175" cy="18309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#8</a:t>
          </a:r>
        </a:p>
      </xdr:txBody>
    </xdr:sp>
    <xdr:clientData/>
  </xdr:twoCellAnchor>
  <xdr:twoCellAnchor>
    <xdr:from>
      <xdr:col>7</xdr:col>
      <xdr:colOff>550327</xdr:colOff>
      <xdr:row>19</xdr:row>
      <xdr:rowOff>28575</xdr:rowOff>
    </xdr:from>
    <xdr:to>
      <xdr:col>8</xdr:col>
      <xdr:colOff>74077</xdr:colOff>
      <xdr:row>20</xdr:row>
      <xdr:rowOff>74083</xdr:rowOff>
    </xdr:to>
    <xdr:sp macro="" textlink="">
      <xdr:nvSpPr>
        <xdr:cNvPr id="9" name="Text Box 11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 txBox="1">
          <a:spLocks noChangeArrowheads="1"/>
        </xdr:cNvSpPr>
      </xdr:nvSpPr>
      <xdr:spPr bwMode="auto">
        <a:xfrm>
          <a:off x="4339160" y="3044825"/>
          <a:ext cx="137584" cy="20425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#4</a:t>
          </a:r>
        </a:p>
      </xdr:txBody>
    </xdr:sp>
    <xdr:clientData/>
  </xdr:twoCellAnchor>
  <xdr:twoCellAnchor>
    <xdr:from>
      <xdr:col>9</xdr:col>
      <xdr:colOff>20104</xdr:colOff>
      <xdr:row>19</xdr:row>
      <xdr:rowOff>19050</xdr:rowOff>
    </xdr:from>
    <xdr:to>
      <xdr:col>9</xdr:col>
      <xdr:colOff>179912</xdr:colOff>
      <xdr:row>20</xdr:row>
      <xdr:rowOff>84667</xdr:rowOff>
    </xdr:to>
    <xdr:sp macro="" textlink="">
      <xdr:nvSpPr>
        <xdr:cNvPr id="10" name="Text Box 13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 txBox="1">
          <a:spLocks noChangeArrowheads="1"/>
        </xdr:cNvSpPr>
      </xdr:nvSpPr>
      <xdr:spPr bwMode="auto">
        <a:xfrm>
          <a:off x="5036604" y="3035300"/>
          <a:ext cx="159808" cy="22436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chemeClr val="accent1">
                  <a:lumMod val="50000"/>
                </a:schemeClr>
              </a:solidFill>
              <a:latin typeface="Arial"/>
              <a:cs typeface="Arial"/>
            </a:rPr>
            <a:t>3/8</a:t>
          </a: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"</a:t>
          </a:r>
        </a:p>
      </xdr:txBody>
    </xdr:sp>
    <xdr:clientData/>
  </xdr:twoCellAnchor>
  <xdr:twoCellAnchor>
    <xdr:from>
      <xdr:col>9</xdr:col>
      <xdr:colOff>376762</xdr:colOff>
      <xdr:row>19</xdr:row>
      <xdr:rowOff>28575</xdr:rowOff>
    </xdr:from>
    <xdr:to>
      <xdr:col>10</xdr:col>
      <xdr:colOff>81487</xdr:colOff>
      <xdr:row>20</xdr:row>
      <xdr:rowOff>76200</xdr:rowOff>
    </xdr:to>
    <xdr:sp macro="" textlink="">
      <xdr:nvSpPr>
        <xdr:cNvPr id="11" name="Text Box 14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 txBox="1">
          <a:spLocks noChangeArrowheads="1"/>
        </xdr:cNvSpPr>
      </xdr:nvSpPr>
      <xdr:spPr bwMode="auto">
        <a:xfrm>
          <a:off x="5393262" y="3044825"/>
          <a:ext cx="318558" cy="206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chemeClr val="accent1">
                  <a:lumMod val="50000"/>
                </a:schemeClr>
              </a:solidFill>
              <a:latin typeface="Arial"/>
              <a:cs typeface="Arial"/>
            </a:rPr>
            <a:t>1/2</a:t>
          </a: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"</a:t>
          </a:r>
        </a:p>
      </xdr:txBody>
    </xdr:sp>
    <xdr:clientData/>
  </xdr:twoCellAnchor>
  <xdr:twoCellAnchor>
    <xdr:from>
      <xdr:col>10</xdr:col>
      <xdr:colOff>338668</xdr:colOff>
      <xdr:row>19</xdr:row>
      <xdr:rowOff>28575</xdr:rowOff>
    </xdr:from>
    <xdr:to>
      <xdr:col>11</xdr:col>
      <xdr:colOff>43392</xdr:colOff>
      <xdr:row>20</xdr:row>
      <xdr:rowOff>47625</xdr:rowOff>
    </xdr:to>
    <xdr:sp macro="" textlink="">
      <xdr:nvSpPr>
        <xdr:cNvPr id="12" name="Text Box 15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 txBox="1">
          <a:spLocks noChangeArrowheads="1"/>
        </xdr:cNvSpPr>
      </xdr:nvSpPr>
      <xdr:spPr bwMode="auto">
        <a:xfrm>
          <a:off x="5969001" y="3044825"/>
          <a:ext cx="318558" cy="177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chemeClr val="accent1">
                  <a:lumMod val="50000"/>
                </a:schemeClr>
              </a:solidFill>
              <a:latin typeface="Arial"/>
              <a:cs typeface="Arial"/>
            </a:rPr>
            <a:t>3/4</a:t>
          </a: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"</a:t>
          </a:r>
        </a:p>
      </xdr:txBody>
    </xdr:sp>
    <xdr:clientData/>
  </xdr:twoCellAnchor>
  <xdr:twoCellAnchor>
    <xdr:from>
      <xdr:col>11</xdr:col>
      <xdr:colOff>215897</xdr:colOff>
      <xdr:row>19</xdr:row>
      <xdr:rowOff>19050</xdr:rowOff>
    </xdr:from>
    <xdr:to>
      <xdr:col>11</xdr:col>
      <xdr:colOff>530222</xdr:colOff>
      <xdr:row>19</xdr:row>
      <xdr:rowOff>152400</xdr:rowOff>
    </xdr:to>
    <xdr:sp macro="" textlink="">
      <xdr:nvSpPr>
        <xdr:cNvPr id="13" name="Text Box 16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 txBox="1">
          <a:spLocks noChangeArrowheads="1"/>
        </xdr:cNvSpPr>
      </xdr:nvSpPr>
      <xdr:spPr bwMode="auto">
        <a:xfrm>
          <a:off x="6460064" y="3035300"/>
          <a:ext cx="314325" cy="133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1"</a:t>
          </a:r>
        </a:p>
      </xdr:txBody>
    </xdr:sp>
    <xdr:clientData/>
  </xdr:twoCellAnchor>
  <xdr:twoCellAnchor>
    <xdr:from>
      <xdr:col>12</xdr:col>
      <xdr:colOff>242360</xdr:colOff>
      <xdr:row>19</xdr:row>
      <xdr:rowOff>0</xdr:rowOff>
    </xdr:from>
    <xdr:to>
      <xdr:col>12</xdr:col>
      <xdr:colOff>556685</xdr:colOff>
      <xdr:row>20</xdr:row>
      <xdr:rowOff>28575</xdr:rowOff>
    </xdr:to>
    <xdr:sp macro="" textlink="">
      <xdr:nvSpPr>
        <xdr:cNvPr id="14" name="Text Box 17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 txBox="1">
          <a:spLocks noChangeArrowheads="1"/>
        </xdr:cNvSpPr>
      </xdr:nvSpPr>
      <xdr:spPr bwMode="auto">
        <a:xfrm>
          <a:off x="7100360" y="3016250"/>
          <a:ext cx="314325" cy="1873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1 </a:t>
          </a:r>
          <a:r>
            <a:rPr lang="es-MX" sz="500" b="0" i="0" strike="noStrike">
              <a:solidFill>
                <a:schemeClr val="accent1">
                  <a:lumMod val="50000"/>
                </a:schemeClr>
              </a:solidFill>
              <a:latin typeface="Arial"/>
              <a:cs typeface="Arial"/>
            </a:rPr>
            <a:t>1/2</a:t>
          </a: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"</a:t>
          </a:r>
        </a:p>
      </xdr:txBody>
    </xdr:sp>
    <xdr:clientData/>
  </xdr:twoCellAnchor>
  <xdr:twoCellAnchor>
    <xdr:from>
      <xdr:col>7</xdr:col>
      <xdr:colOff>371475</xdr:colOff>
      <xdr:row>1</xdr:row>
      <xdr:rowOff>114300</xdr:rowOff>
    </xdr:from>
    <xdr:to>
      <xdr:col>11</xdr:col>
      <xdr:colOff>390525</xdr:colOff>
      <xdr:row>3</xdr:row>
      <xdr:rowOff>38100</xdr:rowOff>
    </xdr:to>
    <xdr:sp macro="" textlink="">
      <xdr:nvSpPr>
        <xdr:cNvPr id="15" name="Text Box 18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 txBox="1">
          <a:spLocks noChangeArrowheads="1"/>
        </xdr:cNvSpPr>
      </xdr:nvSpPr>
      <xdr:spPr bwMode="auto">
        <a:xfrm>
          <a:off x="4133850" y="276225"/>
          <a:ext cx="2457450" cy="247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s-MX" sz="1000" b="1" i="0" strike="noStrike">
              <a:solidFill>
                <a:schemeClr val="accent1">
                  <a:lumMod val="50000"/>
                </a:schemeClr>
              </a:solidFill>
              <a:latin typeface="Arial"/>
              <a:cs typeface="Arial"/>
            </a:rPr>
            <a:t>Gráfico</a:t>
          </a:r>
          <a:r>
            <a:rPr lang="es-MX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s-MX" sz="1000" b="1" i="0" strike="noStrike">
              <a:solidFill>
                <a:schemeClr val="accent1">
                  <a:lumMod val="50000"/>
                </a:schemeClr>
              </a:solidFill>
              <a:latin typeface="Arial"/>
              <a:cs typeface="Arial"/>
            </a:rPr>
            <a:t>Graduación</a:t>
          </a:r>
          <a:r>
            <a:rPr lang="es-MX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s-MX" sz="1000" b="1" i="0" strike="noStrike">
              <a:solidFill>
                <a:schemeClr val="accent1">
                  <a:lumMod val="50000"/>
                </a:schemeClr>
              </a:solidFill>
              <a:latin typeface="Arial"/>
              <a:cs typeface="Arial"/>
            </a:rPr>
            <a:t>0.45</a:t>
          </a:r>
        </a:p>
      </xdr:txBody>
    </xdr:sp>
    <xdr:clientData/>
  </xdr:twoCellAnchor>
  <xdr:twoCellAnchor>
    <xdr:from>
      <xdr:col>4</xdr:col>
      <xdr:colOff>528108</xdr:colOff>
      <xdr:row>3</xdr:row>
      <xdr:rowOff>41275</xdr:rowOff>
    </xdr:from>
    <xdr:to>
      <xdr:col>11</xdr:col>
      <xdr:colOff>223308</xdr:colOff>
      <xdr:row>19</xdr:row>
      <xdr:rowOff>25400</xdr:rowOff>
    </xdr:to>
    <xdr:sp macro="" textlink="">
      <xdr:nvSpPr>
        <xdr:cNvPr id="16" name="Line 20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>
          <a:spLocks noChangeAspect="1" noChangeShapeType="1"/>
        </xdr:cNvSpPr>
      </xdr:nvSpPr>
      <xdr:spPr bwMode="auto">
        <a:xfrm flipV="1">
          <a:off x="2475441" y="517525"/>
          <a:ext cx="3992034" cy="2524125"/>
        </a:xfrm>
        <a:prstGeom prst="line">
          <a:avLst/>
        </a:prstGeom>
        <a:noFill/>
        <a:ln w="9525">
          <a:solidFill>
            <a:srgbClr val="FF0000"/>
          </a:solidFill>
          <a:prstDash val="dash"/>
          <a:round/>
          <a:headEnd/>
          <a:tailEnd/>
        </a:ln>
      </xdr:spPr>
    </xdr:sp>
    <xdr:clientData/>
  </xdr:twoCellAnchor>
  <xdr:twoCellAnchor>
    <xdr:from>
      <xdr:col>11</xdr:col>
      <xdr:colOff>142875</xdr:colOff>
      <xdr:row>49</xdr:row>
      <xdr:rowOff>28575</xdr:rowOff>
    </xdr:from>
    <xdr:to>
      <xdr:col>11</xdr:col>
      <xdr:colOff>447675</xdr:colOff>
      <xdr:row>50</xdr:row>
      <xdr:rowOff>28575</xdr:rowOff>
    </xdr:to>
    <xdr:sp macro="" textlink="">
      <xdr:nvSpPr>
        <xdr:cNvPr id="17" name="Text Box 5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 txBox="1">
          <a:spLocks noChangeArrowheads="1"/>
        </xdr:cNvSpPr>
      </xdr:nvSpPr>
      <xdr:spPr bwMode="auto">
        <a:xfrm>
          <a:off x="6343650" y="7962900"/>
          <a:ext cx="3048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#</a:t>
          </a:r>
          <a:r>
            <a:rPr lang="es-MX" sz="500" b="0" i="0" strike="noStrike">
              <a:solidFill>
                <a:schemeClr val="accent1">
                  <a:lumMod val="50000"/>
                </a:schemeClr>
              </a:solidFill>
              <a:latin typeface="Arial"/>
              <a:cs typeface="Arial"/>
            </a:rPr>
            <a:t>200</a:t>
          </a:r>
        </a:p>
      </xdr:txBody>
    </xdr:sp>
    <xdr:clientData/>
  </xdr:twoCellAnchor>
  <xdr:twoCellAnchor>
    <xdr:from>
      <xdr:col>11</xdr:col>
      <xdr:colOff>247650</xdr:colOff>
      <xdr:row>49</xdr:row>
      <xdr:rowOff>28575</xdr:rowOff>
    </xdr:from>
    <xdr:to>
      <xdr:col>11</xdr:col>
      <xdr:colOff>561975</xdr:colOff>
      <xdr:row>50</xdr:row>
      <xdr:rowOff>28575</xdr:rowOff>
    </xdr:to>
    <xdr:sp macro="" textlink="">
      <xdr:nvSpPr>
        <xdr:cNvPr id="18" name="Text Box 6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 txBox="1">
          <a:spLocks noChangeArrowheads="1"/>
        </xdr:cNvSpPr>
      </xdr:nvSpPr>
      <xdr:spPr bwMode="auto">
        <a:xfrm>
          <a:off x="6448425" y="7962900"/>
          <a:ext cx="3143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#100</a:t>
          </a:r>
        </a:p>
      </xdr:txBody>
    </xdr:sp>
    <xdr:clientData/>
  </xdr:twoCellAnchor>
  <xdr:twoCellAnchor>
    <xdr:from>
      <xdr:col>11</xdr:col>
      <xdr:colOff>361950</xdr:colOff>
      <xdr:row>49</xdr:row>
      <xdr:rowOff>28575</xdr:rowOff>
    </xdr:from>
    <xdr:to>
      <xdr:col>12</xdr:col>
      <xdr:colOff>66675</xdr:colOff>
      <xdr:row>50</xdr:row>
      <xdr:rowOff>66675</xdr:rowOff>
    </xdr:to>
    <xdr:sp macro="" textlink="">
      <xdr:nvSpPr>
        <xdr:cNvPr id="19" name="Text Box 7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 txBox="1">
          <a:spLocks noChangeArrowheads="1"/>
        </xdr:cNvSpPr>
      </xdr:nvSpPr>
      <xdr:spPr bwMode="auto">
        <a:xfrm>
          <a:off x="6562725" y="7962900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#50</a:t>
          </a:r>
        </a:p>
      </xdr:txBody>
    </xdr:sp>
    <xdr:clientData/>
  </xdr:twoCellAnchor>
  <xdr:twoCellAnchor>
    <xdr:from>
      <xdr:col>11</xdr:col>
      <xdr:colOff>514350</xdr:colOff>
      <xdr:row>49</xdr:row>
      <xdr:rowOff>28575</xdr:rowOff>
    </xdr:from>
    <xdr:to>
      <xdr:col>12</xdr:col>
      <xdr:colOff>219075</xdr:colOff>
      <xdr:row>50</xdr:row>
      <xdr:rowOff>19050</xdr:rowOff>
    </xdr:to>
    <xdr:sp macro="" textlink="">
      <xdr:nvSpPr>
        <xdr:cNvPr id="20" name="Text Box 8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 txBox="1">
          <a:spLocks noChangeArrowheads="1"/>
        </xdr:cNvSpPr>
      </xdr:nvSpPr>
      <xdr:spPr bwMode="auto">
        <a:xfrm>
          <a:off x="6715125" y="7962900"/>
          <a:ext cx="314325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#</a:t>
          </a:r>
          <a:r>
            <a:rPr lang="es-MX" sz="500" b="0" i="0" strike="noStrike">
              <a:solidFill>
                <a:schemeClr val="accent1">
                  <a:lumMod val="50000"/>
                </a:schemeClr>
              </a:solidFill>
              <a:latin typeface="Arial"/>
              <a:cs typeface="Arial"/>
            </a:rPr>
            <a:t>30</a:t>
          </a:r>
        </a:p>
      </xdr:txBody>
    </xdr:sp>
    <xdr:clientData/>
  </xdr:twoCellAnchor>
  <xdr:twoCellAnchor>
    <xdr:from>
      <xdr:col>12</xdr:col>
      <xdr:colOff>104775</xdr:colOff>
      <xdr:row>49</xdr:row>
      <xdr:rowOff>28575</xdr:rowOff>
    </xdr:from>
    <xdr:to>
      <xdr:col>12</xdr:col>
      <xdr:colOff>419100</xdr:colOff>
      <xdr:row>50</xdr:row>
      <xdr:rowOff>9525</xdr:rowOff>
    </xdr:to>
    <xdr:sp macro="" textlink="">
      <xdr:nvSpPr>
        <xdr:cNvPr id="21" name="Text Box 9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 txBox="1">
          <a:spLocks noChangeArrowheads="1"/>
        </xdr:cNvSpPr>
      </xdr:nvSpPr>
      <xdr:spPr bwMode="auto">
        <a:xfrm>
          <a:off x="6915150" y="7962900"/>
          <a:ext cx="314325" cy="142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#16</a:t>
          </a:r>
        </a:p>
      </xdr:txBody>
    </xdr:sp>
    <xdr:clientData/>
  </xdr:twoCellAnchor>
  <xdr:twoCellAnchor>
    <xdr:from>
      <xdr:col>12</xdr:col>
      <xdr:colOff>409575</xdr:colOff>
      <xdr:row>49</xdr:row>
      <xdr:rowOff>28575</xdr:rowOff>
    </xdr:from>
    <xdr:to>
      <xdr:col>13</xdr:col>
      <xdr:colOff>114300</xdr:colOff>
      <xdr:row>50</xdr:row>
      <xdr:rowOff>19050</xdr:rowOff>
    </xdr:to>
    <xdr:sp macro="" textlink="">
      <xdr:nvSpPr>
        <xdr:cNvPr id="22" name="Text Box 10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 txBox="1">
          <a:spLocks noChangeArrowheads="1"/>
        </xdr:cNvSpPr>
      </xdr:nvSpPr>
      <xdr:spPr bwMode="auto">
        <a:xfrm>
          <a:off x="7219950" y="7962900"/>
          <a:ext cx="314325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#8</a:t>
          </a:r>
        </a:p>
      </xdr:txBody>
    </xdr:sp>
    <xdr:clientData/>
  </xdr:twoCellAnchor>
  <xdr:twoCellAnchor>
    <xdr:from>
      <xdr:col>13</xdr:col>
      <xdr:colOff>190500</xdr:colOff>
      <xdr:row>49</xdr:row>
      <xdr:rowOff>28575</xdr:rowOff>
    </xdr:from>
    <xdr:to>
      <xdr:col>13</xdr:col>
      <xdr:colOff>504825</xdr:colOff>
      <xdr:row>50</xdr:row>
      <xdr:rowOff>0</xdr:rowOff>
    </xdr:to>
    <xdr:sp macro="" textlink="">
      <xdr:nvSpPr>
        <xdr:cNvPr id="23" name="Text Box 11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 txBox="1">
          <a:spLocks noChangeArrowheads="1"/>
        </xdr:cNvSpPr>
      </xdr:nvSpPr>
      <xdr:spPr bwMode="auto">
        <a:xfrm>
          <a:off x="7610475" y="7962900"/>
          <a:ext cx="314325" cy="133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vert="vert270" wrap="square" lIns="18288" tIns="18288" rIns="0" bIns="0" anchor="t" upright="1"/>
        <a:lstStyle/>
        <a:p>
          <a:pPr algn="r" rtl="1">
            <a:defRPr sz="1000"/>
          </a:pPr>
          <a:r>
            <a:rPr lang="es-MX" sz="500" b="0" i="0" strike="noStrike">
              <a:solidFill>
                <a:srgbClr val="000000"/>
              </a:solidFill>
              <a:latin typeface="Arial"/>
              <a:cs typeface="Arial"/>
            </a:rPr>
            <a:t>#4</a:t>
          </a:r>
        </a:p>
      </xdr:txBody>
    </xdr:sp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0.16227</cdr:x>
      <cdr:y>0.07831</cdr:y>
    </cdr:from>
    <cdr:to>
      <cdr:x>0.16227</cdr:x>
      <cdr:y>0.93018</cdr:y>
    </cdr:to>
    <cdr:sp macro="" textlink="">
      <cdr:nvSpPr>
        <cdr:cNvPr id="6145" name="Line 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860901" y="231727"/>
          <a:ext cx="0" cy="2520769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0.5133</cdr:x>
      <cdr:y>0.07473</cdr:y>
    </cdr:from>
    <cdr:to>
      <cdr:x>0.5133</cdr:x>
      <cdr:y>0.9266</cdr:y>
    </cdr:to>
    <cdr:sp macro="" textlink="">
      <cdr:nvSpPr>
        <cdr:cNvPr id="6146" name="Line 2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2723261" y="221144"/>
          <a:ext cx="0" cy="2520769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0.57929</cdr:x>
      <cdr:y>0.07831</cdr:y>
    </cdr:from>
    <cdr:to>
      <cdr:x>0.57929</cdr:x>
      <cdr:y>0.93018</cdr:y>
    </cdr:to>
    <cdr:sp macro="" textlink="">
      <cdr:nvSpPr>
        <cdr:cNvPr id="6148" name="Line 4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3060014" y="251547"/>
          <a:ext cx="0" cy="2702002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0.21447</cdr:x>
      <cdr:y>0.07831</cdr:y>
    </cdr:from>
    <cdr:to>
      <cdr:x>0.21447</cdr:x>
      <cdr:y>0.93018</cdr:y>
    </cdr:to>
    <cdr:sp macro="" textlink="">
      <cdr:nvSpPr>
        <cdr:cNvPr id="6149" name="Line 5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1137866" y="231727"/>
          <a:ext cx="0" cy="2520769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0.37963</cdr:x>
      <cdr:y>0.07831</cdr:y>
    </cdr:from>
    <cdr:to>
      <cdr:x>0.37963</cdr:x>
      <cdr:y>0.93018</cdr:y>
    </cdr:to>
    <cdr:sp macro="" textlink="">
      <cdr:nvSpPr>
        <cdr:cNvPr id="6150" name="Line 6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2014097" y="231727"/>
          <a:ext cx="0" cy="2520769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0.78133</cdr:x>
      <cdr:y>0.07831</cdr:y>
    </cdr:from>
    <cdr:to>
      <cdr:x>0.78133</cdr:x>
      <cdr:y>0.93018</cdr:y>
    </cdr:to>
    <cdr:sp macro="" textlink="">
      <cdr:nvSpPr>
        <cdr:cNvPr id="6151" name="Line 7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4126128" y="251547"/>
          <a:ext cx="0" cy="2702002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0.28834</cdr:x>
      <cdr:y>0.07831</cdr:y>
    </cdr:from>
    <cdr:to>
      <cdr:x>0.28834</cdr:x>
      <cdr:y>0.93018</cdr:y>
    </cdr:to>
    <cdr:sp macro="" textlink="">
      <cdr:nvSpPr>
        <cdr:cNvPr id="6152" name="Line 8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1529744" y="231727"/>
          <a:ext cx="0" cy="2520769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0.0801</cdr:x>
      <cdr:y>0.07831</cdr:y>
    </cdr:from>
    <cdr:to>
      <cdr:x>0.0801</cdr:x>
      <cdr:y>0.93018</cdr:y>
    </cdr:to>
    <cdr:sp macro="" textlink="">
      <cdr:nvSpPr>
        <cdr:cNvPr id="6153" name="Line 9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424960" y="231727"/>
          <a:ext cx="0" cy="2520769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0.10152</cdr:x>
      <cdr:y>0.07831</cdr:y>
    </cdr:from>
    <cdr:to>
      <cdr:x>0.10152</cdr:x>
      <cdr:y>0.93018</cdr:y>
    </cdr:to>
    <cdr:sp macro="" textlink="">
      <cdr:nvSpPr>
        <cdr:cNvPr id="6154" name="Line 10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538601" y="231727"/>
          <a:ext cx="0" cy="2520769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0.13159</cdr:x>
      <cdr:y>0.07831</cdr:y>
    </cdr:from>
    <cdr:to>
      <cdr:x>0.13159</cdr:x>
      <cdr:y>0.93018</cdr:y>
    </cdr:to>
    <cdr:sp macro="" textlink="">
      <cdr:nvSpPr>
        <cdr:cNvPr id="6155" name="Line 1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698132" y="231727"/>
          <a:ext cx="0" cy="2520769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0.68854</cdr:x>
      <cdr:y>0.07831</cdr:y>
    </cdr:from>
    <cdr:to>
      <cdr:x>0.68854</cdr:x>
      <cdr:y>0.93018</cdr:y>
    </cdr:to>
    <cdr:sp macro="" textlink="">
      <cdr:nvSpPr>
        <cdr:cNvPr id="6156" name="Line 12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3652981" y="231727"/>
          <a:ext cx="0" cy="2520769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CCCCFF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593147</xdr:colOff>
      <xdr:row>4</xdr:row>
      <xdr:rowOff>26843</xdr:rowOff>
    </xdr:from>
    <xdr:to>
      <xdr:col>7</xdr:col>
      <xdr:colOff>339436</xdr:colOff>
      <xdr:row>24</xdr:row>
      <xdr:rowOff>26842</xdr:rowOff>
    </xdr:to>
    <xdr:grpSp>
      <xdr:nvGrpSpPr>
        <xdr:cNvPr id="22529" name="Group 23">
          <a:extLst>
            <a:ext uri="{FF2B5EF4-FFF2-40B4-BE49-F238E27FC236}">
              <a16:creationId xmlns:a16="http://schemas.microsoft.com/office/drawing/2014/main" id="{00000000-0008-0000-0900-000001580000}"/>
            </a:ext>
          </a:extLst>
        </xdr:cNvPr>
        <xdr:cNvGrpSpPr>
          <a:grpSpLocks/>
        </xdr:cNvGrpSpPr>
      </xdr:nvGrpSpPr>
      <xdr:grpSpPr bwMode="auto">
        <a:xfrm>
          <a:off x="593147" y="693593"/>
          <a:ext cx="5359689" cy="3174999"/>
          <a:chOff x="89" y="215"/>
          <a:chExt cx="531" cy="340"/>
        </a:xfrm>
      </xdr:grpSpPr>
      <xdr:graphicFrame macro="">
        <xdr:nvGraphicFramePr>
          <xdr:cNvPr id="22530" name="Chart 1">
            <a:extLst>
              <a:ext uri="{FF2B5EF4-FFF2-40B4-BE49-F238E27FC236}">
                <a16:creationId xmlns:a16="http://schemas.microsoft.com/office/drawing/2014/main" id="{00000000-0008-0000-0900-000002580000}"/>
              </a:ext>
            </a:extLst>
          </xdr:cNvPr>
          <xdr:cNvGraphicFramePr>
            <a:graphicFrameLocks/>
          </xdr:cNvGraphicFramePr>
        </xdr:nvGraphicFramePr>
        <xdr:xfrm>
          <a:off x="89" y="215"/>
          <a:ext cx="529" cy="3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098" name="Text Box 2">
            <a:extLst>
              <a:ext uri="{FF2B5EF4-FFF2-40B4-BE49-F238E27FC236}">
                <a16:creationId xmlns:a16="http://schemas.microsoft.com/office/drawing/2014/main" id="{00000000-0008-0000-0900-0000021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06" y="362"/>
            <a:ext cx="114" cy="2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18288" rIns="0" bIns="0" anchor="t" upright="1"/>
          <a:lstStyle/>
          <a:p>
            <a:pPr algn="l" rtl="1">
              <a:defRPr sz="1000"/>
            </a:pPr>
            <a:r>
              <a:rPr lang="es-MX" sz="700" b="1" i="0" strike="noStrike">
                <a:solidFill>
                  <a:schemeClr val="accent1">
                    <a:lumMod val="50000"/>
                  </a:schemeClr>
                </a:solidFill>
                <a:latin typeface="Arial"/>
                <a:cs typeface="Arial"/>
              </a:rPr>
              <a:t>Área Límite</a:t>
            </a:r>
          </a:p>
        </xdr:txBody>
      </xdr:sp>
      <xdr:sp macro="" textlink="">
        <xdr:nvSpPr>
          <xdr:cNvPr id="4103" name="Text Box 7">
            <a:extLst>
              <a:ext uri="{FF2B5EF4-FFF2-40B4-BE49-F238E27FC236}">
                <a16:creationId xmlns:a16="http://schemas.microsoft.com/office/drawing/2014/main" id="{00000000-0008-0000-0900-0000071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6" y="258"/>
            <a:ext cx="119" cy="3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18288" rIns="0" bIns="0" anchor="t" upright="1"/>
          <a:lstStyle/>
          <a:p>
            <a:pPr algn="ctr" rtl="1">
              <a:defRPr sz="1000"/>
            </a:pPr>
            <a:r>
              <a:rPr lang="es-MX" sz="700" b="1" i="0" strike="noStrike">
                <a:solidFill>
                  <a:schemeClr val="accent1">
                    <a:lumMod val="50000"/>
                  </a:schemeClr>
                </a:solidFill>
                <a:latin typeface="Arial"/>
                <a:cs typeface="Arial"/>
              </a:rPr>
              <a:t>Zona</a:t>
            </a:r>
            <a:r>
              <a:rPr lang="es-MX" sz="700" b="1" i="0" strike="noStrike" baseline="0">
                <a:solidFill>
                  <a:schemeClr val="accent1">
                    <a:lumMod val="50000"/>
                  </a:schemeClr>
                </a:solidFill>
                <a:latin typeface="Arial"/>
                <a:cs typeface="Arial"/>
              </a:rPr>
              <a:t> IV</a:t>
            </a:r>
          </a:p>
          <a:p>
            <a:pPr algn="ctr" rtl="1">
              <a:defRPr sz="1000"/>
            </a:pPr>
            <a:r>
              <a:rPr lang="es-MX" sz="700" b="1" i="0" strike="noStrike" baseline="0">
                <a:solidFill>
                  <a:schemeClr val="accent1">
                    <a:lumMod val="50000"/>
                  </a:schemeClr>
                </a:solidFill>
                <a:latin typeface="Arial"/>
                <a:cs typeface="Arial"/>
              </a:rPr>
              <a:t>Muy Fino</a:t>
            </a:r>
            <a:endParaRPr lang="es-MX" sz="700" b="1" i="0" strike="noStrike">
              <a:solidFill>
                <a:schemeClr val="accent1">
                  <a:lumMod val="50000"/>
                </a:schemeClr>
              </a:solidFill>
              <a:latin typeface="Arial"/>
              <a:cs typeface="Arial"/>
            </a:endParaRPr>
          </a:p>
        </xdr:txBody>
      </xdr:sp>
      <xdr:sp macro="" textlink="">
        <xdr:nvSpPr>
          <xdr:cNvPr id="4104" name="Text Box 8">
            <a:extLst>
              <a:ext uri="{FF2B5EF4-FFF2-40B4-BE49-F238E27FC236}">
                <a16:creationId xmlns:a16="http://schemas.microsoft.com/office/drawing/2014/main" id="{00000000-0008-0000-0900-0000081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16" y="453"/>
            <a:ext cx="119" cy="2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18288" rIns="0" bIns="0" anchor="t" upright="1"/>
          <a:lstStyle/>
          <a:p>
            <a:pPr algn="ctr" rtl="1">
              <a:defRPr sz="1000"/>
            </a:pPr>
            <a:r>
              <a:rPr lang="es-MX" sz="700" b="1" i="0" strike="noStrike">
                <a:solidFill>
                  <a:schemeClr val="accent1">
                    <a:lumMod val="50000"/>
                  </a:schemeClr>
                </a:solidFill>
                <a:latin typeface="Arial"/>
                <a:cs typeface="Arial"/>
              </a:rPr>
              <a:t>Zona V</a:t>
            </a:r>
          </a:p>
          <a:p>
            <a:pPr algn="ctr" rtl="1">
              <a:defRPr sz="1000"/>
            </a:pPr>
            <a:r>
              <a:rPr lang="es-MX" sz="700" b="1" i="0" strike="noStrike">
                <a:solidFill>
                  <a:schemeClr val="accent1">
                    <a:lumMod val="50000"/>
                  </a:schemeClr>
                </a:solidFill>
                <a:latin typeface="Arial"/>
                <a:cs typeface="Arial"/>
              </a:rPr>
              <a:t>Muy Grueso</a:t>
            </a:r>
          </a:p>
        </xdr:txBody>
      </xdr:sp>
      <xdr:sp macro="" textlink="">
        <xdr:nvSpPr>
          <xdr:cNvPr id="4105" name="Text Box 9">
            <a:extLst>
              <a:ext uri="{FF2B5EF4-FFF2-40B4-BE49-F238E27FC236}">
                <a16:creationId xmlns:a16="http://schemas.microsoft.com/office/drawing/2014/main" id="{00000000-0008-0000-0900-0000091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4" y="296"/>
            <a:ext cx="92" cy="3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18288" rIns="0" bIns="0" anchor="t" upright="1"/>
          <a:lstStyle/>
          <a:p>
            <a:pPr algn="ctr" rtl="1">
              <a:defRPr sz="1000"/>
            </a:pPr>
            <a:r>
              <a:rPr lang="es-MX" sz="700" b="1" i="0" strike="noStrike">
                <a:solidFill>
                  <a:schemeClr val="accent1">
                    <a:lumMod val="50000"/>
                  </a:schemeClr>
                </a:solidFill>
                <a:latin typeface="Arial"/>
                <a:cs typeface="Arial"/>
              </a:rPr>
              <a:t>Zona III</a:t>
            </a:r>
          </a:p>
          <a:p>
            <a:pPr algn="ctr" rtl="1">
              <a:defRPr sz="1000"/>
            </a:pPr>
            <a:r>
              <a:rPr lang="es-MX" sz="700" b="1" i="0" strike="noStrike">
                <a:solidFill>
                  <a:schemeClr val="accent1">
                    <a:lumMod val="50000"/>
                  </a:schemeClr>
                </a:solidFill>
                <a:latin typeface="Arial"/>
                <a:cs typeface="Arial"/>
              </a:rPr>
              <a:t>Área Optima para </a:t>
            </a:r>
          </a:p>
          <a:p>
            <a:pPr algn="ctr" rtl="1">
              <a:defRPr sz="1000"/>
            </a:pPr>
            <a:r>
              <a:rPr lang="es-MX" sz="700" b="1" i="0" strike="noStrike">
                <a:solidFill>
                  <a:schemeClr val="accent1">
                    <a:lumMod val="50000"/>
                  </a:schemeClr>
                </a:solidFill>
                <a:latin typeface="Arial"/>
                <a:cs typeface="Arial"/>
              </a:rPr>
              <a:t>Grava 1/2" o </a:t>
            </a:r>
            <a:r>
              <a:rPr lang="es-MX" sz="700" b="1" i="0" strike="noStrike" baseline="0">
                <a:solidFill>
                  <a:schemeClr val="accent1">
                    <a:lumMod val="50000"/>
                  </a:schemeClr>
                </a:solidFill>
                <a:latin typeface="Arial"/>
                <a:cs typeface="Arial"/>
              </a:rPr>
              <a:t> </a:t>
            </a:r>
            <a:r>
              <a:rPr lang="es-MX" sz="700" b="1" i="0" strike="noStrike">
                <a:solidFill>
                  <a:schemeClr val="accent1">
                    <a:lumMod val="50000"/>
                  </a:schemeClr>
                </a:solidFill>
                <a:latin typeface="Arial"/>
                <a:cs typeface="Arial"/>
              </a:rPr>
              <a:t>menor</a:t>
            </a:r>
          </a:p>
        </xdr:txBody>
      </xdr:sp>
      <xdr:sp macro="" textlink="">
        <xdr:nvSpPr>
          <xdr:cNvPr id="4106" name="Text Box 10">
            <a:extLst>
              <a:ext uri="{FF2B5EF4-FFF2-40B4-BE49-F238E27FC236}">
                <a16:creationId xmlns:a16="http://schemas.microsoft.com/office/drawing/2014/main" id="{00000000-0008-0000-0900-00000A1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8" y="392"/>
            <a:ext cx="119" cy="2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18288" rIns="0" bIns="0" anchor="t" upright="1"/>
          <a:lstStyle/>
          <a:p>
            <a:pPr algn="ctr" rtl="1">
              <a:defRPr sz="1000"/>
            </a:pPr>
            <a:r>
              <a:rPr lang="es-MX" sz="700" b="1" i="0" strike="noStrike">
                <a:solidFill>
                  <a:schemeClr val="accent1">
                    <a:lumMod val="50000"/>
                  </a:schemeClr>
                </a:solidFill>
                <a:latin typeface="Arial"/>
                <a:cs typeface="Arial"/>
              </a:rPr>
              <a:t>Zona I </a:t>
            </a:r>
          </a:p>
          <a:p>
            <a:pPr algn="ctr" rtl="1">
              <a:defRPr sz="1000"/>
            </a:pPr>
            <a:r>
              <a:rPr lang="es-MX" sz="700" b="1" i="0" strike="noStrike">
                <a:solidFill>
                  <a:schemeClr val="accent1">
                    <a:lumMod val="50000"/>
                  </a:schemeClr>
                </a:solidFill>
                <a:latin typeface="Arial"/>
                <a:cs typeface="Arial"/>
              </a:rPr>
              <a:t>Segregable</a:t>
            </a:r>
          </a:p>
        </xdr:txBody>
      </xdr:sp>
      <xdr:sp macro="" textlink="">
        <xdr:nvSpPr>
          <xdr:cNvPr id="22536" name="Freeform 14">
            <a:extLst>
              <a:ext uri="{FF2B5EF4-FFF2-40B4-BE49-F238E27FC236}">
                <a16:creationId xmlns:a16="http://schemas.microsoft.com/office/drawing/2014/main" id="{00000000-0008-0000-0900-000008580000}"/>
              </a:ext>
            </a:extLst>
          </xdr:cNvPr>
          <xdr:cNvSpPr>
            <a:spLocks/>
          </xdr:cNvSpPr>
        </xdr:nvSpPr>
        <xdr:spPr bwMode="auto">
          <a:xfrm>
            <a:off x="240" y="302"/>
            <a:ext cx="106" cy="105"/>
          </a:xfrm>
          <a:custGeom>
            <a:avLst/>
            <a:gdLst>
              <a:gd name="T0" fmla="*/ 0 w 91"/>
              <a:gd name="T1" fmla="*/ 97 h 89"/>
              <a:gd name="T2" fmla="*/ 0 w 91"/>
              <a:gd name="T3" fmla="*/ 31 h 89"/>
              <a:gd name="T4" fmla="*/ 91 w 91"/>
              <a:gd name="T5" fmla="*/ 0 h 89"/>
              <a:gd name="T6" fmla="*/ 91 w 91"/>
              <a:gd name="T7" fmla="*/ 68 h 89"/>
              <a:gd name="T8" fmla="*/ 0 w 91"/>
              <a:gd name="T9" fmla="*/ 97 h 8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1"/>
              <a:gd name="T16" fmla="*/ 0 h 89"/>
              <a:gd name="T17" fmla="*/ 91 w 91"/>
              <a:gd name="T18" fmla="*/ 89 h 8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1" h="89">
                <a:moveTo>
                  <a:pt x="0" y="89"/>
                </a:moveTo>
                <a:lnTo>
                  <a:pt x="0" y="29"/>
                </a:lnTo>
                <a:lnTo>
                  <a:pt x="91" y="0"/>
                </a:lnTo>
                <a:lnTo>
                  <a:pt x="91" y="62"/>
                </a:lnTo>
                <a:lnTo>
                  <a:pt x="0" y="89"/>
                </a:lnTo>
                <a:close/>
              </a:path>
            </a:pathLst>
          </a:custGeom>
          <a:noFill/>
          <a:ln w="9525">
            <a:solidFill>
              <a:srgbClr val="000080"/>
            </a:solidFill>
            <a:round/>
            <a:headEnd/>
            <a:tailEnd/>
          </a:ln>
        </xdr:spPr>
      </xdr:sp>
      <xdr:grpSp>
        <xdr:nvGrpSpPr>
          <xdr:cNvPr id="22537" name="Group 6">
            <a:extLst>
              <a:ext uri="{FF2B5EF4-FFF2-40B4-BE49-F238E27FC236}">
                <a16:creationId xmlns:a16="http://schemas.microsoft.com/office/drawing/2014/main" id="{00000000-0008-0000-0900-000009580000}"/>
              </a:ext>
            </a:extLst>
          </xdr:cNvPr>
          <xdr:cNvGrpSpPr>
            <a:grpSpLocks/>
          </xdr:cNvGrpSpPr>
        </xdr:nvGrpSpPr>
        <xdr:grpSpPr bwMode="auto">
          <a:xfrm>
            <a:off x="115" y="242"/>
            <a:ext cx="395" cy="200"/>
            <a:chOff x="88" y="231"/>
            <a:chExt cx="396" cy="194"/>
          </a:xfrm>
        </xdr:grpSpPr>
        <xdr:sp macro="" textlink="">
          <xdr:nvSpPr>
            <xdr:cNvPr id="22538" name="Line 3">
              <a:extLst>
                <a:ext uri="{FF2B5EF4-FFF2-40B4-BE49-F238E27FC236}">
                  <a16:creationId xmlns:a16="http://schemas.microsoft.com/office/drawing/2014/main" id="{00000000-0008-0000-0900-00000A58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202" y="322"/>
              <a:ext cx="0" cy="103"/>
            </a:xfrm>
            <a:prstGeom prst="line">
              <a:avLst/>
            </a:prstGeom>
            <a:noFill/>
            <a:ln w="9525">
              <a:solidFill>
                <a:srgbClr val="3366FF"/>
              </a:solidFill>
              <a:prstDash val="dash"/>
              <a:round/>
              <a:headEnd/>
              <a:tailEnd/>
            </a:ln>
          </xdr:spPr>
        </xdr:sp>
        <xdr:sp macro="" textlink="">
          <xdr:nvSpPr>
            <xdr:cNvPr id="22539" name="Line 4">
              <a:extLst>
                <a:ext uri="{FF2B5EF4-FFF2-40B4-BE49-F238E27FC236}">
                  <a16:creationId xmlns:a16="http://schemas.microsoft.com/office/drawing/2014/main" id="{00000000-0008-0000-0900-00000B58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42" y="276"/>
              <a:ext cx="0" cy="108"/>
            </a:xfrm>
            <a:prstGeom prst="line">
              <a:avLst/>
            </a:prstGeom>
            <a:noFill/>
            <a:ln w="9525">
              <a:solidFill>
                <a:srgbClr val="3366FF"/>
              </a:solidFill>
              <a:prstDash val="dash"/>
              <a:round/>
              <a:headEnd/>
              <a:tailEnd/>
            </a:ln>
          </xdr:spPr>
        </xdr:sp>
        <xdr:sp macro="" textlink="">
          <xdr:nvSpPr>
            <xdr:cNvPr id="22540" name="Line 5">
              <a:extLst>
                <a:ext uri="{FF2B5EF4-FFF2-40B4-BE49-F238E27FC236}">
                  <a16:creationId xmlns:a16="http://schemas.microsoft.com/office/drawing/2014/main" id="{00000000-0008-0000-0900-00000C58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88" y="231"/>
              <a:ext cx="396" cy="127"/>
            </a:xfrm>
            <a:prstGeom prst="line">
              <a:avLst/>
            </a:prstGeom>
            <a:noFill/>
            <a:ln w="9525">
              <a:solidFill>
                <a:srgbClr val="3366FF"/>
              </a:solidFill>
              <a:prstDash val="dash"/>
              <a:round/>
              <a:headEnd/>
              <a:tailEnd/>
            </a:ln>
          </xdr:spPr>
        </xdr:sp>
      </xdr:grpSp>
      <xdr:sp macro="" textlink="">
        <xdr:nvSpPr>
          <xdr:cNvPr id="4114" name="Text Box 18">
            <a:extLst>
              <a:ext uri="{FF2B5EF4-FFF2-40B4-BE49-F238E27FC236}">
                <a16:creationId xmlns:a16="http://schemas.microsoft.com/office/drawing/2014/main" id="{00000000-0008-0000-0900-0000121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10" y="538"/>
            <a:ext cx="217" cy="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18288" rIns="0" bIns="0" anchor="t" upright="1"/>
          <a:lstStyle/>
          <a:p>
            <a:pPr algn="l" rtl="1">
              <a:defRPr sz="1000"/>
            </a:pPr>
            <a:r>
              <a:rPr lang="es-MX" sz="800" b="1" i="0" strike="noStrike">
                <a:solidFill>
                  <a:schemeClr val="accent1">
                    <a:lumMod val="50000"/>
                  </a:schemeClr>
                </a:solidFill>
                <a:latin typeface="Tahoma"/>
                <a:cs typeface="Tahoma"/>
              </a:rPr>
              <a:t>Factor Grosura</a:t>
            </a:r>
          </a:p>
        </xdr:txBody>
      </xdr:sp>
      <xdr:sp macro="" textlink="">
        <xdr:nvSpPr>
          <xdr:cNvPr id="4115" name="Text Box 19">
            <a:extLst>
              <a:ext uri="{FF2B5EF4-FFF2-40B4-BE49-F238E27FC236}">
                <a16:creationId xmlns:a16="http://schemas.microsoft.com/office/drawing/2014/main" id="{00000000-0008-0000-0900-0000131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3" y="316"/>
            <a:ext cx="23" cy="13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vert="vert270" wrap="square" lIns="27432" tIns="18288" rIns="0" bIns="0" anchor="t" upright="1"/>
          <a:lstStyle/>
          <a:p>
            <a:pPr algn="r" rtl="1">
              <a:defRPr sz="1000"/>
            </a:pPr>
            <a:r>
              <a:rPr lang="es-MX" sz="800" b="1" i="0" strike="noStrike">
                <a:solidFill>
                  <a:schemeClr val="accent1">
                    <a:lumMod val="50000"/>
                  </a:schemeClr>
                </a:solidFill>
                <a:latin typeface="Tahoma"/>
                <a:cs typeface="Tahoma"/>
              </a:rPr>
              <a:t>Factor Trabajabilidad</a:t>
            </a:r>
          </a:p>
        </xdr:txBody>
      </xdr:sp>
      <xdr:sp macro="" textlink="">
        <xdr:nvSpPr>
          <xdr:cNvPr id="4116" name="Text Box 20">
            <a:extLst>
              <a:ext uri="{FF2B5EF4-FFF2-40B4-BE49-F238E27FC236}">
                <a16:creationId xmlns:a16="http://schemas.microsoft.com/office/drawing/2014/main" id="{00000000-0008-0000-0900-0000141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33" y="219"/>
            <a:ext cx="319" cy="2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1">
              <a:defRPr sz="1000"/>
            </a:pPr>
            <a:r>
              <a:rPr lang="es-MX" sz="1000" b="1" i="0" strike="noStrike">
                <a:solidFill>
                  <a:schemeClr val="accent1">
                    <a:lumMod val="50000"/>
                  </a:schemeClr>
                </a:solidFill>
                <a:latin typeface="Arial"/>
                <a:cs typeface="Arial"/>
              </a:rPr>
              <a:t>Gráfico Factor Grosura/Trabajilidad</a:t>
            </a:r>
          </a:p>
        </xdr:txBody>
      </xdr:sp>
      <xdr:sp macro="" textlink="">
        <xdr:nvSpPr>
          <xdr:cNvPr id="4118" name="Text Box 22">
            <a:extLst>
              <a:ext uri="{FF2B5EF4-FFF2-40B4-BE49-F238E27FC236}">
                <a16:creationId xmlns:a16="http://schemas.microsoft.com/office/drawing/2014/main" id="{00000000-0008-0000-0900-0000161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59" y="330"/>
            <a:ext cx="93" cy="2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18288" rIns="0" bIns="0" anchor="t" upright="1"/>
          <a:lstStyle/>
          <a:p>
            <a:pPr algn="l" rtl="1">
              <a:defRPr sz="1000"/>
            </a:pPr>
            <a:r>
              <a:rPr lang="es-MX" sz="700" b="1" i="0" strike="noStrike">
                <a:solidFill>
                  <a:schemeClr val="accent1">
                    <a:lumMod val="50000"/>
                  </a:schemeClr>
                </a:solidFill>
                <a:latin typeface="Arial"/>
                <a:cs typeface="Arial"/>
              </a:rPr>
              <a:t>Área Optima para </a:t>
            </a:r>
          </a:p>
          <a:p>
            <a:pPr algn="l" rtl="1">
              <a:defRPr sz="1000"/>
            </a:pPr>
            <a:r>
              <a:rPr lang="es-MX" sz="700" b="1" i="0" strike="noStrike">
                <a:solidFill>
                  <a:schemeClr val="accent1">
                    <a:lumMod val="50000"/>
                  </a:schemeClr>
                </a:solidFill>
                <a:latin typeface="Arial"/>
                <a:cs typeface="Arial"/>
              </a:rPr>
              <a:t>Grava 1 1/2" o 3/4"</a:t>
            </a:r>
          </a:p>
        </xdr:txBody>
      </xdr:sp>
    </xdr:grpSp>
    <xdr:clientData/>
  </xdr:twoCellAnchor>
  <xdr:twoCellAnchor>
    <xdr:from>
      <xdr:col>1</xdr:col>
      <xdr:colOff>1337830</xdr:colOff>
      <xdr:row>15</xdr:row>
      <xdr:rowOff>35502</xdr:rowOff>
    </xdr:from>
    <xdr:to>
      <xdr:col>3</xdr:col>
      <xdr:colOff>199906</xdr:colOff>
      <xdr:row>16</xdr:row>
      <xdr:rowOff>161313</xdr:rowOff>
    </xdr:to>
    <xdr:sp macro="" textlink="">
      <xdr:nvSpPr>
        <xdr:cNvPr id="18" name="Text Box 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 txBox="1">
          <a:spLocks noChangeArrowheads="1"/>
        </xdr:cNvSpPr>
      </xdr:nvSpPr>
      <xdr:spPr bwMode="auto">
        <a:xfrm>
          <a:off x="1943966" y="2520661"/>
          <a:ext cx="1130758" cy="29033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ctr" rtl="1">
            <a:defRPr sz="1000"/>
          </a:pPr>
          <a:r>
            <a:rPr lang="es-MX" sz="700" b="1" i="0" strike="noStrike">
              <a:solidFill>
                <a:schemeClr val="accent1">
                  <a:lumMod val="50000"/>
                </a:schemeClr>
              </a:solidFill>
              <a:latin typeface="Arial"/>
              <a:cs typeface="Arial"/>
            </a:rPr>
            <a:t>Zona</a:t>
          </a:r>
          <a:r>
            <a:rPr lang="es-MX" sz="700" b="1" i="0" strike="noStrike" baseline="0">
              <a:solidFill>
                <a:schemeClr val="accent1">
                  <a:lumMod val="50000"/>
                </a:schemeClr>
              </a:solidFill>
              <a:latin typeface="Arial"/>
              <a:cs typeface="Arial"/>
            </a:rPr>
            <a:t> II</a:t>
          </a:r>
          <a:endParaRPr lang="es-MX" sz="700" b="1" i="0" strike="noStrike">
            <a:solidFill>
              <a:schemeClr val="accent1">
                <a:lumMod val="50000"/>
              </a:schemeClr>
            </a:solidFill>
            <a:latin typeface="Arial"/>
            <a:cs typeface="Arial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0</xdr:rowOff>
    </xdr:from>
    <xdr:to>
      <xdr:col>11</xdr:col>
      <xdr:colOff>0</xdr:colOff>
      <xdr:row>41</xdr:row>
      <xdr:rowOff>19050</xdr:rowOff>
    </xdr:to>
    <xdr:graphicFrame macro="">
      <xdr:nvGraphicFramePr>
        <xdr:cNvPr id="24577" name="Chart 1">
          <a:extLst>
            <a:ext uri="{FF2B5EF4-FFF2-40B4-BE49-F238E27FC236}">
              <a16:creationId xmlns:a16="http://schemas.microsoft.com/office/drawing/2014/main" id="{00000000-0008-0000-0A00-0000016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mex-my.sharepoint.com/Users/aponge/AppData/Local/Temp/notes1F4469/Diseno%20de%20mezclado%20CH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mex-my.sharepoint.com/1.%20PROJECTS/Pervious/Development/Mix%20design-AP/Pervious%20mix%20design%20tool-v03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mex-my.sharepoint.com/FERNANDO/STN/Iniciativas%20de%20ahorro/Curva%20integral/Curva%20integral%20v.1.1.xls%20SLP%20grava%2020%20bomb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RT "/>
      <sheetName val="MIX DESIGN"/>
      <sheetName val="Binder"/>
      <sheetName val="Admixtures"/>
      <sheetName val="Aggregates"/>
      <sheetName val="Fibres"/>
      <sheetName val="conversion"/>
    </sheetNames>
    <sheetDataSet>
      <sheetData sheetId="0" refreshError="1"/>
      <sheetData sheetId="1" refreshError="1"/>
      <sheetData sheetId="2"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  <cell r="N4" t="str">
            <v>CEM I</v>
          </cell>
        </row>
        <row r="5">
          <cell r="A5">
            <v>4</v>
          </cell>
          <cell r="N5" t="str">
            <v>CEM II</v>
          </cell>
        </row>
        <row r="6">
          <cell r="A6">
            <v>5</v>
          </cell>
          <cell r="N6" t="str">
            <v>CEM III</v>
          </cell>
        </row>
        <row r="7">
          <cell r="A7">
            <v>6</v>
          </cell>
          <cell r="N7" t="str">
            <v>CEM IV</v>
          </cell>
        </row>
        <row r="8">
          <cell r="A8">
            <v>7</v>
          </cell>
          <cell r="N8" t="str">
            <v>CEM V</v>
          </cell>
        </row>
        <row r="9">
          <cell r="A9">
            <v>8</v>
          </cell>
          <cell r="N9" t="str">
            <v>Fly Ash</v>
          </cell>
        </row>
        <row r="10">
          <cell r="A10">
            <v>9</v>
          </cell>
          <cell r="N10" t="str">
            <v>Slag</v>
          </cell>
        </row>
        <row r="11">
          <cell r="A11">
            <v>10</v>
          </cell>
          <cell r="N11" t="str">
            <v>Silica Fume</v>
          </cell>
        </row>
        <row r="12">
          <cell r="A12">
            <v>11</v>
          </cell>
          <cell r="N12" t="str">
            <v>Filler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</sheetData>
      <sheetData sheetId="3"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</sheetData>
      <sheetData sheetId="4"/>
      <sheetData sheetId="5"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</sheetData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RT "/>
      <sheetName val="Pervious MIX DESIGN"/>
      <sheetName val="Aggregates combination"/>
      <sheetName val="Binder"/>
      <sheetName val="Admixtures"/>
      <sheetName val="Fibres"/>
    </sheetNames>
    <sheetDataSet>
      <sheetData sheetId="0"/>
      <sheetData sheetId="1">
        <row r="5">
          <cell r="AA5">
            <v>0.15</v>
          </cell>
        </row>
        <row r="6">
          <cell r="AA6">
            <v>0.2</v>
          </cell>
        </row>
        <row r="7">
          <cell r="AA7">
            <v>0.25</v>
          </cell>
        </row>
        <row r="8">
          <cell r="AA8">
            <v>0.3</v>
          </cell>
        </row>
      </sheetData>
      <sheetData sheetId="2">
        <row r="2">
          <cell r="A2">
            <v>1</v>
          </cell>
        </row>
      </sheetData>
      <sheetData sheetId="3">
        <row r="2">
          <cell r="A2">
            <v>1</v>
          </cell>
        </row>
      </sheetData>
      <sheetData sheetId="4">
        <row r="2">
          <cell r="A2">
            <v>1</v>
          </cell>
        </row>
      </sheetData>
      <sheetData sheetId="5">
        <row r="2">
          <cell r="A2">
            <v>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° Diseño Mezcla"/>
      <sheetName val="2° Granulometrías"/>
      <sheetName val="3° Curva Integral"/>
      <sheetName val="4° Resumen"/>
      <sheetName val="Diseño"/>
      <sheetName val="Curva 045"/>
      <sheetName val="WF vrs CF"/>
      <sheetName val="Curva Distribución"/>
      <sheetName val="Consumos"/>
      <sheetName val="Convencional"/>
      <sheetName val="Resumen"/>
      <sheetName val="Granulometrías"/>
      <sheetName val="Curva Integral"/>
    </sheetNames>
    <sheetDataSet>
      <sheetData sheetId="0"/>
      <sheetData sheetId="1"/>
      <sheetData sheetId="2"/>
      <sheetData sheetId="3"/>
      <sheetData sheetId="4">
        <row r="12">
          <cell r="B12">
            <v>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18" Type="http://schemas.openxmlformats.org/officeDocument/2006/relationships/ctrlProp" Target="../ctrlProps/ctrlProp5.xml"/><Relationship Id="rId26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8.xml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4.xml"/><Relationship Id="rId25" Type="http://schemas.openxmlformats.org/officeDocument/2006/relationships/ctrlProp" Target="../ctrlProps/ctrlProp12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24" Type="http://schemas.openxmlformats.org/officeDocument/2006/relationships/ctrlProp" Target="../ctrlProps/ctrlProp11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2.xml"/><Relationship Id="rId23" Type="http://schemas.openxmlformats.org/officeDocument/2006/relationships/ctrlProp" Target="../ctrlProps/ctrlProp10.xml"/><Relationship Id="rId28" Type="http://schemas.openxmlformats.org/officeDocument/2006/relationships/comments" Target="../comments2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trlProp" Target="../ctrlProps/ctrlProp1.xml"/><Relationship Id="rId22" Type="http://schemas.openxmlformats.org/officeDocument/2006/relationships/ctrlProp" Target="../ctrlProps/ctrlProp9.xml"/><Relationship Id="rId27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7BFED-2F93-44AF-AF93-A9CF62E94567}">
  <sheetPr>
    <pageSetUpPr fitToPage="1"/>
  </sheetPr>
  <dimension ref="A1:AH1835"/>
  <sheetViews>
    <sheetView topLeftCell="A77" zoomScale="90" zoomScaleNormal="90" workbookViewId="0">
      <selection activeCell="E85" sqref="E85:I85"/>
    </sheetView>
  </sheetViews>
  <sheetFormatPr baseColWidth="10" defaultColWidth="9.26953125" defaultRowHeight="12.5" x14ac:dyDescent="0.25"/>
  <cols>
    <col min="1" max="1" width="19.7265625" style="731" customWidth="1"/>
    <col min="2" max="2" width="17.7265625" style="731" customWidth="1"/>
    <col min="3" max="3" width="21.7265625" style="731" customWidth="1"/>
    <col min="4" max="4" width="19.54296875" style="731" customWidth="1"/>
    <col min="5" max="5" width="17.7265625" style="731" customWidth="1"/>
    <col min="6" max="6" width="21.7265625" style="731" customWidth="1"/>
    <col min="7" max="7" width="19.54296875" style="731" customWidth="1"/>
    <col min="8" max="8" width="17.7265625" style="731" customWidth="1"/>
    <col min="9" max="9" width="20.7265625" style="731" customWidth="1"/>
    <col min="10" max="10" width="9.26953125" style="731"/>
    <col min="11" max="12" width="9.26953125" style="731" hidden="1" customWidth="1"/>
    <col min="13" max="13" width="11.453125" style="731" hidden="1" customWidth="1"/>
    <col min="14" max="14" width="46.453125" style="731" hidden="1" customWidth="1"/>
    <col min="15" max="15" width="11.453125" style="731" hidden="1" customWidth="1"/>
    <col min="16" max="16" width="45.453125" style="731" hidden="1" customWidth="1"/>
    <col min="17" max="17" width="11.453125" style="731" hidden="1" customWidth="1"/>
    <col min="18" max="18" width="36.7265625" style="731" hidden="1" customWidth="1"/>
    <col min="19" max="19" width="11.453125" style="731" hidden="1" customWidth="1"/>
    <col min="20" max="20" width="27" style="731" hidden="1" customWidth="1"/>
    <col min="21" max="21" width="11.453125" style="731" hidden="1" customWidth="1"/>
    <col min="22" max="22" width="39.26953125" style="731" hidden="1" customWidth="1"/>
    <col min="23" max="23" width="11.453125" style="731" hidden="1" customWidth="1"/>
    <col min="24" max="24" width="25.54296875" style="731" hidden="1" customWidth="1"/>
    <col min="25" max="25" width="11.453125" style="731" hidden="1" customWidth="1"/>
    <col min="26" max="26" width="13.453125" style="731" hidden="1" customWidth="1"/>
    <col min="27" max="27" width="11.453125" style="731" hidden="1" customWidth="1"/>
    <col min="28" max="28" width="49.26953125" style="731" hidden="1" customWidth="1"/>
    <col min="29" max="29" width="13.26953125" style="731" hidden="1" customWidth="1"/>
    <col min="30" max="30" width="56.54296875" style="731" hidden="1" customWidth="1"/>
    <col min="31" max="32" width="0" style="731" hidden="1" customWidth="1"/>
    <col min="33" max="16384" width="9.26953125" style="731"/>
  </cols>
  <sheetData>
    <row r="1" spans="1:30" ht="14.5" x14ac:dyDescent="0.35">
      <c r="A1" s="732"/>
      <c r="B1" s="733"/>
      <c r="C1" s="751"/>
      <c r="D1" s="753"/>
      <c r="E1" s="733"/>
      <c r="F1" s="733"/>
      <c r="G1" s="733"/>
      <c r="H1" s="733"/>
      <c r="I1" s="734"/>
      <c r="J1" s="748"/>
      <c r="K1" s="686"/>
      <c r="L1" s="686"/>
      <c r="M1" s="686" t="s">
        <v>347</v>
      </c>
      <c r="N1" s="687" t="s">
        <v>139</v>
      </c>
      <c r="O1" s="686" t="s">
        <v>347</v>
      </c>
      <c r="P1" s="687" t="s">
        <v>333</v>
      </c>
      <c r="Q1" s="686" t="s">
        <v>347</v>
      </c>
      <c r="R1" s="687" t="s">
        <v>280</v>
      </c>
      <c r="S1" s="686" t="s">
        <v>347</v>
      </c>
      <c r="T1" s="687" t="s">
        <v>348</v>
      </c>
      <c r="U1" s="686" t="s">
        <v>347</v>
      </c>
      <c r="V1" s="687" t="s">
        <v>349</v>
      </c>
      <c r="W1" s="686" t="s">
        <v>347</v>
      </c>
      <c r="X1" s="687" t="s">
        <v>350</v>
      </c>
      <c r="Y1" s="686" t="s">
        <v>347</v>
      </c>
      <c r="Z1" s="687" t="s">
        <v>28</v>
      </c>
      <c r="AA1" s="686" t="s">
        <v>347</v>
      </c>
      <c r="AB1" s="687" t="s">
        <v>351</v>
      </c>
      <c r="AC1" s="898" t="s">
        <v>1720</v>
      </c>
      <c r="AD1" s="897" t="s">
        <v>1719</v>
      </c>
    </row>
    <row r="2" spans="1:30" ht="14.5" x14ac:dyDescent="0.35">
      <c r="A2" s="735"/>
      <c r="C2" s="747"/>
      <c r="D2" s="754"/>
      <c r="I2" s="736"/>
      <c r="J2" s="748"/>
      <c r="K2" s="686"/>
      <c r="L2" s="686"/>
      <c r="M2" s="688" t="s">
        <v>352</v>
      </c>
      <c r="N2" s="688" t="s">
        <v>353</v>
      </c>
      <c r="O2" s="688" t="s">
        <v>354</v>
      </c>
      <c r="P2" s="689" t="s">
        <v>355</v>
      </c>
      <c r="Q2" s="688" t="s">
        <v>356</v>
      </c>
      <c r="R2" s="689" t="s">
        <v>1624</v>
      </c>
      <c r="S2" s="688" t="s">
        <v>357</v>
      </c>
      <c r="T2" s="689" t="s">
        <v>358</v>
      </c>
      <c r="U2" s="688" t="s">
        <v>359</v>
      </c>
      <c r="V2" s="689" t="s">
        <v>360</v>
      </c>
      <c r="W2" s="688" t="s">
        <v>361</v>
      </c>
      <c r="X2" s="688" t="s">
        <v>362</v>
      </c>
      <c r="Y2" s="688" t="s">
        <v>363</v>
      </c>
      <c r="Z2" s="688" t="s">
        <v>364</v>
      </c>
      <c r="AA2" s="688" t="s">
        <v>365</v>
      </c>
      <c r="AB2" s="688" t="s">
        <v>366</v>
      </c>
      <c r="AC2" s="900" t="s">
        <v>1722</v>
      </c>
      <c r="AD2" s="899" t="s">
        <v>1721</v>
      </c>
    </row>
    <row r="3" spans="1:30" ht="18" customHeight="1" x14ac:dyDescent="0.35">
      <c r="A3" s="735"/>
      <c r="C3" s="747"/>
      <c r="D3" s="1003" t="s">
        <v>367</v>
      </c>
      <c r="E3" s="1004"/>
      <c r="F3" s="1004"/>
      <c r="G3" s="1004"/>
      <c r="H3" s="1004"/>
      <c r="I3" s="1005"/>
      <c r="J3" s="748"/>
      <c r="K3" s="686"/>
      <c r="L3" s="686"/>
      <c r="M3" s="690" t="s">
        <v>368</v>
      </c>
      <c r="N3" s="690" t="s">
        <v>369</v>
      </c>
      <c r="O3" s="690" t="s">
        <v>354</v>
      </c>
      <c r="P3" s="691" t="s">
        <v>355</v>
      </c>
      <c r="Q3" s="690" t="s">
        <v>356</v>
      </c>
      <c r="R3" s="691" t="s">
        <v>1624</v>
      </c>
      <c r="S3" s="690" t="s">
        <v>370</v>
      </c>
      <c r="T3" s="691" t="s">
        <v>371</v>
      </c>
      <c r="U3" s="690" t="s">
        <v>372</v>
      </c>
      <c r="V3" s="691" t="s">
        <v>373</v>
      </c>
      <c r="W3" s="690" t="s">
        <v>374</v>
      </c>
      <c r="X3" s="690" t="s">
        <v>375</v>
      </c>
      <c r="Y3" s="690" t="s">
        <v>376</v>
      </c>
      <c r="Z3" s="690" t="s">
        <v>377</v>
      </c>
      <c r="AA3" s="690" t="s">
        <v>378</v>
      </c>
      <c r="AB3" s="690" t="s">
        <v>379</v>
      </c>
      <c r="AC3" s="902" t="s">
        <v>1724</v>
      </c>
      <c r="AD3" s="901" t="s">
        <v>1723</v>
      </c>
    </row>
    <row r="4" spans="1:30" ht="12.75" customHeight="1" x14ac:dyDescent="0.35">
      <c r="A4" s="735"/>
      <c r="C4" s="747"/>
      <c r="D4" s="1003"/>
      <c r="E4" s="1004"/>
      <c r="F4" s="1004"/>
      <c r="G4" s="1004"/>
      <c r="H4" s="1004"/>
      <c r="I4" s="1005"/>
      <c r="J4" s="748"/>
      <c r="K4" s="686"/>
      <c r="L4" s="686"/>
      <c r="M4" s="688" t="s">
        <v>342</v>
      </c>
      <c r="N4" s="688" t="s">
        <v>380</v>
      </c>
      <c r="O4" s="688" t="s">
        <v>381</v>
      </c>
      <c r="P4" s="689" t="s">
        <v>382</v>
      </c>
      <c r="Q4" s="688" t="s">
        <v>383</v>
      </c>
      <c r="R4" s="689" t="s">
        <v>1625</v>
      </c>
      <c r="S4" s="688" t="s">
        <v>384</v>
      </c>
      <c r="T4" s="689" t="s">
        <v>385</v>
      </c>
      <c r="U4" s="688" t="s">
        <v>386</v>
      </c>
      <c r="V4" s="689" t="s">
        <v>387</v>
      </c>
      <c r="W4" s="688" t="s">
        <v>388</v>
      </c>
      <c r="X4" s="688" t="s">
        <v>389</v>
      </c>
      <c r="Y4" s="688" t="s">
        <v>390</v>
      </c>
      <c r="Z4" s="688" t="s">
        <v>391</v>
      </c>
      <c r="AA4" s="688" t="s">
        <v>392</v>
      </c>
      <c r="AB4" s="688" t="s">
        <v>393</v>
      </c>
      <c r="AC4" s="900" t="s">
        <v>1726</v>
      </c>
      <c r="AD4" s="899" t="s">
        <v>1725</v>
      </c>
    </row>
    <row r="5" spans="1:30" ht="15.75" customHeight="1" x14ac:dyDescent="0.35">
      <c r="A5" s="735"/>
      <c r="C5" s="747"/>
      <c r="D5" s="1003"/>
      <c r="E5" s="1004"/>
      <c r="F5" s="1004"/>
      <c r="G5" s="1004"/>
      <c r="H5" s="1004"/>
      <c r="I5" s="1005"/>
      <c r="J5" s="748"/>
      <c r="K5" s="686"/>
      <c r="L5" s="686"/>
      <c r="M5" s="690" t="s">
        <v>394</v>
      </c>
      <c r="N5" s="690" t="s">
        <v>395</v>
      </c>
      <c r="O5" s="690" t="s">
        <v>396</v>
      </c>
      <c r="P5" s="691" t="s">
        <v>397</v>
      </c>
      <c r="Q5" s="690" t="s">
        <v>383</v>
      </c>
      <c r="R5" s="691" t="s">
        <v>1625</v>
      </c>
      <c r="S5" s="690" t="s">
        <v>398</v>
      </c>
      <c r="T5" s="691" t="s">
        <v>399</v>
      </c>
      <c r="U5" s="690" t="s">
        <v>400</v>
      </c>
      <c r="V5" s="691" t="s">
        <v>401</v>
      </c>
      <c r="W5" s="690" t="s">
        <v>402</v>
      </c>
      <c r="X5" s="690" t="s">
        <v>403</v>
      </c>
      <c r="Y5" s="690" t="s">
        <v>404</v>
      </c>
      <c r="Z5" s="690" t="s">
        <v>405</v>
      </c>
      <c r="AA5" s="690" t="s">
        <v>406</v>
      </c>
      <c r="AB5" s="690" t="s">
        <v>407</v>
      </c>
      <c r="AC5" s="902" t="s">
        <v>1728</v>
      </c>
      <c r="AD5" s="901" t="s">
        <v>1727</v>
      </c>
    </row>
    <row r="6" spans="1:30" ht="15" thickBot="1" x14ac:dyDescent="0.4">
      <c r="A6" s="737"/>
      <c r="B6" s="738"/>
      <c r="C6" s="749"/>
      <c r="D6" s="755"/>
      <c r="E6" s="738"/>
      <c r="F6" s="738"/>
      <c r="G6" s="738"/>
      <c r="H6" s="738"/>
      <c r="I6" s="739"/>
      <c r="J6" s="748"/>
      <c r="K6" s="686" t="s">
        <v>408</v>
      </c>
      <c r="L6" s="686"/>
      <c r="M6" s="688" t="s">
        <v>409</v>
      </c>
      <c r="N6" s="688" t="s">
        <v>410</v>
      </c>
      <c r="O6" s="688" t="s">
        <v>335</v>
      </c>
      <c r="P6" s="689" t="s">
        <v>411</v>
      </c>
      <c r="Q6" s="688" t="s">
        <v>412</v>
      </c>
      <c r="R6" s="689" t="s">
        <v>1626</v>
      </c>
      <c r="S6" s="688" t="s">
        <v>413</v>
      </c>
      <c r="T6" s="689" t="s">
        <v>414</v>
      </c>
      <c r="U6" s="688" t="s">
        <v>415</v>
      </c>
      <c r="V6" s="689" t="s">
        <v>416</v>
      </c>
      <c r="W6" s="688" t="s">
        <v>417</v>
      </c>
      <c r="X6" s="688" t="s">
        <v>418</v>
      </c>
      <c r="Y6" s="796"/>
      <c r="Z6" s="686"/>
      <c r="AA6" s="688" t="s">
        <v>419</v>
      </c>
      <c r="AB6" s="688" t="s">
        <v>420</v>
      </c>
      <c r="AC6" s="900" t="s">
        <v>1730</v>
      </c>
      <c r="AD6" s="899" t="s">
        <v>1729</v>
      </c>
    </row>
    <row r="7" spans="1:30" ht="16" thickBot="1" x14ac:dyDescent="0.4">
      <c r="A7" s="1061" t="s">
        <v>5390</v>
      </c>
      <c r="B7" s="1062"/>
      <c r="C7" s="1062"/>
      <c r="D7" s="1062"/>
      <c r="E7" s="1062"/>
      <c r="F7" s="1062"/>
      <c r="G7" s="1062"/>
      <c r="H7" s="1062"/>
      <c r="I7" s="1063"/>
      <c r="K7" s="686" t="s">
        <v>421</v>
      </c>
      <c r="L7" s="686"/>
      <c r="M7" s="690" t="s">
        <v>422</v>
      </c>
      <c r="N7" s="690" t="s">
        <v>423</v>
      </c>
      <c r="O7" s="690" t="s">
        <v>335</v>
      </c>
      <c r="P7" s="691" t="s">
        <v>411</v>
      </c>
      <c r="Q7" s="690" t="s">
        <v>412</v>
      </c>
      <c r="R7" s="691" t="s">
        <v>1626</v>
      </c>
      <c r="S7" s="690" t="s">
        <v>424</v>
      </c>
      <c r="T7" s="691" t="s">
        <v>425</v>
      </c>
      <c r="U7" s="690" t="s">
        <v>426</v>
      </c>
      <c r="V7" s="691" t="s">
        <v>427</v>
      </c>
      <c r="W7" s="690" t="s">
        <v>428</v>
      </c>
      <c r="X7" s="690" t="s">
        <v>429</v>
      </c>
      <c r="Y7" s="796" t="s">
        <v>1611</v>
      </c>
      <c r="Z7" s="686"/>
      <c r="AA7" s="690" t="s">
        <v>430</v>
      </c>
      <c r="AB7" s="690" t="s">
        <v>431</v>
      </c>
      <c r="AC7" s="902" t="s">
        <v>1732</v>
      </c>
      <c r="AD7" s="901" t="s">
        <v>1731</v>
      </c>
    </row>
    <row r="8" spans="1:30" ht="16" thickBot="1" x14ac:dyDescent="0.4">
      <c r="A8" s="1015" t="s">
        <v>5415</v>
      </c>
      <c r="B8" s="1016"/>
      <c r="C8" s="1016"/>
      <c r="D8" s="1016"/>
      <c r="E8" s="1016"/>
      <c r="F8" s="1016"/>
      <c r="G8" s="1016"/>
      <c r="H8" s="1016"/>
      <c r="I8" s="1017"/>
      <c r="J8" s="748"/>
      <c r="K8" s="686"/>
      <c r="L8" s="686"/>
      <c r="M8" s="688" t="s">
        <v>433</v>
      </c>
      <c r="N8" s="688" t="s">
        <v>434</v>
      </c>
      <c r="O8" s="688" t="s">
        <v>435</v>
      </c>
      <c r="P8" s="689" t="s">
        <v>436</v>
      </c>
      <c r="Q8" s="688" t="s">
        <v>437</v>
      </c>
      <c r="R8" s="689" t="s">
        <v>1627</v>
      </c>
      <c r="S8" s="688" t="s">
        <v>438</v>
      </c>
      <c r="T8" s="689" t="s">
        <v>439</v>
      </c>
      <c r="U8" s="688" t="s">
        <v>440</v>
      </c>
      <c r="V8" s="689" t="s">
        <v>441</v>
      </c>
      <c r="W8" s="688" t="s">
        <v>442</v>
      </c>
      <c r="X8" s="688" t="s">
        <v>443</v>
      </c>
      <c r="Y8" s="796" t="s">
        <v>1613</v>
      </c>
      <c r="Z8" s="686"/>
      <c r="AA8" s="688" t="s">
        <v>444</v>
      </c>
      <c r="AB8" s="688" t="s">
        <v>445</v>
      </c>
      <c r="AC8" s="900" t="s">
        <v>1734</v>
      </c>
      <c r="AD8" s="899" t="s">
        <v>1733</v>
      </c>
    </row>
    <row r="9" spans="1:30" ht="14.5" x14ac:dyDescent="0.35">
      <c r="A9" s="816" t="s">
        <v>432</v>
      </c>
      <c r="B9" s="1006" t="s">
        <v>5431</v>
      </c>
      <c r="C9" s="1007"/>
      <c r="D9" s="1007"/>
      <c r="E9" s="1007"/>
      <c r="F9" s="1007"/>
      <c r="G9" s="1007"/>
      <c r="H9" s="1007"/>
      <c r="I9" s="1008"/>
      <c r="J9" s="748"/>
      <c r="K9" s="686" t="s">
        <v>447</v>
      </c>
      <c r="L9" s="686"/>
      <c r="M9" s="690" t="s">
        <v>448</v>
      </c>
      <c r="N9" s="690" t="s">
        <v>449</v>
      </c>
      <c r="O9" s="690" t="s">
        <v>450</v>
      </c>
      <c r="P9" s="691" t="s">
        <v>451</v>
      </c>
      <c r="Q9" s="690" t="s">
        <v>437</v>
      </c>
      <c r="R9" s="691" t="s">
        <v>1627</v>
      </c>
      <c r="S9" s="690" t="s">
        <v>452</v>
      </c>
      <c r="T9" s="691" t="s">
        <v>453</v>
      </c>
      <c r="U9" s="690" t="s">
        <v>454</v>
      </c>
      <c r="V9" s="691" t="s">
        <v>455</v>
      </c>
      <c r="W9" s="690" t="s">
        <v>456</v>
      </c>
      <c r="X9" s="690" t="s">
        <v>457</v>
      </c>
      <c r="Y9" s="686"/>
      <c r="Z9" s="686"/>
      <c r="AA9" s="690" t="s">
        <v>458</v>
      </c>
      <c r="AB9" s="690" t="s">
        <v>366</v>
      </c>
      <c r="AC9" s="902" t="s">
        <v>1736</v>
      </c>
      <c r="AD9" s="901" t="s">
        <v>1735</v>
      </c>
    </row>
    <row r="10" spans="1:30" ht="14.5" x14ac:dyDescent="0.35">
      <c r="A10" s="817" t="s">
        <v>446</v>
      </c>
      <c r="B10" s="1009" t="s">
        <v>5431</v>
      </c>
      <c r="C10" s="1010"/>
      <c r="D10" s="1010"/>
      <c r="E10" s="1010"/>
      <c r="F10" s="1010"/>
      <c r="G10" s="1010"/>
      <c r="H10" s="1010"/>
      <c r="I10" s="1011"/>
      <c r="J10" s="748"/>
      <c r="K10" s="686" t="s">
        <v>460</v>
      </c>
      <c r="L10" s="686"/>
      <c r="M10" s="688" t="s">
        <v>461</v>
      </c>
      <c r="N10" s="688" t="s">
        <v>462</v>
      </c>
      <c r="O10" s="688" t="s">
        <v>463</v>
      </c>
      <c r="P10" s="689" t="s">
        <v>464</v>
      </c>
      <c r="Q10" s="688" t="s">
        <v>465</v>
      </c>
      <c r="R10" s="689" t="s">
        <v>1628</v>
      </c>
      <c r="S10" s="688" t="s">
        <v>466</v>
      </c>
      <c r="T10" s="689" t="s">
        <v>467</v>
      </c>
      <c r="U10" s="688" t="s">
        <v>468</v>
      </c>
      <c r="V10" s="689" t="s">
        <v>469</v>
      </c>
      <c r="W10" s="796"/>
      <c r="X10" s="686"/>
      <c r="Y10" s="686"/>
      <c r="Z10" s="686"/>
      <c r="AA10" s="688" t="s">
        <v>470</v>
      </c>
      <c r="AB10" s="688" t="s">
        <v>471</v>
      </c>
      <c r="AC10" s="900" t="s">
        <v>1738</v>
      </c>
      <c r="AD10" s="899" t="s">
        <v>1737</v>
      </c>
    </row>
    <row r="11" spans="1:30" ht="15" thickBot="1" x14ac:dyDescent="0.4">
      <c r="A11" s="818" t="s">
        <v>459</v>
      </c>
      <c r="B11" s="1012" t="s">
        <v>5430</v>
      </c>
      <c r="C11" s="1013"/>
      <c r="D11" s="1013"/>
      <c r="E11" s="1013"/>
      <c r="F11" s="1013"/>
      <c r="G11" s="1013"/>
      <c r="H11" s="1013"/>
      <c r="I11" s="1014"/>
      <c r="K11" s="686" t="s">
        <v>472</v>
      </c>
      <c r="L11" s="686"/>
      <c r="M11" s="690" t="s">
        <v>473</v>
      </c>
      <c r="N11" s="690" t="s">
        <v>474</v>
      </c>
      <c r="O11" s="690" t="s">
        <v>463</v>
      </c>
      <c r="P11" s="691" t="s">
        <v>475</v>
      </c>
      <c r="Q11" s="690" t="s">
        <v>465</v>
      </c>
      <c r="R11" s="691" t="s">
        <v>1628</v>
      </c>
      <c r="S11" s="690" t="s">
        <v>476</v>
      </c>
      <c r="T11" s="691" t="s">
        <v>477</v>
      </c>
      <c r="U11" s="690" t="s">
        <v>478</v>
      </c>
      <c r="V11" s="691" t="s">
        <v>479</v>
      </c>
      <c r="W11" s="796" t="s">
        <v>1611</v>
      </c>
      <c r="X11" s="686"/>
      <c r="Y11" s="686"/>
      <c r="Z11" s="686"/>
      <c r="AA11" s="690" t="s">
        <v>480</v>
      </c>
      <c r="AB11" s="690" t="s">
        <v>481</v>
      </c>
      <c r="AC11" s="902" t="s">
        <v>1740</v>
      </c>
      <c r="AD11" s="901" t="s">
        <v>1739</v>
      </c>
    </row>
    <row r="12" spans="1:30" ht="16" thickBot="1" x14ac:dyDescent="0.4">
      <c r="A12" s="1015" t="s">
        <v>5416</v>
      </c>
      <c r="B12" s="1016"/>
      <c r="C12" s="1016"/>
      <c r="D12" s="1016"/>
      <c r="E12" s="1016"/>
      <c r="F12" s="1016"/>
      <c r="G12" s="1016"/>
      <c r="H12" s="1016"/>
      <c r="I12" s="1017"/>
      <c r="J12" s="748"/>
      <c r="K12" s="686"/>
      <c r="L12" s="686"/>
      <c r="M12" s="688" t="s">
        <v>482</v>
      </c>
      <c r="N12" s="688" t="s">
        <v>483</v>
      </c>
      <c r="O12" s="688" t="s">
        <v>484</v>
      </c>
      <c r="P12" s="689" t="s">
        <v>485</v>
      </c>
      <c r="Q12" s="688" t="s">
        <v>486</v>
      </c>
      <c r="R12" s="689" t="s">
        <v>1629</v>
      </c>
      <c r="S12" s="688" t="s">
        <v>487</v>
      </c>
      <c r="T12" s="689" t="s">
        <v>488</v>
      </c>
      <c r="U12" s="688" t="s">
        <v>489</v>
      </c>
      <c r="V12" s="689" t="s">
        <v>490</v>
      </c>
      <c r="W12" s="686"/>
      <c r="X12" s="686"/>
      <c r="Y12" s="686"/>
      <c r="Z12" s="686"/>
      <c r="AA12" s="688" t="s">
        <v>491</v>
      </c>
      <c r="AB12" s="688" t="s">
        <v>492</v>
      </c>
      <c r="AC12" s="900" t="s">
        <v>1742</v>
      </c>
      <c r="AD12" s="899" t="s">
        <v>1741</v>
      </c>
    </row>
    <row r="13" spans="1:30" ht="14.5" x14ac:dyDescent="0.35">
      <c r="A13" s="1018" t="s">
        <v>493</v>
      </c>
      <c r="B13" s="1019"/>
      <c r="C13" s="1020">
        <v>4725</v>
      </c>
      <c r="D13" s="1020"/>
      <c r="E13" s="1019" t="s">
        <v>494</v>
      </c>
      <c r="F13" s="1019"/>
      <c r="G13" s="1021">
        <v>20</v>
      </c>
      <c r="H13" s="1022"/>
      <c r="I13" s="1023"/>
      <c r="J13" s="748"/>
      <c r="K13" s="686"/>
      <c r="L13" s="686"/>
      <c r="M13" s="690" t="s">
        <v>495</v>
      </c>
      <c r="N13" s="690" t="s">
        <v>496</v>
      </c>
      <c r="O13" s="690" t="s">
        <v>497</v>
      </c>
      <c r="P13" s="691" t="s">
        <v>498</v>
      </c>
      <c r="Q13" s="690" t="s">
        <v>336</v>
      </c>
      <c r="R13" s="691" t="s">
        <v>1630</v>
      </c>
      <c r="S13" s="690" t="s">
        <v>499</v>
      </c>
      <c r="T13" s="691" t="s">
        <v>500</v>
      </c>
      <c r="U13" s="690" t="s">
        <v>501</v>
      </c>
      <c r="V13" s="691" t="s">
        <v>502</v>
      </c>
      <c r="W13" s="686"/>
      <c r="X13" s="686"/>
      <c r="Y13" s="686"/>
      <c r="Z13" s="686"/>
      <c r="AA13" s="690" t="s">
        <v>503</v>
      </c>
      <c r="AB13" s="690" t="s">
        <v>504</v>
      </c>
      <c r="AC13" s="902" t="s">
        <v>1744</v>
      </c>
      <c r="AD13" s="901" t="s">
        <v>1743</v>
      </c>
    </row>
    <row r="14" spans="1:30" ht="15" thickBot="1" x14ac:dyDescent="0.4">
      <c r="A14" s="1037" t="s">
        <v>505</v>
      </c>
      <c r="B14" s="1038"/>
      <c r="C14" s="1038"/>
      <c r="D14" s="1039">
        <v>1000</v>
      </c>
      <c r="E14" s="1039"/>
      <c r="F14" s="1040" t="s">
        <v>506</v>
      </c>
      <c r="G14" s="1041"/>
      <c r="H14" s="1042" t="s">
        <v>421</v>
      </c>
      <c r="I14" s="1043"/>
      <c r="J14" s="748"/>
      <c r="K14" s="686"/>
      <c r="L14" s="686"/>
      <c r="M14" s="688" t="s">
        <v>507</v>
      </c>
      <c r="N14" s="688" t="s">
        <v>508</v>
      </c>
      <c r="O14" s="688" t="s">
        <v>509</v>
      </c>
      <c r="P14" s="689" t="s">
        <v>510</v>
      </c>
      <c r="Q14" s="688" t="s">
        <v>336</v>
      </c>
      <c r="R14" s="689" t="s">
        <v>1630</v>
      </c>
      <c r="S14" s="688" t="s">
        <v>511</v>
      </c>
      <c r="T14" s="689" t="s">
        <v>512</v>
      </c>
      <c r="U14" s="688" t="s">
        <v>513</v>
      </c>
      <c r="V14" s="689" t="s">
        <v>514</v>
      </c>
      <c r="W14" s="686"/>
      <c r="X14" s="686"/>
      <c r="Y14" s="686"/>
      <c r="Z14" s="686"/>
      <c r="AA14" s="688" t="s">
        <v>515</v>
      </c>
      <c r="AB14" s="688" t="s">
        <v>516</v>
      </c>
      <c r="AC14" s="900" t="s">
        <v>1746</v>
      </c>
      <c r="AD14" s="899" t="s">
        <v>1745</v>
      </c>
    </row>
    <row r="15" spans="1:30" ht="16" thickBot="1" x14ac:dyDescent="0.4">
      <c r="A15" s="1015" t="s">
        <v>5417</v>
      </c>
      <c r="B15" s="1016"/>
      <c r="C15" s="1016"/>
      <c r="D15" s="1016"/>
      <c r="E15" s="1016"/>
      <c r="F15" s="1016"/>
      <c r="G15" s="1016"/>
      <c r="H15" s="1016"/>
      <c r="I15" s="1017"/>
      <c r="J15" s="748"/>
      <c r="K15" s="686"/>
      <c r="L15" s="686"/>
      <c r="M15" s="690" t="s">
        <v>517</v>
      </c>
      <c r="N15" s="690" t="s">
        <v>518</v>
      </c>
      <c r="O15" s="690" t="s">
        <v>519</v>
      </c>
      <c r="P15" s="691" t="s">
        <v>520</v>
      </c>
      <c r="Q15" s="690" t="s">
        <v>521</v>
      </c>
      <c r="R15" s="691" t="s">
        <v>1631</v>
      </c>
      <c r="S15" s="690" t="s">
        <v>522</v>
      </c>
      <c r="T15" s="691" t="s">
        <v>523</v>
      </c>
      <c r="U15" s="690" t="s">
        <v>524</v>
      </c>
      <c r="V15" s="691" t="s">
        <v>525</v>
      </c>
      <c r="W15" s="686"/>
      <c r="X15" s="686"/>
      <c r="Y15" s="686"/>
      <c r="Z15" s="686"/>
      <c r="AA15" s="690" t="s">
        <v>526</v>
      </c>
      <c r="AB15" s="690" t="s">
        <v>527</v>
      </c>
      <c r="AC15" s="902" t="s">
        <v>1748</v>
      </c>
      <c r="AD15" s="901" t="s">
        <v>1747</v>
      </c>
    </row>
    <row r="16" spans="1:30" ht="14.5" x14ac:dyDescent="0.35">
      <c r="A16" s="1049" t="s">
        <v>528</v>
      </c>
      <c r="B16" s="1050"/>
      <c r="C16" s="1055"/>
      <c r="D16" s="1056">
        <v>2.5</v>
      </c>
      <c r="E16" s="1057"/>
      <c r="F16" s="791" t="s">
        <v>529</v>
      </c>
      <c r="G16" s="1058">
        <v>2.5</v>
      </c>
      <c r="H16" s="1059"/>
      <c r="I16" s="1060"/>
      <c r="J16" s="748"/>
      <c r="K16" s="686"/>
      <c r="L16" s="686"/>
      <c r="M16" s="688" t="s">
        <v>530</v>
      </c>
      <c r="N16" s="688" t="s">
        <v>531</v>
      </c>
      <c r="O16" s="688" t="s">
        <v>532</v>
      </c>
      <c r="P16" s="689" t="s">
        <v>533</v>
      </c>
      <c r="Q16" s="688" t="s">
        <v>521</v>
      </c>
      <c r="R16" s="689" t="s">
        <v>1631</v>
      </c>
      <c r="S16" s="688" t="s">
        <v>534</v>
      </c>
      <c r="T16" s="689" t="s">
        <v>535</v>
      </c>
      <c r="U16" s="688" t="s">
        <v>536</v>
      </c>
      <c r="V16" s="689" t="s">
        <v>537</v>
      </c>
      <c r="W16" s="686"/>
      <c r="X16" s="686"/>
      <c r="Y16" s="686"/>
      <c r="Z16" s="686"/>
      <c r="AA16" s="688" t="s">
        <v>538</v>
      </c>
      <c r="AB16" s="688" t="s">
        <v>539</v>
      </c>
      <c r="AC16" s="900" t="s">
        <v>1750</v>
      </c>
      <c r="AD16" s="899" t="s">
        <v>1749</v>
      </c>
    </row>
    <row r="17" spans="1:30" ht="14.5" x14ac:dyDescent="0.35">
      <c r="A17" s="1024" t="s">
        <v>5419</v>
      </c>
      <c r="B17" s="1025"/>
      <c r="C17" s="1025"/>
      <c r="D17" s="1025"/>
      <c r="E17" s="1025"/>
      <c r="F17" s="1025"/>
      <c r="G17" s="992">
        <f>(G16*100)/G13</f>
        <v>12.5</v>
      </c>
      <c r="H17" s="1026" t="str">
        <f>IF(G17&gt;24,"No cumple","Cumple")</f>
        <v>Cumple</v>
      </c>
      <c r="I17" s="1027"/>
      <c r="J17" s="748"/>
      <c r="K17" s="686"/>
      <c r="L17" s="686"/>
      <c r="M17" s="690" t="s">
        <v>540</v>
      </c>
      <c r="N17" s="690" t="s">
        <v>541</v>
      </c>
      <c r="O17" s="690" t="s">
        <v>542</v>
      </c>
      <c r="P17" s="691" t="s">
        <v>543</v>
      </c>
      <c r="Q17" s="690" t="s">
        <v>521</v>
      </c>
      <c r="R17" s="691" t="s">
        <v>1631</v>
      </c>
      <c r="S17" s="690" t="s">
        <v>544</v>
      </c>
      <c r="T17" s="691" t="s">
        <v>545</v>
      </c>
      <c r="U17" s="690" t="s">
        <v>546</v>
      </c>
      <c r="V17" s="691" t="s">
        <v>547</v>
      </c>
      <c r="W17" s="686"/>
      <c r="X17" s="686"/>
      <c r="Y17" s="686"/>
      <c r="Z17" s="686"/>
      <c r="AA17" s="690" t="s">
        <v>548</v>
      </c>
      <c r="AB17" s="690" t="s">
        <v>549</v>
      </c>
      <c r="AC17" s="902" t="s">
        <v>1752</v>
      </c>
      <c r="AD17" s="901" t="s">
        <v>1751</v>
      </c>
    </row>
    <row r="18" spans="1:30" ht="14.5" x14ac:dyDescent="0.35">
      <c r="A18" s="1028" t="s">
        <v>5420</v>
      </c>
      <c r="B18" s="1029"/>
      <c r="C18" s="1029"/>
      <c r="D18" s="1029"/>
      <c r="E18" s="1029"/>
      <c r="F18" s="1029"/>
      <c r="G18" s="926">
        <f>D16/G16</f>
        <v>1</v>
      </c>
      <c r="H18" s="1030" t="str">
        <f>IF(G18&gt;1.44,"No cumple",(IF(G18&lt;0.7,"No cumple","Cumple")))</f>
        <v>Cumple</v>
      </c>
      <c r="I18" s="1031"/>
      <c r="J18" s="748"/>
      <c r="K18" s="686"/>
      <c r="L18" s="686"/>
      <c r="M18" s="688" t="s">
        <v>550</v>
      </c>
      <c r="N18" s="688" t="s">
        <v>551</v>
      </c>
      <c r="O18" s="688" t="s">
        <v>552</v>
      </c>
      <c r="P18" s="689" t="s">
        <v>553</v>
      </c>
      <c r="Q18" s="688" t="s">
        <v>554</v>
      </c>
      <c r="R18" s="689" t="s">
        <v>1632</v>
      </c>
      <c r="S18" s="688" t="s">
        <v>555</v>
      </c>
      <c r="T18" s="689" t="s">
        <v>556</v>
      </c>
      <c r="U18" s="688" t="s">
        <v>557</v>
      </c>
      <c r="V18" s="689" t="s">
        <v>558</v>
      </c>
      <c r="W18" s="686"/>
      <c r="X18" s="686"/>
      <c r="Y18" s="686"/>
      <c r="Z18" s="686"/>
      <c r="AA18" s="688" t="s">
        <v>559</v>
      </c>
      <c r="AB18" s="688" t="s">
        <v>560</v>
      </c>
      <c r="AC18" s="900" t="s">
        <v>1754</v>
      </c>
      <c r="AD18" s="899" t="s">
        <v>1753</v>
      </c>
    </row>
    <row r="19" spans="1:30" ht="15" thickBot="1" x14ac:dyDescent="0.4">
      <c r="A19" s="1032" t="s">
        <v>5389</v>
      </c>
      <c r="B19" s="1033"/>
      <c r="C19" s="1033"/>
      <c r="D19" s="1033"/>
      <c r="E19" s="1033"/>
      <c r="F19" s="1033"/>
      <c r="G19" s="1034" t="s">
        <v>421</v>
      </c>
      <c r="H19" s="1035"/>
      <c r="I19" s="1036"/>
      <c r="J19" s="748"/>
      <c r="K19" s="686"/>
      <c r="L19" s="686"/>
      <c r="M19" s="690" t="s">
        <v>561</v>
      </c>
      <c r="N19" s="690" t="s">
        <v>562</v>
      </c>
      <c r="O19" s="690" t="s">
        <v>343</v>
      </c>
      <c r="P19" s="691" t="s">
        <v>563</v>
      </c>
      <c r="Q19" s="690" t="s">
        <v>346</v>
      </c>
      <c r="R19" s="691" t="s">
        <v>1633</v>
      </c>
      <c r="S19" s="690" t="s">
        <v>564</v>
      </c>
      <c r="T19" s="691" t="s">
        <v>565</v>
      </c>
      <c r="U19" s="690" t="s">
        <v>566</v>
      </c>
      <c r="V19" s="691" t="s">
        <v>567</v>
      </c>
      <c r="W19" s="686"/>
      <c r="X19" s="686"/>
      <c r="Y19" s="686"/>
      <c r="Z19" s="686"/>
      <c r="AA19" s="690" t="s">
        <v>568</v>
      </c>
      <c r="AB19" s="690" t="s">
        <v>569</v>
      </c>
      <c r="AC19" s="902" t="s">
        <v>1756</v>
      </c>
      <c r="AD19" s="901" t="s">
        <v>1755</v>
      </c>
    </row>
    <row r="20" spans="1:30" ht="16" thickBot="1" x14ac:dyDescent="0.4">
      <c r="A20" s="1015" t="s">
        <v>5418</v>
      </c>
      <c r="B20" s="1016"/>
      <c r="C20" s="1016"/>
      <c r="D20" s="1016"/>
      <c r="E20" s="1016"/>
      <c r="F20" s="1016"/>
      <c r="G20" s="1016"/>
      <c r="H20" s="1016"/>
      <c r="I20" s="1017"/>
      <c r="K20" s="686"/>
      <c r="L20" s="686"/>
      <c r="M20" s="688" t="s">
        <v>570</v>
      </c>
      <c r="N20" s="688" t="s">
        <v>571</v>
      </c>
      <c r="O20" s="688" t="s">
        <v>572</v>
      </c>
      <c r="P20" s="689" t="s">
        <v>573</v>
      </c>
      <c r="Q20" s="688" t="s">
        <v>346</v>
      </c>
      <c r="R20" s="689" t="s">
        <v>1633</v>
      </c>
      <c r="S20" s="688" t="s">
        <v>574</v>
      </c>
      <c r="T20" s="689" t="s">
        <v>575</v>
      </c>
      <c r="U20" s="688" t="s">
        <v>576</v>
      </c>
      <c r="V20" s="689" t="s">
        <v>577</v>
      </c>
      <c r="W20" s="686"/>
      <c r="X20" s="686"/>
      <c r="Y20" s="686"/>
      <c r="Z20" s="686"/>
      <c r="AA20" s="688" t="s">
        <v>578</v>
      </c>
      <c r="AB20" s="688" t="s">
        <v>579</v>
      </c>
      <c r="AC20" s="900" t="s">
        <v>1758</v>
      </c>
      <c r="AD20" s="899" t="s">
        <v>1757</v>
      </c>
    </row>
    <row r="21" spans="1:30" ht="14.5" x14ac:dyDescent="0.35">
      <c r="A21" s="1049" t="s">
        <v>590</v>
      </c>
      <c r="B21" s="1050"/>
      <c r="C21" s="1050"/>
      <c r="D21" s="1071" t="s">
        <v>5427</v>
      </c>
      <c r="E21" s="1071"/>
      <c r="F21" s="1071"/>
      <c r="G21" s="1071"/>
      <c r="H21" s="1071"/>
      <c r="I21" s="1072"/>
      <c r="J21" s="748"/>
      <c r="K21" s="686"/>
      <c r="L21" s="686"/>
      <c r="M21" s="690" t="s">
        <v>580</v>
      </c>
      <c r="N21" s="690" t="s">
        <v>581</v>
      </c>
      <c r="O21" s="690" t="s">
        <v>582</v>
      </c>
      <c r="P21" s="691" t="s">
        <v>583</v>
      </c>
      <c r="Q21" s="690" t="s">
        <v>346</v>
      </c>
      <c r="R21" s="691" t="s">
        <v>1633</v>
      </c>
      <c r="S21" s="690" t="s">
        <v>584</v>
      </c>
      <c r="T21" s="691" t="s">
        <v>585</v>
      </c>
      <c r="U21" s="690" t="s">
        <v>586</v>
      </c>
      <c r="V21" s="691" t="s">
        <v>587</v>
      </c>
      <c r="W21" s="686"/>
      <c r="X21" s="686"/>
      <c r="Y21" s="686"/>
      <c r="Z21" s="686"/>
      <c r="AA21" s="690" t="s">
        <v>588</v>
      </c>
      <c r="AB21" s="690" t="s">
        <v>589</v>
      </c>
      <c r="AC21" s="902" t="s">
        <v>1760</v>
      </c>
      <c r="AD21" s="901" t="s">
        <v>1759</v>
      </c>
    </row>
    <row r="22" spans="1:30" ht="14.5" x14ac:dyDescent="0.35">
      <c r="A22" s="1052" t="s">
        <v>600</v>
      </c>
      <c r="B22" s="1053"/>
      <c r="C22" s="1053"/>
      <c r="D22" s="1010" t="s">
        <v>447</v>
      </c>
      <c r="E22" s="1010"/>
      <c r="F22" s="1010"/>
      <c r="G22" s="1010"/>
      <c r="H22" s="1010"/>
      <c r="I22" s="1011"/>
      <c r="J22" s="748"/>
      <c r="K22" s="686"/>
      <c r="L22" s="686"/>
      <c r="M22" s="688" t="s">
        <v>591</v>
      </c>
      <c r="N22" s="688" t="s">
        <v>592</v>
      </c>
      <c r="O22" s="688" t="s">
        <v>593</v>
      </c>
      <c r="P22" s="689" t="s">
        <v>594</v>
      </c>
      <c r="Q22" s="688" t="s">
        <v>595</v>
      </c>
      <c r="R22" s="689" t="s">
        <v>1634</v>
      </c>
      <c r="S22" s="688" t="s">
        <v>596</v>
      </c>
      <c r="T22" s="689" t="s">
        <v>597</v>
      </c>
      <c r="U22" s="688" t="s">
        <v>361</v>
      </c>
      <c r="V22" s="689" t="s">
        <v>362</v>
      </c>
      <c r="W22" s="686"/>
      <c r="X22" s="686"/>
      <c r="Y22" s="686"/>
      <c r="Z22" s="686"/>
      <c r="AA22" s="688" t="s">
        <v>598</v>
      </c>
      <c r="AB22" s="688" t="s">
        <v>599</v>
      </c>
      <c r="AC22" s="900" t="s">
        <v>1762</v>
      </c>
      <c r="AD22" s="899" t="s">
        <v>1761</v>
      </c>
    </row>
    <row r="23" spans="1:30" ht="15" thickBot="1" x14ac:dyDescent="0.4">
      <c r="A23" s="1032" t="s">
        <v>612</v>
      </c>
      <c r="B23" s="1033"/>
      <c r="C23" s="1033"/>
      <c r="D23" s="1073">
        <f ca="1">TODAY()</f>
        <v>45563</v>
      </c>
      <c r="E23" s="1073"/>
      <c r="F23" s="1073"/>
      <c r="G23" s="1073"/>
      <c r="H23" s="1073"/>
      <c r="I23" s="1074"/>
      <c r="J23" s="748"/>
      <c r="K23" s="686"/>
      <c r="L23" s="686"/>
      <c r="M23" s="690" t="s">
        <v>601</v>
      </c>
      <c r="N23" s="690" t="s">
        <v>602</v>
      </c>
      <c r="O23" s="690" t="s">
        <v>603</v>
      </c>
      <c r="P23" s="691" t="s">
        <v>604</v>
      </c>
      <c r="Q23" s="690" t="s">
        <v>605</v>
      </c>
      <c r="R23" s="691" t="s">
        <v>1635</v>
      </c>
      <c r="S23" s="690" t="s">
        <v>606</v>
      </c>
      <c r="T23" s="691" t="s">
        <v>607</v>
      </c>
      <c r="U23" s="690" t="s">
        <v>608</v>
      </c>
      <c r="V23" s="691" t="s">
        <v>609</v>
      </c>
      <c r="W23" s="686"/>
      <c r="X23" s="686"/>
      <c r="Y23" s="686"/>
      <c r="Z23" s="686"/>
      <c r="AA23" s="690" t="s">
        <v>610</v>
      </c>
      <c r="AB23" s="690" t="s">
        <v>611</v>
      </c>
      <c r="AC23" s="902" t="s">
        <v>1764</v>
      </c>
      <c r="AD23" s="901" t="s">
        <v>1763</v>
      </c>
    </row>
    <row r="24" spans="1:30" ht="15" thickBot="1" x14ac:dyDescent="0.4">
      <c r="A24" s="743"/>
      <c r="B24" s="743"/>
      <c r="C24" s="743"/>
      <c r="D24" s="744"/>
      <c r="E24" s="744"/>
      <c r="F24" s="744"/>
      <c r="G24" s="744"/>
      <c r="H24" s="744"/>
      <c r="I24" s="752"/>
      <c r="J24" s="748"/>
      <c r="K24" s="686"/>
      <c r="L24" s="686"/>
      <c r="M24" s="688" t="s">
        <v>613</v>
      </c>
      <c r="N24" s="688" t="s">
        <v>614</v>
      </c>
      <c r="O24" s="688" t="s">
        <v>615</v>
      </c>
      <c r="P24" s="689" t="s">
        <v>616</v>
      </c>
      <c r="Q24" s="688" t="s">
        <v>617</v>
      </c>
      <c r="R24" s="689" t="s">
        <v>1636</v>
      </c>
      <c r="S24" s="688" t="s">
        <v>618</v>
      </c>
      <c r="T24" s="689" t="s">
        <v>619</v>
      </c>
      <c r="U24" s="688" t="s">
        <v>620</v>
      </c>
      <c r="V24" s="689" t="s">
        <v>621</v>
      </c>
      <c r="W24" s="686"/>
      <c r="X24" s="686"/>
      <c r="Y24" s="686"/>
      <c r="Z24" s="686"/>
      <c r="AA24" s="688" t="s">
        <v>622</v>
      </c>
      <c r="AB24" s="688" t="s">
        <v>623</v>
      </c>
      <c r="AC24" s="900" t="s">
        <v>1766</v>
      </c>
      <c r="AD24" s="899" t="s">
        <v>1765</v>
      </c>
    </row>
    <row r="25" spans="1:30" ht="16" thickBot="1" x14ac:dyDescent="0.4">
      <c r="A25" s="1061" t="s">
        <v>5391</v>
      </c>
      <c r="B25" s="1062"/>
      <c r="C25" s="1062"/>
      <c r="D25" s="1062"/>
      <c r="E25" s="1062"/>
      <c r="F25" s="1062"/>
      <c r="G25" s="1062"/>
      <c r="H25" s="1062"/>
      <c r="I25" s="1063"/>
      <c r="K25" s="686"/>
      <c r="L25" s="686"/>
      <c r="M25" s="690" t="s">
        <v>624</v>
      </c>
      <c r="N25" s="690" t="s">
        <v>625</v>
      </c>
      <c r="O25" s="690" t="s">
        <v>626</v>
      </c>
      <c r="P25" s="691" t="s">
        <v>627</v>
      </c>
      <c r="Q25" s="690" t="s">
        <v>617</v>
      </c>
      <c r="R25" s="691" t="s">
        <v>1636</v>
      </c>
      <c r="S25" s="690" t="s">
        <v>628</v>
      </c>
      <c r="T25" s="691" t="s">
        <v>629</v>
      </c>
      <c r="U25" s="690" t="s">
        <v>630</v>
      </c>
      <c r="V25" s="691" t="s">
        <v>631</v>
      </c>
      <c r="W25" s="686"/>
      <c r="X25" s="686"/>
      <c r="Y25" s="686"/>
      <c r="Z25" s="686"/>
      <c r="AA25" s="690" t="s">
        <v>632</v>
      </c>
      <c r="AB25" s="690" t="s">
        <v>633</v>
      </c>
      <c r="AC25" s="902" t="s">
        <v>1768</v>
      </c>
      <c r="AD25" s="901" t="s">
        <v>1767</v>
      </c>
    </row>
    <row r="26" spans="1:30" ht="16" thickBot="1" x14ac:dyDescent="0.4">
      <c r="A26" s="1015" t="s">
        <v>5392</v>
      </c>
      <c r="B26" s="1016"/>
      <c r="C26" s="1016"/>
      <c r="D26" s="1016"/>
      <c r="E26" s="1016"/>
      <c r="F26" s="1016"/>
      <c r="G26" s="1016"/>
      <c r="H26" s="1016"/>
      <c r="I26" s="1017"/>
      <c r="J26" s="748"/>
      <c r="K26" s="686" t="s">
        <v>634</v>
      </c>
      <c r="L26" s="686"/>
      <c r="M26" s="688" t="s">
        <v>635</v>
      </c>
      <c r="N26" s="688" t="s">
        <v>636</v>
      </c>
      <c r="O26" s="688" t="s">
        <v>637</v>
      </c>
      <c r="P26" s="689" t="s">
        <v>638</v>
      </c>
      <c r="Q26" s="688" t="s">
        <v>344</v>
      </c>
      <c r="R26" s="689" t="s">
        <v>1637</v>
      </c>
      <c r="S26" s="688" t="s">
        <v>639</v>
      </c>
      <c r="T26" s="689" t="s">
        <v>640</v>
      </c>
      <c r="U26" s="688" t="s">
        <v>641</v>
      </c>
      <c r="V26" s="689" t="s">
        <v>642</v>
      </c>
      <c r="W26" s="686"/>
      <c r="X26" s="686"/>
      <c r="Y26" s="686"/>
      <c r="Z26" s="686"/>
      <c r="AA26" s="688" t="s">
        <v>643</v>
      </c>
      <c r="AB26" s="688" t="s">
        <v>644</v>
      </c>
      <c r="AC26" s="900" t="s">
        <v>1770</v>
      </c>
      <c r="AD26" s="899" t="s">
        <v>1769</v>
      </c>
    </row>
    <row r="27" spans="1:30" ht="14.5" x14ac:dyDescent="0.35">
      <c r="A27" s="1064" t="s">
        <v>655</v>
      </c>
      <c r="B27" s="1065"/>
      <c r="C27" s="819" t="s">
        <v>668</v>
      </c>
      <c r="D27" s="1066" t="str">
        <f>VLOOKUP(C27,M2:N44,2,FALSE)</f>
        <v>Cemento Pórtland Compuesto CPC40 RS</v>
      </c>
      <c r="E27" s="1067"/>
      <c r="F27" s="1067"/>
      <c r="G27" s="1067"/>
      <c r="H27" s="1067"/>
      <c r="I27" s="1068"/>
      <c r="J27" s="748"/>
      <c r="K27" s="686"/>
      <c r="L27" s="686"/>
      <c r="M27" s="690" t="s">
        <v>645</v>
      </c>
      <c r="N27" s="690" t="s">
        <v>646</v>
      </c>
      <c r="O27" s="690" t="s">
        <v>647</v>
      </c>
      <c r="P27" s="691" t="s">
        <v>648</v>
      </c>
      <c r="Q27" s="690" t="s">
        <v>344</v>
      </c>
      <c r="R27" s="691" t="s">
        <v>1637</v>
      </c>
      <c r="S27" s="690" t="s">
        <v>649</v>
      </c>
      <c r="T27" s="691" t="s">
        <v>650</v>
      </c>
      <c r="U27" s="690" t="s">
        <v>651</v>
      </c>
      <c r="V27" s="691" t="s">
        <v>652</v>
      </c>
      <c r="W27" s="686"/>
      <c r="X27" s="686"/>
      <c r="Y27" s="686"/>
      <c r="Z27" s="686"/>
      <c r="AA27" s="690" t="s">
        <v>653</v>
      </c>
      <c r="AB27" s="690" t="s">
        <v>654</v>
      </c>
      <c r="AC27" s="902" t="s">
        <v>1772</v>
      </c>
      <c r="AD27" s="901" t="s">
        <v>1771</v>
      </c>
    </row>
    <row r="28" spans="1:30" ht="14.5" x14ac:dyDescent="0.35">
      <c r="A28" s="1069" t="s">
        <v>666</v>
      </c>
      <c r="B28" s="1070"/>
      <c r="C28" s="1070"/>
      <c r="D28" s="914"/>
      <c r="E28" s="693" t="s">
        <v>667</v>
      </c>
      <c r="F28" s="822"/>
      <c r="G28" s="692" t="s">
        <v>5398</v>
      </c>
      <c r="H28" s="824" t="s">
        <v>5423</v>
      </c>
      <c r="I28" s="694"/>
      <c r="J28" s="748"/>
      <c r="K28" s="686"/>
      <c r="L28" s="686"/>
      <c r="M28" s="688" t="s">
        <v>656</v>
      </c>
      <c r="N28" s="688" t="s">
        <v>657</v>
      </c>
      <c r="O28" s="688" t="s">
        <v>658</v>
      </c>
      <c r="P28" s="689" t="s">
        <v>659</v>
      </c>
      <c r="Q28" s="688" t="s">
        <v>344</v>
      </c>
      <c r="R28" s="689" t="s">
        <v>1638</v>
      </c>
      <c r="S28" s="688" t="s">
        <v>660</v>
      </c>
      <c r="T28" s="689" t="s">
        <v>661</v>
      </c>
      <c r="U28" s="688" t="s">
        <v>662</v>
      </c>
      <c r="V28" s="689" t="s">
        <v>663</v>
      </c>
      <c r="W28" s="686"/>
      <c r="X28" s="686"/>
      <c r="Y28" s="686"/>
      <c r="Z28" s="686"/>
      <c r="AA28" s="688" t="s">
        <v>664</v>
      </c>
      <c r="AB28" s="688" t="s">
        <v>665</v>
      </c>
      <c r="AC28" s="900" t="s">
        <v>1774</v>
      </c>
      <c r="AD28" s="899" t="s">
        <v>1773</v>
      </c>
    </row>
    <row r="29" spans="1:30" ht="14.5" x14ac:dyDescent="0.35">
      <c r="A29" s="1069" t="s">
        <v>679</v>
      </c>
      <c r="B29" s="1070"/>
      <c r="C29" s="1070"/>
      <c r="D29" s="820"/>
      <c r="E29" s="697" t="str">
        <f>IF(D29&lt;180,"Cumple","No Cumple")</f>
        <v>Cumple</v>
      </c>
      <c r="F29" s="692" t="s">
        <v>680</v>
      </c>
      <c r="G29" s="823"/>
      <c r="H29" s="697"/>
      <c r="I29" s="694"/>
      <c r="J29" s="748"/>
      <c r="K29" s="686"/>
      <c r="L29" s="686"/>
      <c r="M29" s="690" t="s">
        <v>668</v>
      </c>
      <c r="N29" s="690" t="s">
        <v>669</v>
      </c>
      <c r="O29" s="690" t="s">
        <v>670</v>
      </c>
      <c r="P29" s="691" t="s">
        <v>671</v>
      </c>
      <c r="Q29" s="690" t="s">
        <v>672</v>
      </c>
      <c r="R29" s="691" t="s">
        <v>1639</v>
      </c>
      <c r="S29" s="690" t="s">
        <v>673</v>
      </c>
      <c r="T29" s="691" t="s">
        <v>674</v>
      </c>
      <c r="U29" s="690" t="s">
        <v>675</v>
      </c>
      <c r="V29" s="691" t="s">
        <v>676</v>
      </c>
      <c r="W29" s="686"/>
      <c r="X29" s="686"/>
      <c r="Y29" s="686"/>
      <c r="Z29" s="686"/>
      <c r="AA29" s="690" t="s">
        <v>677</v>
      </c>
      <c r="AB29" s="690" t="s">
        <v>678</v>
      </c>
      <c r="AC29" s="902" t="s">
        <v>1776</v>
      </c>
      <c r="AD29" s="901" t="s">
        <v>1775</v>
      </c>
    </row>
    <row r="30" spans="1:30" ht="15" thickBot="1" x14ac:dyDescent="0.4">
      <c r="A30" s="1047" t="s">
        <v>689</v>
      </c>
      <c r="B30" s="1048"/>
      <c r="C30" s="1048"/>
      <c r="D30" s="821"/>
      <c r="E30" s="699" t="str">
        <f>IF(D30&lt;0.02%,"Cumple","No Cumple")</f>
        <v>Cumple</v>
      </c>
      <c r="F30" s="695"/>
      <c r="G30" s="699"/>
      <c r="H30" s="699"/>
      <c r="I30" s="696"/>
      <c r="J30" s="748"/>
      <c r="K30" s="686"/>
      <c r="L30" s="686"/>
      <c r="M30" s="688" t="s">
        <v>681</v>
      </c>
      <c r="N30" s="688" t="s">
        <v>682</v>
      </c>
      <c r="O30" s="688" t="s">
        <v>519</v>
      </c>
      <c r="P30" s="689" t="s">
        <v>520</v>
      </c>
      <c r="Q30" s="688" t="s">
        <v>672</v>
      </c>
      <c r="R30" s="689" t="s">
        <v>1639</v>
      </c>
      <c r="S30" s="688" t="s">
        <v>683</v>
      </c>
      <c r="T30" s="689" t="s">
        <v>684</v>
      </c>
      <c r="U30" s="688" t="s">
        <v>685</v>
      </c>
      <c r="V30" s="689" t="s">
        <v>686</v>
      </c>
      <c r="W30" s="686"/>
      <c r="X30" s="686"/>
      <c r="Y30" s="686"/>
      <c r="Z30" s="686"/>
      <c r="AA30" s="688" t="s">
        <v>687</v>
      </c>
      <c r="AB30" s="688" t="s">
        <v>688</v>
      </c>
      <c r="AC30" s="900" t="s">
        <v>1778</v>
      </c>
      <c r="AD30" s="899" t="s">
        <v>1777</v>
      </c>
    </row>
    <row r="31" spans="1:30" ht="16" thickBot="1" x14ac:dyDescent="0.4">
      <c r="A31" s="1015" t="s">
        <v>5393</v>
      </c>
      <c r="B31" s="1016"/>
      <c r="C31" s="1016"/>
      <c r="D31" s="1016"/>
      <c r="E31" s="1016"/>
      <c r="F31" s="1016"/>
      <c r="G31" s="1016"/>
      <c r="H31" s="1016"/>
      <c r="I31" s="1017"/>
      <c r="J31" s="748"/>
      <c r="K31" s="686"/>
      <c r="L31" s="686"/>
      <c r="M31" s="690" t="s">
        <v>690</v>
      </c>
      <c r="N31" s="690" t="s">
        <v>691</v>
      </c>
      <c r="O31" s="690" t="s">
        <v>692</v>
      </c>
      <c r="P31" s="691" t="s">
        <v>411</v>
      </c>
      <c r="Q31" s="690" t="s">
        <v>693</v>
      </c>
      <c r="R31" s="691" t="s">
        <v>1640</v>
      </c>
      <c r="S31" s="690" t="s">
        <v>694</v>
      </c>
      <c r="T31" s="691" t="s">
        <v>695</v>
      </c>
      <c r="U31" s="690" t="s">
        <v>696</v>
      </c>
      <c r="V31" s="691" t="s">
        <v>697</v>
      </c>
      <c r="W31" s="686"/>
      <c r="X31" s="686"/>
      <c r="Y31" s="686"/>
      <c r="Z31" s="686"/>
      <c r="AA31" s="690" t="s">
        <v>698</v>
      </c>
      <c r="AB31" s="690" t="s">
        <v>699</v>
      </c>
      <c r="AC31" s="902" t="s">
        <v>1780</v>
      </c>
      <c r="AD31" s="901" t="s">
        <v>1779</v>
      </c>
    </row>
    <row r="32" spans="1:30" ht="16" thickBot="1" x14ac:dyDescent="0.4">
      <c r="A32" s="911"/>
      <c r="B32" s="908"/>
      <c r="C32" s="908" t="s">
        <v>5395</v>
      </c>
      <c r="D32" s="1103" t="s">
        <v>5394</v>
      </c>
      <c r="E32" s="1103"/>
      <c r="F32" s="1103"/>
      <c r="G32" s="1103"/>
      <c r="H32" s="909" t="s">
        <v>44</v>
      </c>
      <c r="I32" s="910" t="s">
        <v>22</v>
      </c>
      <c r="J32" s="748"/>
      <c r="K32" s="686"/>
      <c r="L32" s="686"/>
      <c r="M32" s="690" t="s">
        <v>700</v>
      </c>
      <c r="N32" s="690" t="s">
        <v>701</v>
      </c>
      <c r="O32" s="690" t="s">
        <v>692</v>
      </c>
      <c r="P32" s="691" t="s">
        <v>411</v>
      </c>
      <c r="Q32" s="690" t="s">
        <v>702</v>
      </c>
      <c r="R32" s="691" t="s">
        <v>1641</v>
      </c>
      <c r="S32" s="690" t="s">
        <v>703</v>
      </c>
      <c r="T32" s="691" t="s">
        <v>704</v>
      </c>
      <c r="U32" s="690" t="s">
        <v>705</v>
      </c>
      <c r="V32" s="691" t="s">
        <v>706</v>
      </c>
      <c r="W32" s="686"/>
      <c r="X32" s="686"/>
      <c r="Y32" s="686"/>
      <c r="Z32" s="686"/>
      <c r="AA32" s="690" t="s">
        <v>707</v>
      </c>
      <c r="AB32" s="690" t="s">
        <v>708</v>
      </c>
      <c r="AC32" s="900" t="s">
        <v>1782</v>
      </c>
      <c r="AD32" s="899" t="s">
        <v>1781</v>
      </c>
    </row>
    <row r="33" spans="1:30" ht="14.5" x14ac:dyDescent="0.35">
      <c r="A33" s="1049" t="s">
        <v>5400</v>
      </c>
      <c r="B33" s="1050"/>
      <c r="C33" s="904" t="s">
        <v>1300</v>
      </c>
      <c r="D33" s="1051" t="str">
        <f>IF(C33="","",IF(C33="OTRO","Aditivo de Linea",VLOOKUP(C33,S2:T136,2,FALSE)))</f>
        <v>Isofluid 6112</v>
      </c>
      <c r="E33" s="1051"/>
      <c r="F33" s="1051"/>
      <c r="G33" s="1051"/>
      <c r="H33" s="825">
        <v>5</v>
      </c>
      <c r="I33" s="969">
        <v>1</v>
      </c>
      <c r="J33" s="748"/>
      <c r="K33" s="686"/>
      <c r="L33" s="686"/>
      <c r="M33" s="688" t="s">
        <v>710</v>
      </c>
      <c r="N33" s="688" t="s">
        <v>711</v>
      </c>
      <c r="O33" s="688" t="s">
        <v>712</v>
      </c>
      <c r="P33" s="689" t="s">
        <v>713</v>
      </c>
      <c r="Q33" s="688" t="s">
        <v>714</v>
      </c>
      <c r="R33" s="689" t="s">
        <v>1642</v>
      </c>
      <c r="S33" s="688" t="s">
        <v>715</v>
      </c>
      <c r="T33" s="689" t="s">
        <v>716</v>
      </c>
      <c r="U33" s="688" t="s">
        <v>717</v>
      </c>
      <c r="V33" s="689" t="s">
        <v>718</v>
      </c>
      <c r="W33" s="686"/>
      <c r="X33" s="686"/>
      <c r="Y33" s="686"/>
      <c r="Z33" s="686"/>
      <c r="AA33" s="688" t="s">
        <v>719</v>
      </c>
      <c r="AB33" s="688" t="s">
        <v>720</v>
      </c>
      <c r="AC33" s="902" t="s">
        <v>1784</v>
      </c>
      <c r="AD33" s="901" t="s">
        <v>1783</v>
      </c>
    </row>
    <row r="34" spans="1:30" ht="14.5" x14ac:dyDescent="0.35">
      <c r="A34" s="1052" t="s">
        <v>5399</v>
      </c>
      <c r="B34" s="1053"/>
      <c r="C34" s="905" t="s">
        <v>1573</v>
      </c>
      <c r="D34" s="1054" t="str">
        <f>IF(C34="","",IF(C34="OTRO","Aditivo de Fluidificante",VLOOKUP(C34,U2:V263,2,FALSE)))</f>
        <v>ISOFLOW 9269</v>
      </c>
      <c r="E34" s="1054"/>
      <c r="F34" s="1054"/>
      <c r="G34" s="1054"/>
      <c r="H34" s="826">
        <v>4</v>
      </c>
      <c r="I34" s="970">
        <v>1</v>
      </c>
      <c r="J34" s="748"/>
      <c r="K34" s="686"/>
      <c r="L34" s="686"/>
      <c r="M34" s="690" t="s">
        <v>721</v>
      </c>
      <c r="N34" s="690" t="s">
        <v>722</v>
      </c>
      <c r="O34" s="690" t="s">
        <v>582</v>
      </c>
      <c r="P34" s="691" t="s">
        <v>583</v>
      </c>
      <c r="Q34" s="690" t="s">
        <v>723</v>
      </c>
      <c r="R34" s="691" t="s">
        <v>1643</v>
      </c>
      <c r="S34" s="690" t="s">
        <v>724</v>
      </c>
      <c r="T34" s="691" t="s">
        <v>725</v>
      </c>
      <c r="U34" s="690" t="s">
        <v>726</v>
      </c>
      <c r="V34" s="691" t="s">
        <v>727</v>
      </c>
      <c r="W34" s="686"/>
      <c r="X34" s="686"/>
      <c r="Y34" s="686"/>
      <c r="Z34" s="686"/>
      <c r="AA34" s="690" t="s">
        <v>728</v>
      </c>
      <c r="AB34" s="690" t="s">
        <v>729</v>
      </c>
      <c r="AC34" s="900" t="s">
        <v>1786</v>
      </c>
      <c r="AD34" s="899" t="s">
        <v>1785</v>
      </c>
    </row>
    <row r="35" spans="1:30" ht="14.5" x14ac:dyDescent="0.35">
      <c r="A35" s="1052" t="s">
        <v>730</v>
      </c>
      <c r="B35" s="1053"/>
      <c r="C35" s="905" t="s">
        <v>1611</v>
      </c>
      <c r="D35" s="1054" t="str">
        <f>IF(C35="","",IF(C35="OTRO","Aditivo de inclusor o exclusor de aire",VLOOKUP(C35,W2:X11,2,FALSE)))</f>
        <v>Aditivo de inclusor o exclusor de aire</v>
      </c>
      <c r="E35" s="1054"/>
      <c r="F35" s="1054"/>
      <c r="G35" s="1054"/>
      <c r="H35" s="920">
        <v>100</v>
      </c>
      <c r="I35" s="970">
        <v>0.96</v>
      </c>
      <c r="J35" s="748" t="s">
        <v>345</v>
      </c>
      <c r="K35" s="686"/>
      <c r="L35" s="686"/>
      <c r="M35" s="688" t="s">
        <v>731</v>
      </c>
      <c r="N35" s="688" t="s">
        <v>732</v>
      </c>
      <c r="O35" s="688" t="s">
        <v>582</v>
      </c>
      <c r="P35" s="689" t="s">
        <v>583</v>
      </c>
      <c r="Q35" s="688" t="s">
        <v>733</v>
      </c>
      <c r="R35" s="689" t="s">
        <v>1644</v>
      </c>
      <c r="S35" s="688" t="s">
        <v>734</v>
      </c>
      <c r="T35" s="689" t="s">
        <v>735</v>
      </c>
      <c r="U35" s="688" t="s">
        <v>726</v>
      </c>
      <c r="V35" s="689" t="s">
        <v>736</v>
      </c>
      <c r="W35" s="686"/>
      <c r="X35" s="686"/>
      <c r="Y35" s="686"/>
      <c r="Z35" s="686"/>
      <c r="AA35" s="688" t="s">
        <v>737</v>
      </c>
      <c r="AB35" s="688" t="s">
        <v>738</v>
      </c>
      <c r="AC35" s="902" t="s">
        <v>1788</v>
      </c>
      <c r="AD35" s="901" t="s">
        <v>1787</v>
      </c>
    </row>
    <row r="36" spans="1:30" ht="14.5" x14ac:dyDescent="0.35">
      <c r="A36" s="1052" t="s">
        <v>351</v>
      </c>
      <c r="B36" s="1053"/>
      <c r="C36" s="905"/>
      <c r="D36" s="1054" t="str">
        <f>IF(C36="","",IF(C36="OTRO","Fibra",IF(C36="POR CLIENTE","Fibra proporcionada por el cliente",VLOOKUP(C36,AA2:AB96,2,FALSE))))</f>
        <v/>
      </c>
      <c r="E36" s="1054"/>
      <c r="F36" s="1054"/>
      <c r="G36" s="1054"/>
      <c r="H36" s="919"/>
      <c r="I36" s="970"/>
      <c r="J36" s="748"/>
      <c r="K36" s="686"/>
      <c r="L36" s="686"/>
      <c r="M36" s="690" t="s">
        <v>739</v>
      </c>
      <c r="N36" s="690" t="s">
        <v>740</v>
      </c>
      <c r="O36" s="690" t="s">
        <v>343</v>
      </c>
      <c r="P36" s="691" t="s">
        <v>563</v>
      </c>
      <c r="Q36" s="690" t="s">
        <v>741</v>
      </c>
      <c r="R36" s="691" t="s">
        <v>1645</v>
      </c>
      <c r="S36" s="690" t="s">
        <v>742</v>
      </c>
      <c r="T36" s="691" t="s">
        <v>743</v>
      </c>
      <c r="U36" s="690" t="s">
        <v>744</v>
      </c>
      <c r="V36" s="691" t="s">
        <v>745</v>
      </c>
      <c r="W36" s="686"/>
      <c r="X36" s="686"/>
      <c r="Y36" s="686"/>
      <c r="Z36" s="686"/>
      <c r="AA36" s="690" t="s">
        <v>746</v>
      </c>
      <c r="AB36" s="690" t="s">
        <v>747</v>
      </c>
      <c r="AC36" s="900" t="s">
        <v>1790</v>
      </c>
      <c r="AD36" s="899" t="s">
        <v>1789</v>
      </c>
    </row>
    <row r="37" spans="1:30" ht="15" thickBot="1" x14ac:dyDescent="0.4">
      <c r="A37" s="1032" t="s">
        <v>28</v>
      </c>
      <c r="B37" s="1033"/>
      <c r="C37" s="906"/>
      <c r="D37" s="1077" t="str">
        <f>IF(C37="","",IF(C37="OTRO","Fibra",IF(C37="POR CLIENTE","Adición proporcionada por el cliente",VLOOKUP(C37,Y2:Z7,2,FALSE))))</f>
        <v/>
      </c>
      <c r="E37" s="1077"/>
      <c r="F37" s="1077"/>
      <c r="G37" s="1077"/>
      <c r="H37" s="927"/>
      <c r="I37" s="827"/>
      <c r="J37" s="748"/>
      <c r="K37" s="686"/>
      <c r="L37" s="686"/>
      <c r="M37" s="688" t="s">
        <v>748</v>
      </c>
      <c r="N37" s="688" t="s">
        <v>749</v>
      </c>
      <c r="O37" s="688" t="s">
        <v>381</v>
      </c>
      <c r="P37" s="689" t="s">
        <v>382</v>
      </c>
      <c r="Q37" s="688" t="s">
        <v>750</v>
      </c>
      <c r="R37" s="689" t="s">
        <v>1646</v>
      </c>
      <c r="S37" s="688" t="s">
        <v>751</v>
      </c>
      <c r="T37" s="689" t="s">
        <v>752</v>
      </c>
      <c r="U37" s="688" t="s">
        <v>753</v>
      </c>
      <c r="V37" s="689" t="s">
        <v>754</v>
      </c>
      <c r="W37" s="686"/>
      <c r="X37" s="686"/>
      <c r="Y37" s="686"/>
      <c r="Z37" s="686"/>
      <c r="AA37" s="688" t="s">
        <v>755</v>
      </c>
      <c r="AB37" s="688" t="s">
        <v>756</v>
      </c>
      <c r="AC37" s="902" t="s">
        <v>1792</v>
      </c>
      <c r="AD37" s="901" t="s">
        <v>1791</v>
      </c>
    </row>
    <row r="38" spans="1:30" ht="16" thickBot="1" x14ac:dyDescent="0.4">
      <c r="A38" s="1015" t="s">
        <v>5396</v>
      </c>
      <c r="B38" s="1016"/>
      <c r="C38" s="1016"/>
      <c r="D38" s="1016"/>
      <c r="E38" s="1016"/>
      <c r="F38" s="1016"/>
      <c r="G38" s="1016"/>
      <c r="H38" s="1016"/>
      <c r="I38" s="1017"/>
      <c r="J38" s="748"/>
      <c r="K38" s="686"/>
      <c r="L38" s="686"/>
      <c r="M38" s="688" t="s">
        <v>757</v>
      </c>
      <c r="N38" s="688" t="s">
        <v>758</v>
      </c>
      <c r="O38" s="688" t="s">
        <v>542</v>
      </c>
      <c r="P38" s="689" t="s">
        <v>543</v>
      </c>
      <c r="Q38" s="688" t="s">
        <v>759</v>
      </c>
      <c r="R38" s="689" t="s">
        <v>1647</v>
      </c>
      <c r="S38" s="688" t="s">
        <v>760</v>
      </c>
      <c r="T38" s="689" t="s">
        <v>761</v>
      </c>
      <c r="U38" s="688" t="s">
        <v>762</v>
      </c>
      <c r="V38" s="689" t="s">
        <v>763</v>
      </c>
      <c r="W38" s="686"/>
      <c r="X38" s="686"/>
      <c r="Y38" s="686"/>
      <c r="Z38" s="686"/>
      <c r="AA38" s="688" t="s">
        <v>764</v>
      </c>
      <c r="AB38" s="688" t="s">
        <v>756</v>
      </c>
      <c r="AC38" s="900" t="s">
        <v>1794</v>
      </c>
      <c r="AD38" s="899" t="s">
        <v>1793</v>
      </c>
    </row>
    <row r="39" spans="1:30" ht="14.5" x14ac:dyDescent="0.35">
      <c r="A39" s="700" t="s">
        <v>5402</v>
      </c>
      <c r="B39" s="907" t="s">
        <v>521</v>
      </c>
      <c r="C39" s="917" t="str">
        <f>IF(B39="","-----------------",(VLOOKUP(B39,Q2:R118,2,FALSE)))</f>
        <v>20 Basalto 20 mm (3/4")</v>
      </c>
      <c r="D39" s="815" t="s">
        <v>5401</v>
      </c>
      <c r="E39" s="907" t="s">
        <v>346</v>
      </c>
      <c r="F39" s="917" t="str">
        <f>IF(E39="","-----------------",(VLOOKUP(E39,Q2:R118,2,FALSE)))</f>
        <v>40 Basalto 40 mm (1 1/2")</v>
      </c>
      <c r="G39" s="815" t="s">
        <v>5403</v>
      </c>
      <c r="H39" s="907" t="s">
        <v>336</v>
      </c>
      <c r="I39" s="968" t="str">
        <f>IF(H39="","-----------------",(VLOOKUP(H39,Q2:R118,2,FALSE)))</f>
        <v>10 Basalto 10 mm (3/8")</v>
      </c>
      <c r="J39" s="748"/>
      <c r="K39" s="686"/>
      <c r="L39" s="686"/>
      <c r="M39" s="690" t="s">
        <v>765</v>
      </c>
      <c r="N39" s="690" t="s">
        <v>766</v>
      </c>
      <c r="O39" s="690" t="s">
        <v>435</v>
      </c>
      <c r="P39" s="691" t="s">
        <v>436</v>
      </c>
      <c r="Q39" s="690" t="s">
        <v>767</v>
      </c>
      <c r="R39" s="691" t="s">
        <v>1648</v>
      </c>
      <c r="S39" s="690" t="s">
        <v>768</v>
      </c>
      <c r="T39" s="691" t="s">
        <v>769</v>
      </c>
      <c r="U39" s="690" t="s">
        <v>770</v>
      </c>
      <c r="V39" s="691" t="s">
        <v>771</v>
      </c>
      <c r="W39" s="686"/>
      <c r="X39" s="686"/>
      <c r="Y39" s="686"/>
      <c r="Z39" s="686"/>
      <c r="AA39" s="690" t="s">
        <v>772</v>
      </c>
      <c r="AB39" s="690" t="s">
        <v>773</v>
      </c>
      <c r="AC39" s="902" t="s">
        <v>1796</v>
      </c>
      <c r="AD39" s="901" t="s">
        <v>1795</v>
      </c>
    </row>
    <row r="40" spans="1:30" ht="14.5" x14ac:dyDescent="0.35">
      <c r="A40" s="702" t="s">
        <v>774</v>
      </c>
      <c r="B40" s="828">
        <v>2.71</v>
      </c>
      <c r="C40" s="703" t="str">
        <f>IF(B40&lt;2.4, "No Cumple","Cumple")</f>
        <v>Cumple</v>
      </c>
      <c r="D40" s="708" t="s">
        <v>774</v>
      </c>
      <c r="E40" s="828">
        <v>2.71</v>
      </c>
      <c r="F40" s="705" t="str">
        <f>IF(E40&lt;2.4, "No Cumple","Cumple")</f>
        <v>Cumple</v>
      </c>
      <c r="G40" s="708" t="s">
        <v>774</v>
      </c>
      <c r="H40" s="828"/>
      <c r="I40" s="706" t="str">
        <f>IF(H40&lt;2.4, "No Cumple","Cumple")</f>
        <v>No Cumple</v>
      </c>
      <c r="J40" s="748"/>
      <c r="K40" s="686"/>
      <c r="L40" s="686"/>
      <c r="M40" s="688" t="s">
        <v>775</v>
      </c>
      <c r="N40" s="688" t="s">
        <v>776</v>
      </c>
      <c r="O40" s="688" t="s">
        <v>777</v>
      </c>
      <c r="P40" s="689" t="s">
        <v>573</v>
      </c>
      <c r="Q40" s="688" t="s">
        <v>778</v>
      </c>
      <c r="R40" s="689" t="s">
        <v>1649</v>
      </c>
      <c r="S40" s="688" t="s">
        <v>779</v>
      </c>
      <c r="T40" s="689" t="s">
        <v>780</v>
      </c>
      <c r="U40" s="688" t="s">
        <v>781</v>
      </c>
      <c r="V40" s="689" t="s">
        <v>782</v>
      </c>
      <c r="W40" s="686"/>
      <c r="X40" s="686"/>
      <c r="Y40" s="686"/>
      <c r="Z40" s="686"/>
      <c r="AA40" s="688" t="s">
        <v>783</v>
      </c>
      <c r="AB40" s="688" t="s">
        <v>784</v>
      </c>
      <c r="AC40" s="900" t="s">
        <v>1798</v>
      </c>
      <c r="AD40" s="899" t="s">
        <v>1797</v>
      </c>
    </row>
    <row r="41" spans="1:30" ht="14.5" x14ac:dyDescent="0.35">
      <c r="A41" s="707" t="s">
        <v>785</v>
      </c>
      <c r="B41" s="829">
        <v>2.6200000000000001E-2</v>
      </c>
      <c r="C41" s="703" t="str">
        <f>IF(B41&gt;4, "No Cumple","Cumple")</f>
        <v>Cumple</v>
      </c>
      <c r="D41" s="708" t="s">
        <v>785</v>
      </c>
      <c r="E41" s="829">
        <v>1.6E-2</v>
      </c>
      <c r="F41" s="705" t="str">
        <f>IF(E41&gt;4, "No Cumple","Cumple")</f>
        <v>Cumple</v>
      </c>
      <c r="G41" s="708" t="s">
        <v>785</v>
      </c>
      <c r="H41" s="829"/>
      <c r="I41" s="706" t="str">
        <f>IF(H41&gt;4, "No Cumple","Cumple")</f>
        <v>Cumple</v>
      </c>
      <c r="J41" s="748"/>
      <c r="K41" s="686"/>
      <c r="L41" s="686"/>
      <c r="M41" s="690" t="s">
        <v>786</v>
      </c>
      <c r="N41" s="690" t="s">
        <v>787</v>
      </c>
      <c r="O41" s="690" t="s">
        <v>788</v>
      </c>
      <c r="P41" s="691" t="s">
        <v>789</v>
      </c>
      <c r="Q41" s="690" t="s">
        <v>790</v>
      </c>
      <c r="R41" s="691" t="s">
        <v>1650</v>
      </c>
      <c r="S41" s="690" t="s">
        <v>791</v>
      </c>
      <c r="T41" s="691" t="s">
        <v>792</v>
      </c>
      <c r="U41" s="690" t="s">
        <v>793</v>
      </c>
      <c r="V41" s="691" t="s">
        <v>794</v>
      </c>
      <c r="W41" s="686"/>
      <c r="X41" s="686"/>
      <c r="Y41" s="686"/>
      <c r="Z41" s="686"/>
      <c r="AA41" s="690" t="s">
        <v>795</v>
      </c>
      <c r="AB41" s="690" t="s">
        <v>796</v>
      </c>
      <c r="AC41" s="902" t="s">
        <v>1800</v>
      </c>
      <c r="AD41" s="901" t="s">
        <v>1799</v>
      </c>
    </row>
    <row r="42" spans="1:30" ht="14.5" x14ac:dyDescent="0.35">
      <c r="A42" s="707" t="s">
        <v>1614</v>
      </c>
      <c r="B42" s="829">
        <v>0.01</v>
      </c>
      <c r="C42" s="703"/>
      <c r="D42" s="707" t="s">
        <v>1614</v>
      </c>
      <c r="E42" s="829">
        <v>8.6E-3</v>
      </c>
      <c r="F42" s="705"/>
      <c r="G42" s="707" t="s">
        <v>1614</v>
      </c>
      <c r="H42" s="829"/>
      <c r="I42" s="706"/>
      <c r="J42" s="748"/>
      <c r="K42" s="686"/>
      <c r="L42" s="686"/>
      <c r="M42" s="688" t="s">
        <v>798</v>
      </c>
      <c r="N42" s="688" t="s">
        <v>799</v>
      </c>
      <c r="O42" s="688" t="s">
        <v>800</v>
      </c>
      <c r="P42" s="689" t="s">
        <v>801</v>
      </c>
      <c r="Q42" s="688" t="s">
        <v>802</v>
      </c>
      <c r="R42" s="689" t="s">
        <v>1651</v>
      </c>
      <c r="S42" s="688" t="s">
        <v>803</v>
      </c>
      <c r="T42" s="689" t="s">
        <v>804</v>
      </c>
      <c r="U42" s="688" t="s">
        <v>805</v>
      </c>
      <c r="V42" s="689" t="s">
        <v>806</v>
      </c>
      <c r="W42" s="686"/>
      <c r="X42" s="686"/>
      <c r="Y42" s="686"/>
      <c r="Z42" s="686"/>
      <c r="AA42" s="688" t="s">
        <v>807</v>
      </c>
      <c r="AB42" s="688" t="s">
        <v>808</v>
      </c>
      <c r="AC42" s="900" t="s">
        <v>1802</v>
      </c>
      <c r="AD42" s="899" t="s">
        <v>1801</v>
      </c>
    </row>
    <row r="43" spans="1:30" ht="14.5" x14ac:dyDescent="0.35">
      <c r="A43" s="707" t="s">
        <v>1615</v>
      </c>
      <c r="B43" s="832">
        <v>7.0000000000000001E-3</v>
      </c>
      <c r="C43" s="703" t="str">
        <f>IF(B43&gt;0.5%, "No Cumple","Cumple")</f>
        <v>No Cumple</v>
      </c>
      <c r="D43" s="707" t="s">
        <v>1615</v>
      </c>
      <c r="E43" s="832">
        <v>6.0000000000000001E-3</v>
      </c>
      <c r="F43" s="710" t="str">
        <f>IF(E43&gt;0.5%, "No Cumple","Cumple")</f>
        <v>No Cumple</v>
      </c>
      <c r="G43" s="707" t="s">
        <v>1615</v>
      </c>
      <c r="H43" s="832"/>
      <c r="I43" s="711" t="str">
        <f>IF(H43&gt;0.5%, "No Cumple","Cumple")</f>
        <v>Cumple</v>
      </c>
      <c r="J43" s="748"/>
      <c r="K43" s="686"/>
      <c r="L43" s="686"/>
      <c r="M43" s="690" t="s">
        <v>810</v>
      </c>
      <c r="N43" s="690" t="s">
        <v>811</v>
      </c>
      <c r="O43" s="690" t="s">
        <v>812</v>
      </c>
      <c r="P43" s="691" t="s">
        <v>813</v>
      </c>
      <c r="Q43" s="690" t="s">
        <v>814</v>
      </c>
      <c r="R43" s="691" t="s">
        <v>1652</v>
      </c>
      <c r="S43" s="690" t="s">
        <v>815</v>
      </c>
      <c r="T43" s="691" t="s">
        <v>816</v>
      </c>
      <c r="U43" s="690" t="s">
        <v>374</v>
      </c>
      <c r="V43" s="691" t="s">
        <v>375</v>
      </c>
      <c r="W43" s="686"/>
      <c r="X43" s="686"/>
      <c r="Y43" s="686"/>
      <c r="Z43" s="686"/>
      <c r="AA43" s="690" t="s">
        <v>817</v>
      </c>
      <c r="AB43" s="690" t="s">
        <v>818</v>
      </c>
      <c r="AC43" s="902" t="s">
        <v>1804</v>
      </c>
      <c r="AD43" s="901" t="s">
        <v>1803</v>
      </c>
    </row>
    <row r="44" spans="1:30" ht="15" thickBot="1" x14ac:dyDescent="0.4">
      <c r="A44" s="1047" t="s">
        <v>809</v>
      </c>
      <c r="B44" s="1048"/>
      <c r="C44" s="830" t="s">
        <v>408</v>
      </c>
      <c r="D44" s="1048" t="s">
        <v>809</v>
      </c>
      <c r="E44" s="1048"/>
      <c r="F44" s="830" t="s">
        <v>408</v>
      </c>
      <c r="G44" s="1048" t="s">
        <v>809</v>
      </c>
      <c r="H44" s="1048"/>
      <c r="I44" s="831"/>
      <c r="K44" s="686"/>
      <c r="L44" s="686"/>
      <c r="M44" s="688" t="s">
        <v>820</v>
      </c>
      <c r="N44" s="688" t="s">
        <v>821</v>
      </c>
      <c r="O44" s="688" t="s">
        <v>822</v>
      </c>
      <c r="P44" s="689" t="s">
        <v>823</v>
      </c>
      <c r="Q44" s="688" t="s">
        <v>824</v>
      </c>
      <c r="R44" s="689" t="s">
        <v>1653</v>
      </c>
      <c r="S44" s="688" t="s">
        <v>825</v>
      </c>
      <c r="T44" s="689" t="s">
        <v>826</v>
      </c>
      <c r="U44" s="688" t="s">
        <v>827</v>
      </c>
      <c r="V44" s="689" t="s">
        <v>828</v>
      </c>
      <c r="W44" s="686"/>
      <c r="X44" s="686"/>
      <c r="Y44" s="686"/>
      <c r="Z44" s="686"/>
      <c r="AA44" s="688" t="s">
        <v>829</v>
      </c>
      <c r="AB44" s="688" t="s">
        <v>830</v>
      </c>
      <c r="AC44" s="900" t="s">
        <v>1806</v>
      </c>
      <c r="AD44" s="899" t="s">
        <v>1805</v>
      </c>
    </row>
    <row r="45" spans="1:30" ht="15" thickBot="1" x14ac:dyDescent="0.4">
      <c r="A45" s="966">
        <f>+VALUE(J45)</f>
        <v>20</v>
      </c>
      <c r="B45" s="1104" t="s">
        <v>819</v>
      </c>
      <c r="C45" s="1105"/>
      <c r="D45" s="1105"/>
      <c r="E45" s="1105"/>
      <c r="F45" s="1105"/>
      <c r="G45" s="1105"/>
      <c r="H45" s="1105"/>
      <c r="I45" s="1105"/>
      <c r="J45" s="967" t="str">
        <f>+MID(B46,1,2)</f>
        <v>20</v>
      </c>
      <c r="K45" s="686"/>
      <c r="L45" s="686"/>
      <c r="M45" s="690" t="s">
        <v>831</v>
      </c>
      <c r="N45" s="690" t="s">
        <v>832</v>
      </c>
      <c r="O45" s="690" t="s">
        <v>833</v>
      </c>
      <c r="P45" s="691" t="s">
        <v>834</v>
      </c>
      <c r="Q45" s="690" t="s">
        <v>835</v>
      </c>
      <c r="R45" s="691" t="s">
        <v>1654</v>
      </c>
      <c r="S45" s="690" t="s">
        <v>836</v>
      </c>
      <c r="T45" s="691" t="s">
        <v>837</v>
      </c>
      <c r="U45" s="690" t="s">
        <v>838</v>
      </c>
      <c r="V45" s="691" t="s">
        <v>839</v>
      </c>
      <c r="W45" s="686"/>
      <c r="X45" s="686"/>
      <c r="Y45" s="686"/>
      <c r="Z45" s="686"/>
      <c r="AA45" s="690" t="s">
        <v>840</v>
      </c>
      <c r="AB45" s="690" t="s">
        <v>830</v>
      </c>
      <c r="AC45" s="902" t="s">
        <v>1808</v>
      </c>
      <c r="AD45" s="901" t="s">
        <v>1807</v>
      </c>
    </row>
    <row r="46" spans="1:30" ht="14.5" x14ac:dyDescent="0.35">
      <c r="A46" s="712" t="s">
        <v>5404</v>
      </c>
      <c r="B46" s="907">
        <v>20</v>
      </c>
      <c r="C46" s="807">
        <f>'4° Resumen'!Z28</f>
        <v>1</v>
      </c>
      <c r="D46" s="712" t="s">
        <v>5404</v>
      </c>
      <c r="E46" s="907" t="s">
        <v>292</v>
      </c>
      <c r="F46" s="807">
        <f>+'1° Diseño Mezcla'!H20</f>
        <v>0</v>
      </c>
      <c r="G46" s="712" t="s">
        <v>5404</v>
      </c>
      <c r="H46" s="907">
        <v>10</v>
      </c>
      <c r="I46" s="807">
        <f>+'4° Resumen'!Z30</f>
        <v>0</v>
      </c>
      <c r="J46" s="748"/>
      <c r="K46" s="686"/>
      <c r="L46" s="686"/>
      <c r="M46" s="688" t="s">
        <v>842</v>
      </c>
      <c r="N46" s="688" t="s">
        <v>843</v>
      </c>
      <c r="O46" s="688" t="s">
        <v>844</v>
      </c>
      <c r="P46" s="689" t="s">
        <v>845</v>
      </c>
      <c r="Q46" s="688" t="s">
        <v>846</v>
      </c>
      <c r="R46" s="689" t="s">
        <v>1655</v>
      </c>
      <c r="S46" s="688" t="s">
        <v>847</v>
      </c>
      <c r="T46" s="689" t="s">
        <v>848</v>
      </c>
      <c r="U46" s="688" t="s">
        <v>849</v>
      </c>
      <c r="V46" s="689" t="s">
        <v>850</v>
      </c>
      <c r="W46" s="686"/>
      <c r="X46" s="686"/>
      <c r="Y46" s="686"/>
      <c r="Z46" s="686"/>
      <c r="AA46" s="688" t="s">
        <v>851</v>
      </c>
      <c r="AB46" s="688" t="s">
        <v>852</v>
      </c>
      <c r="AC46" s="900" t="s">
        <v>1810</v>
      </c>
      <c r="AD46" s="899" t="s">
        <v>1809</v>
      </c>
    </row>
    <row r="47" spans="1:30" ht="14.5" x14ac:dyDescent="0.35">
      <c r="A47" s="709" t="s">
        <v>841</v>
      </c>
      <c r="B47" s="903" t="s">
        <v>235</v>
      </c>
      <c r="C47" s="706"/>
      <c r="D47" s="709" t="s">
        <v>841</v>
      </c>
      <c r="E47" s="903" t="s">
        <v>235</v>
      </c>
      <c r="F47" s="706"/>
      <c r="G47" s="709" t="s">
        <v>841</v>
      </c>
      <c r="H47" s="903" t="s">
        <v>235</v>
      </c>
      <c r="I47" s="706"/>
      <c r="J47" s="748"/>
      <c r="K47" s="686"/>
      <c r="L47" s="686"/>
      <c r="M47" s="796"/>
      <c r="N47" s="686"/>
      <c r="O47" s="690" t="s">
        <v>853</v>
      </c>
      <c r="P47" s="691" t="s">
        <v>854</v>
      </c>
      <c r="Q47" s="690" t="s">
        <v>855</v>
      </c>
      <c r="R47" s="691" t="s">
        <v>1656</v>
      </c>
      <c r="S47" s="690" t="s">
        <v>856</v>
      </c>
      <c r="T47" s="691" t="s">
        <v>857</v>
      </c>
      <c r="U47" s="690" t="s">
        <v>858</v>
      </c>
      <c r="V47" s="691" t="s">
        <v>859</v>
      </c>
      <c r="W47" s="686"/>
      <c r="X47" s="686"/>
      <c r="Y47" s="686"/>
      <c r="Z47" s="686"/>
      <c r="AA47" s="690" t="s">
        <v>860</v>
      </c>
      <c r="AB47" s="690" t="s">
        <v>492</v>
      </c>
      <c r="AC47" s="902" t="s">
        <v>1812</v>
      </c>
      <c r="AD47" s="901" t="s">
        <v>1811</v>
      </c>
    </row>
    <row r="48" spans="1:30" ht="14.5" x14ac:dyDescent="0.35">
      <c r="A48" s="728" t="str">
        <f>+'2° Granulometrías'!C9</f>
        <v>1"</v>
      </c>
      <c r="B48" s="1075">
        <v>90</v>
      </c>
      <c r="C48" s="1076"/>
      <c r="D48" s="728" t="str">
        <f>+'2° Granulometrías'!G9</f>
        <v>2"</v>
      </c>
      <c r="E48" s="1075">
        <v>100</v>
      </c>
      <c r="F48" s="1076"/>
      <c r="G48" s="728" t="str">
        <f>+'2° Granulometrías'!K9</f>
        <v>1/2"</v>
      </c>
      <c r="H48" s="1075">
        <v>99</v>
      </c>
      <c r="I48" s="1076"/>
      <c r="J48" s="748"/>
      <c r="K48" s="686"/>
      <c r="L48" s="686"/>
      <c r="M48" s="686"/>
      <c r="N48" s="686"/>
      <c r="O48" s="688" t="s">
        <v>861</v>
      </c>
      <c r="P48" s="689" t="s">
        <v>862</v>
      </c>
      <c r="Q48" s="688" t="s">
        <v>863</v>
      </c>
      <c r="R48" s="689" t="s">
        <v>1657</v>
      </c>
      <c r="S48" s="688" t="s">
        <v>864</v>
      </c>
      <c r="T48" s="689" t="s">
        <v>865</v>
      </c>
      <c r="U48" s="688" t="s">
        <v>866</v>
      </c>
      <c r="V48" s="689" t="s">
        <v>867</v>
      </c>
      <c r="W48" s="686"/>
      <c r="X48" s="686"/>
      <c r="Y48" s="686"/>
      <c r="Z48" s="686"/>
      <c r="AA48" s="688" t="s">
        <v>868</v>
      </c>
      <c r="AB48" s="688" t="s">
        <v>869</v>
      </c>
      <c r="AC48" s="900" t="s">
        <v>1814</v>
      </c>
      <c r="AD48" s="899" t="s">
        <v>1813</v>
      </c>
    </row>
    <row r="49" spans="1:30" ht="14.5" x14ac:dyDescent="0.35">
      <c r="A49" s="728" t="str">
        <f>+'2° Granulometrías'!C10</f>
        <v>3/4"</v>
      </c>
      <c r="B49" s="1075">
        <v>64.400000000000006</v>
      </c>
      <c r="C49" s="1076"/>
      <c r="D49" s="728" t="str">
        <f>+'2° Granulometrías'!G10</f>
        <v>1 1/2"</v>
      </c>
      <c r="E49" s="1075">
        <v>96.85</v>
      </c>
      <c r="F49" s="1076"/>
      <c r="G49" s="728" t="str">
        <f>+'2° Granulometrías'!K10</f>
        <v>3/8"</v>
      </c>
      <c r="H49" s="1075">
        <v>98</v>
      </c>
      <c r="I49" s="1076"/>
      <c r="J49" s="748"/>
      <c r="K49" s="686"/>
      <c r="L49" s="686"/>
      <c r="M49" s="686"/>
      <c r="N49" s="686"/>
      <c r="O49" s="690" t="s">
        <v>870</v>
      </c>
      <c r="P49" s="691" t="s">
        <v>871</v>
      </c>
      <c r="Q49" s="690" t="s">
        <v>872</v>
      </c>
      <c r="R49" s="691" t="s">
        <v>1658</v>
      </c>
      <c r="S49" s="690" t="s">
        <v>873</v>
      </c>
      <c r="T49" s="691" t="s">
        <v>874</v>
      </c>
      <c r="U49" s="690" t="s">
        <v>875</v>
      </c>
      <c r="V49" s="691" t="s">
        <v>876</v>
      </c>
      <c r="W49" s="686"/>
      <c r="X49" s="686"/>
      <c r="Y49" s="686"/>
      <c r="Z49" s="686"/>
      <c r="AA49" s="690" t="s">
        <v>877</v>
      </c>
      <c r="AB49" s="690" t="s">
        <v>878</v>
      </c>
      <c r="AC49" s="902" t="s">
        <v>1816</v>
      </c>
      <c r="AD49" s="901" t="s">
        <v>1815</v>
      </c>
    </row>
    <row r="50" spans="1:30" ht="14.5" x14ac:dyDescent="0.35">
      <c r="A50" s="728" t="str">
        <f>+'2° Granulometrías'!C11</f>
        <v>1/2"</v>
      </c>
      <c r="B50" s="1075">
        <v>40.299999999999997</v>
      </c>
      <c r="C50" s="1076"/>
      <c r="D50" s="728" t="str">
        <f>+'2° Granulometrías'!G11</f>
        <v>1"</v>
      </c>
      <c r="E50" s="1075">
        <v>61.15</v>
      </c>
      <c r="F50" s="1076"/>
      <c r="G50" s="728" t="str">
        <f>+'2° Granulometrías'!K11</f>
        <v># 4</v>
      </c>
      <c r="H50" s="1075">
        <v>5</v>
      </c>
      <c r="I50" s="1076"/>
      <c r="J50" s="748"/>
      <c r="K50" s="686"/>
      <c r="L50" s="686"/>
      <c r="M50" s="686"/>
      <c r="N50" s="686"/>
      <c r="O50" s="688" t="s">
        <v>343</v>
      </c>
      <c r="P50" s="689" t="s">
        <v>563</v>
      </c>
      <c r="Q50" s="688" t="s">
        <v>879</v>
      </c>
      <c r="R50" s="689" t="s">
        <v>1659</v>
      </c>
      <c r="S50" s="688" t="s">
        <v>880</v>
      </c>
      <c r="T50" s="689" t="s">
        <v>881</v>
      </c>
      <c r="U50" s="688" t="s">
        <v>882</v>
      </c>
      <c r="V50" s="689" t="s">
        <v>883</v>
      </c>
      <c r="W50" s="686"/>
      <c r="X50" s="686"/>
      <c r="Y50" s="686"/>
      <c r="Z50" s="686"/>
      <c r="AA50" s="688" t="s">
        <v>877</v>
      </c>
      <c r="AB50" s="688" t="s">
        <v>878</v>
      </c>
      <c r="AC50" s="900" t="s">
        <v>1818</v>
      </c>
      <c r="AD50" s="899" t="s">
        <v>1817</v>
      </c>
    </row>
    <row r="51" spans="1:30" ht="14.5" x14ac:dyDescent="0.35">
      <c r="A51" s="728" t="str">
        <f>+'2° Granulometrías'!C12</f>
        <v>3/8"</v>
      </c>
      <c r="B51" s="1075">
        <v>10.47</v>
      </c>
      <c r="C51" s="1076"/>
      <c r="D51" s="728" t="str">
        <f>+'2° Granulometrías'!G12</f>
        <v>3/4"</v>
      </c>
      <c r="E51" s="1075">
        <v>36.07</v>
      </c>
      <c r="F51" s="1076"/>
      <c r="G51" s="728" t="str">
        <f>+'2° Granulometrías'!K12</f>
        <v># 8</v>
      </c>
      <c r="H51" s="1075">
        <v>1</v>
      </c>
      <c r="I51" s="1076"/>
      <c r="J51" s="748"/>
      <c r="K51" s="686"/>
      <c r="L51" s="686"/>
      <c r="M51" s="686"/>
      <c r="N51" s="686"/>
      <c r="O51" s="690" t="s">
        <v>435</v>
      </c>
      <c r="P51" s="691" t="s">
        <v>436</v>
      </c>
      <c r="Q51" s="690" t="s">
        <v>884</v>
      </c>
      <c r="R51" s="691" t="s">
        <v>1660</v>
      </c>
      <c r="S51" s="690" t="s">
        <v>885</v>
      </c>
      <c r="T51" s="691" t="s">
        <v>886</v>
      </c>
      <c r="U51" s="690" t="s">
        <v>887</v>
      </c>
      <c r="V51" s="691" t="s">
        <v>888</v>
      </c>
      <c r="W51" s="686"/>
      <c r="X51" s="686"/>
      <c r="Y51" s="686"/>
      <c r="Z51" s="686"/>
      <c r="AA51" s="690" t="s">
        <v>889</v>
      </c>
      <c r="AB51" s="690" t="s">
        <v>890</v>
      </c>
      <c r="AC51" s="902" t="s">
        <v>1820</v>
      </c>
      <c r="AD51" s="901" t="s">
        <v>1819</v>
      </c>
    </row>
    <row r="52" spans="1:30" ht="14.5" x14ac:dyDescent="0.35">
      <c r="A52" s="728" t="str">
        <f>+'2° Granulometrías'!C13</f>
        <v># 4</v>
      </c>
      <c r="B52" s="1075">
        <v>0.32</v>
      </c>
      <c r="C52" s="1076"/>
      <c r="D52" s="728" t="str">
        <f>+'2° Granulometrías'!G13</f>
        <v>1/2"</v>
      </c>
      <c r="E52" s="1075">
        <v>7.81</v>
      </c>
      <c r="F52" s="1076"/>
      <c r="G52" s="728" t="str">
        <f>+'2° Granulometrías'!K13</f>
        <v># 16</v>
      </c>
      <c r="H52" s="1075">
        <v>0.5</v>
      </c>
      <c r="I52" s="1076"/>
      <c r="J52" s="748"/>
      <c r="K52" s="686"/>
      <c r="L52" s="686"/>
      <c r="M52" s="686"/>
      <c r="N52" s="686"/>
      <c r="O52" s="688" t="s">
        <v>519</v>
      </c>
      <c r="P52" s="689" t="s">
        <v>520</v>
      </c>
      <c r="Q52" s="688" t="s">
        <v>891</v>
      </c>
      <c r="R52" s="689" t="s">
        <v>1661</v>
      </c>
      <c r="S52" s="688" t="s">
        <v>892</v>
      </c>
      <c r="T52" s="689" t="s">
        <v>893</v>
      </c>
      <c r="U52" s="688" t="s">
        <v>894</v>
      </c>
      <c r="V52" s="689" t="s">
        <v>895</v>
      </c>
      <c r="W52" s="686"/>
      <c r="X52" s="686"/>
      <c r="Y52" s="686"/>
      <c r="Z52" s="686"/>
      <c r="AA52" s="688" t="s">
        <v>896</v>
      </c>
      <c r="AB52" s="688" t="s">
        <v>897</v>
      </c>
      <c r="AC52" s="900" t="s">
        <v>1822</v>
      </c>
      <c r="AD52" s="899" t="s">
        <v>1821</v>
      </c>
    </row>
    <row r="53" spans="1:30" ht="14.5" x14ac:dyDescent="0.35">
      <c r="A53" s="728" t="str">
        <f>+'2° Granulometrías'!C14</f>
        <v># 8</v>
      </c>
      <c r="B53" s="1075">
        <v>0.15</v>
      </c>
      <c r="C53" s="1076"/>
      <c r="D53" s="728" t="str">
        <f>+'2° Granulometrías'!G14</f>
        <v>3/8"</v>
      </c>
      <c r="E53" s="1075">
        <v>4.55</v>
      </c>
      <c r="F53" s="1076"/>
      <c r="G53" s="728">
        <f>+'2° Granulometrías'!K14</f>
        <v>0</v>
      </c>
      <c r="H53" s="1075">
        <v>0</v>
      </c>
      <c r="I53" s="1076"/>
      <c r="J53" s="748"/>
      <c r="K53" s="686"/>
      <c r="L53" s="686"/>
      <c r="M53" s="686"/>
      <c r="N53" s="686"/>
      <c r="O53" s="690" t="s">
        <v>542</v>
      </c>
      <c r="P53" s="691" t="s">
        <v>543</v>
      </c>
      <c r="Q53" s="690" t="s">
        <v>898</v>
      </c>
      <c r="R53" s="691" t="s">
        <v>1662</v>
      </c>
      <c r="S53" s="690" t="s">
        <v>899</v>
      </c>
      <c r="T53" s="691" t="s">
        <v>900</v>
      </c>
      <c r="U53" s="690" t="s">
        <v>901</v>
      </c>
      <c r="V53" s="691" t="s">
        <v>902</v>
      </c>
      <c r="W53" s="686"/>
      <c r="X53" s="686"/>
      <c r="Y53" s="686"/>
      <c r="Z53" s="686"/>
      <c r="AA53" s="690" t="s">
        <v>903</v>
      </c>
      <c r="AB53" s="690" t="s">
        <v>904</v>
      </c>
      <c r="AC53" s="902" t="s">
        <v>1824</v>
      </c>
      <c r="AD53" s="901" t="s">
        <v>1823</v>
      </c>
    </row>
    <row r="54" spans="1:30" ht="14.5" x14ac:dyDescent="0.35">
      <c r="A54" s="728">
        <f>+'2° Granulometrías'!C15</f>
        <v>0</v>
      </c>
      <c r="B54" s="1075">
        <v>0</v>
      </c>
      <c r="C54" s="1076"/>
      <c r="D54" s="728">
        <f>+'2° Granulometrías'!G15</f>
        <v>0</v>
      </c>
      <c r="E54" s="1075">
        <v>0</v>
      </c>
      <c r="F54" s="1076"/>
      <c r="G54" s="728">
        <f>+'2° Granulometrías'!K15</f>
        <v>0</v>
      </c>
      <c r="H54" s="1075"/>
      <c r="I54" s="1076"/>
      <c r="J54" s="748"/>
      <c r="K54" s="686"/>
      <c r="L54" s="686"/>
      <c r="M54" s="686"/>
      <c r="N54" s="686"/>
      <c r="O54" s="688" t="s">
        <v>870</v>
      </c>
      <c r="P54" s="689" t="s">
        <v>905</v>
      </c>
      <c r="Q54" s="688" t="s">
        <v>906</v>
      </c>
      <c r="R54" s="689" t="s">
        <v>1663</v>
      </c>
      <c r="S54" s="688" t="s">
        <v>907</v>
      </c>
      <c r="T54" s="689" t="s">
        <v>908</v>
      </c>
      <c r="U54" s="688" t="s">
        <v>909</v>
      </c>
      <c r="V54" s="689" t="s">
        <v>910</v>
      </c>
      <c r="W54" s="686"/>
      <c r="X54" s="686"/>
      <c r="Y54" s="686"/>
      <c r="Z54" s="686"/>
      <c r="AA54" s="688" t="s">
        <v>911</v>
      </c>
      <c r="AB54" s="688" t="s">
        <v>912</v>
      </c>
      <c r="AC54" s="900" t="s">
        <v>1826</v>
      </c>
      <c r="AD54" s="899" t="s">
        <v>1825</v>
      </c>
    </row>
    <row r="55" spans="1:30" ht="15" thickBot="1" x14ac:dyDescent="0.4">
      <c r="A55" s="713" t="s">
        <v>227</v>
      </c>
      <c r="B55" s="1096"/>
      <c r="C55" s="1097"/>
      <c r="D55" s="713" t="s">
        <v>227</v>
      </c>
      <c r="E55" s="1096"/>
      <c r="F55" s="1097"/>
      <c r="G55" s="713" t="s">
        <v>227</v>
      </c>
      <c r="H55" s="1096"/>
      <c r="I55" s="1097"/>
      <c r="J55" s="748"/>
      <c r="K55" s="686"/>
      <c r="L55" s="686"/>
      <c r="M55" s="686"/>
      <c r="N55" s="686"/>
      <c r="O55" s="690" t="s">
        <v>435</v>
      </c>
      <c r="P55" s="691" t="s">
        <v>436</v>
      </c>
      <c r="Q55" s="690" t="s">
        <v>914</v>
      </c>
      <c r="R55" s="691" t="s">
        <v>1664</v>
      </c>
      <c r="S55" s="690" t="s">
        <v>915</v>
      </c>
      <c r="T55" s="691" t="s">
        <v>916</v>
      </c>
      <c r="U55" s="690" t="s">
        <v>917</v>
      </c>
      <c r="V55" s="691" t="s">
        <v>918</v>
      </c>
      <c r="W55" s="686"/>
      <c r="X55" s="686"/>
      <c r="Y55" s="686"/>
      <c r="Z55" s="686"/>
      <c r="AA55" s="690" t="s">
        <v>919</v>
      </c>
      <c r="AB55" s="690" t="s">
        <v>920</v>
      </c>
      <c r="AC55" s="902" t="s">
        <v>1828</v>
      </c>
      <c r="AD55" s="901" t="s">
        <v>1827</v>
      </c>
    </row>
    <row r="56" spans="1:30" ht="15" thickBot="1" x14ac:dyDescent="0.4">
      <c r="A56" s="714" t="s">
        <v>913</v>
      </c>
      <c r="B56" s="1071" t="s">
        <v>5428</v>
      </c>
      <c r="C56" s="1071"/>
      <c r="D56" s="714" t="s">
        <v>913</v>
      </c>
      <c r="E56" s="1071" t="s">
        <v>5428</v>
      </c>
      <c r="F56" s="1071"/>
      <c r="G56" s="714" t="s">
        <v>913</v>
      </c>
      <c r="H56" s="1071">
        <v>0</v>
      </c>
      <c r="I56" s="1072"/>
      <c r="J56" s="748"/>
      <c r="K56" s="686"/>
      <c r="L56" s="686"/>
      <c r="M56" s="686"/>
      <c r="N56" s="686"/>
      <c r="O56" s="688" t="s">
        <v>450</v>
      </c>
      <c r="P56" s="689" t="s">
        <v>922</v>
      </c>
      <c r="Q56" s="688" t="s">
        <v>923</v>
      </c>
      <c r="R56" s="689" t="s">
        <v>1665</v>
      </c>
      <c r="S56" s="688" t="s">
        <v>924</v>
      </c>
      <c r="T56" s="689" t="s">
        <v>925</v>
      </c>
      <c r="U56" s="688" t="s">
        <v>926</v>
      </c>
      <c r="V56" s="689" t="s">
        <v>927</v>
      </c>
      <c r="W56" s="686"/>
      <c r="X56" s="686"/>
      <c r="Y56" s="686"/>
      <c r="Z56" s="686"/>
      <c r="AA56" s="688" t="s">
        <v>928</v>
      </c>
      <c r="AB56" s="688" t="s">
        <v>929</v>
      </c>
      <c r="AC56" s="900" t="s">
        <v>1830</v>
      </c>
      <c r="AD56" s="899" t="s">
        <v>1829</v>
      </c>
    </row>
    <row r="57" spans="1:30" ht="14.5" x14ac:dyDescent="0.35">
      <c r="A57" s="745" t="s">
        <v>921</v>
      </c>
      <c r="B57" s="760"/>
      <c r="C57" s="761"/>
      <c r="D57" s="745" t="s">
        <v>921</v>
      </c>
      <c r="E57" s="760"/>
      <c r="F57" s="761"/>
      <c r="G57" s="745" t="s">
        <v>921</v>
      </c>
      <c r="H57" s="760"/>
      <c r="I57" s="762"/>
      <c r="J57" s="748"/>
      <c r="K57" s="686"/>
      <c r="L57" s="686"/>
      <c r="M57" s="686"/>
      <c r="N57" s="686"/>
      <c r="O57" s="796"/>
      <c r="P57" s="686"/>
      <c r="Q57" s="690" t="s">
        <v>930</v>
      </c>
      <c r="R57" s="691" t="s">
        <v>1666</v>
      </c>
      <c r="S57" s="690" t="s">
        <v>931</v>
      </c>
      <c r="T57" s="691" t="s">
        <v>932</v>
      </c>
      <c r="U57" s="690" t="s">
        <v>933</v>
      </c>
      <c r="V57" s="691" t="s">
        <v>934</v>
      </c>
      <c r="W57" s="686"/>
      <c r="X57" s="686"/>
      <c r="Y57" s="686"/>
      <c r="Z57" s="686"/>
      <c r="AA57" s="690" t="s">
        <v>935</v>
      </c>
      <c r="AB57" s="690" t="s">
        <v>936</v>
      </c>
      <c r="AC57" s="902" t="s">
        <v>1832</v>
      </c>
      <c r="AD57" s="901" t="s">
        <v>1831</v>
      </c>
    </row>
    <row r="58" spans="1:30" ht="14.5" x14ac:dyDescent="0.35">
      <c r="A58" s="1085"/>
      <c r="B58" s="1086"/>
      <c r="C58" s="1087"/>
      <c r="D58" s="1085"/>
      <c r="E58" s="1086"/>
      <c r="F58" s="1087"/>
      <c r="G58" s="1085"/>
      <c r="H58" s="1086"/>
      <c r="I58" s="1087"/>
      <c r="J58" s="748"/>
      <c r="K58" s="686"/>
      <c r="L58" s="686"/>
      <c r="M58" s="686"/>
      <c r="N58" s="686"/>
      <c r="O58" s="686"/>
      <c r="P58" s="686"/>
      <c r="Q58" s="688" t="s">
        <v>937</v>
      </c>
      <c r="R58" s="689" t="s">
        <v>1667</v>
      </c>
      <c r="S58" s="688" t="s">
        <v>938</v>
      </c>
      <c r="T58" s="689" t="s">
        <v>939</v>
      </c>
      <c r="U58" s="688" t="s">
        <v>940</v>
      </c>
      <c r="V58" s="689" t="s">
        <v>941</v>
      </c>
      <c r="W58" s="686"/>
      <c r="X58" s="686"/>
      <c r="Y58" s="686"/>
      <c r="Z58" s="686"/>
      <c r="AA58" s="688" t="s">
        <v>942</v>
      </c>
      <c r="AB58" s="688" t="s">
        <v>943</v>
      </c>
      <c r="AC58" s="900" t="s">
        <v>1834</v>
      </c>
      <c r="AD58" s="899" t="s">
        <v>1833</v>
      </c>
    </row>
    <row r="59" spans="1:30" ht="15" thickBot="1" x14ac:dyDescent="0.4">
      <c r="A59" s="1088"/>
      <c r="B59" s="1089"/>
      <c r="C59" s="1090"/>
      <c r="D59" s="1088"/>
      <c r="E59" s="1089"/>
      <c r="F59" s="1090"/>
      <c r="G59" s="1088"/>
      <c r="H59" s="1089"/>
      <c r="I59" s="1090"/>
      <c r="K59" s="686"/>
      <c r="L59" s="686"/>
      <c r="M59" s="686"/>
      <c r="N59" s="686"/>
      <c r="O59" s="686"/>
      <c r="P59" s="686"/>
      <c r="Q59" s="690" t="s">
        <v>944</v>
      </c>
      <c r="R59" s="691" t="s">
        <v>1668</v>
      </c>
      <c r="S59" s="690" t="s">
        <v>945</v>
      </c>
      <c r="T59" s="691" t="s">
        <v>946</v>
      </c>
      <c r="U59" s="690" t="s">
        <v>947</v>
      </c>
      <c r="V59" s="691" t="s">
        <v>948</v>
      </c>
      <c r="W59" s="686"/>
      <c r="X59" s="686"/>
      <c r="Y59" s="686"/>
      <c r="Z59" s="686"/>
      <c r="AA59" s="690" t="s">
        <v>949</v>
      </c>
      <c r="AB59" s="690" t="s">
        <v>950</v>
      </c>
      <c r="AC59" s="902" t="s">
        <v>1836</v>
      </c>
      <c r="AD59" s="901" t="s">
        <v>1835</v>
      </c>
    </row>
    <row r="60" spans="1:30" ht="16" thickBot="1" x14ac:dyDescent="0.4">
      <c r="A60" s="1015" t="s">
        <v>5397</v>
      </c>
      <c r="B60" s="1016"/>
      <c r="C60" s="1016"/>
      <c r="D60" s="1016"/>
      <c r="E60" s="1016"/>
      <c r="F60" s="1016"/>
      <c r="G60" s="1091"/>
      <c r="H60" s="1091"/>
      <c r="I60" s="1092"/>
      <c r="J60" s="748"/>
      <c r="K60" s="686"/>
      <c r="L60" s="686"/>
      <c r="M60" s="686"/>
      <c r="N60" s="686"/>
      <c r="O60" s="686"/>
      <c r="P60" s="686"/>
      <c r="Q60" s="688" t="s">
        <v>951</v>
      </c>
      <c r="R60" s="689" t="s">
        <v>1669</v>
      </c>
      <c r="S60" s="688" t="s">
        <v>952</v>
      </c>
      <c r="T60" s="689" t="s">
        <v>953</v>
      </c>
      <c r="U60" s="688" t="s">
        <v>954</v>
      </c>
      <c r="V60" s="689" t="s">
        <v>955</v>
      </c>
      <c r="W60" s="686"/>
      <c r="X60" s="686"/>
      <c r="Y60" s="686"/>
      <c r="Z60" s="686"/>
      <c r="AA60" s="688" t="s">
        <v>956</v>
      </c>
      <c r="AB60" s="688" t="s">
        <v>957</v>
      </c>
      <c r="AC60" s="900" t="s">
        <v>1838</v>
      </c>
      <c r="AD60" s="899" t="s">
        <v>1837</v>
      </c>
    </row>
    <row r="61" spans="1:30" ht="16.5" thickTop="1" thickBot="1" x14ac:dyDescent="0.4">
      <c r="A61" s="700" t="s">
        <v>5405</v>
      </c>
      <c r="B61" s="907" t="s">
        <v>519</v>
      </c>
      <c r="C61" s="917" t="str">
        <f>VLOOKUP(B61,O2:P56,2,FALSE)</f>
        <v>Caliza No. 5</v>
      </c>
      <c r="D61" s="701" t="s">
        <v>5406</v>
      </c>
      <c r="E61" s="907" t="s">
        <v>343</v>
      </c>
      <c r="F61" s="918" t="str">
        <f>IF(E61="","-----------------",(VLOOKUP(E61,O2:P56,2,FALSE)))</f>
        <v>Rio</v>
      </c>
      <c r="G61" s="1095" t="s">
        <v>5409</v>
      </c>
      <c r="H61" s="1095"/>
      <c r="I61" s="1095"/>
      <c r="J61" s="748"/>
      <c r="K61" s="686"/>
      <c r="L61" s="686"/>
      <c r="M61" s="686"/>
      <c r="N61" s="686"/>
      <c r="O61" s="686"/>
      <c r="P61" s="686"/>
      <c r="Q61" s="690" t="s">
        <v>958</v>
      </c>
      <c r="R61" s="691" t="s">
        <v>1670</v>
      </c>
      <c r="S61" s="690" t="s">
        <v>959</v>
      </c>
      <c r="T61" s="691" t="s">
        <v>960</v>
      </c>
      <c r="U61" s="690" t="s">
        <v>961</v>
      </c>
      <c r="V61" s="691" t="s">
        <v>962</v>
      </c>
      <c r="W61" s="686"/>
      <c r="X61" s="686"/>
      <c r="Y61" s="686"/>
      <c r="Z61" s="686"/>
      <c r="AA61" s="690" t="s">
        <v>963</v>
      </c>
      <c r="AB61" s="690" t="s">
        <v>964</v>
      </c>
      <c r="AC61" s="902" t="s">
        <v>1840</v>
      </c>
      <c r="AD61" s="901" t="s">
        <v>1839</v>
      </c>
    </row>
    <row r="62" spans="1:30" ht="16.5" customHeight="1" thickBot="1" x14ac:dyDescent="0.4">
      <c r="A62" s="702" t="s">
        <v>774</v>
      </c>
      <c r="B62" s="828">
        <v>2.68</v>
      </c>
      <c r="C62" s="729" t="str">
        <f>IF(B62&lt;2.4, "No Cumple","Cumple")</f>
        <v>Cumple</v>
      </c>
      <c r="D62" s="704" t="s">
        <v>774</v>
      </c>
      <c r="E62" s="828"/>
      <c r="F62" s="729" t="str">
        <f>IF(E62&lt;2.4, "No Cumple","Cumple")</f>
        <v>No Cumple</v>
      </c>
      <c r="G62" s="1107" t="s">
        <v>5410</v>
      </c>
      <c r="H62" s="1108"/>
      <c r="I62" s="1109"/>
      <c r="J62" s="748"/>
      <c r="K62" s="686"/>
      <c r="L62" s="686"/>
      <c r="M62" s="686"/>
      <c r="N62" s="686"/>
      <c r="O62" s="686"/>
      <c r="P62" s="686"/>
      <c r="Q62" s="688" t="s">
        <v>965</v>
      </c>
      <c r="R62" s="689" t="s">
        <v>1671</v>
      </c>
      <c r="S62" s="688" t="s">
        <v>966</v>
      </c>
      <c r="T62" s="689" t="s">
        <v>967</v>
      </c>
      <c r="U62" s="688" t="s">
        <v>968</v>
      </c>
      <c r="V62" s="689" t="s">
        <v>969</v>
      </c>
      <c r="W62" s="686"/>
      <c r="X62" s="686"/>
      <c r="Y62" s="686"/>
      <c r="Z62" s="686"/>
      <c r="AA62" s="688" t="s">
        <v>970</v>
      </c>
      <c r="AB62" s="688" t="s">
        <v>971</v>
      </c>
      <c r="AC62" s="900" t="s">
        <v>1842</v>
      </c>
      <c r="AD62" s="899" t="s">
        <v>1841</v>
      </c>
    </row>
    <row r="63" spans="1:30" ht="14.65" customHeight="1" x14ac:dyDescent="0.35">
      <c r="A63" s="707" t="s">
        <v>785</v>
      </c>
      <c r="B63" s="829">
        <v>3.6999999999999998E-2</v>
      </c>
      <c r="C63" s="729" t="str">
        <f>IF(B63&gt;4, "No Cumple","Cumple")</f>
        <v>Cumple</v>
      </c>
      <c r="D63" s="708" t="s">
        <v>785</v>
      </c>
      <c r="E63" s="829"/>
      <c r="F63" s="729" t="str">
        <f>IF(E63&gt;4, "No Cumple","Cumple")</f>
        <v>Cumple</v>
      </c>
      <c r="G63" s="862" t="s">
        <v>90</v>
      </c>
      <c r="H63" s="888"/>
      <c r="I63" s="866" t="s">
        <v>80</v>
      </c>
      <c r="J63" s="748"/>
      <c r="K63" s="686"/>
      <c r="L63" s="686"/>
      <c r="M63" s="686"/>
      <c r="N63" s="686"/>
      <c r="O63" s="686"/>
      <c r="P63" s="686"/>
      <c r="Q63" s="690" t="s">
        <v>972</v>
      </c>
      <c r="R63" s="691" t="s">
        <v>1672</v>
      </c>
      <c r="S63" s="690" t="s">
        <v>973</v>
      </c>
      <c r="T63" s="691" t="s">
        <v>974</v>
      </c>
      <c r="U63" s="690" t="s">
        <v>968</v>
      </c>
      <c r="V63" s="691" t="s">
        <v>975</v>
      </c>
      <c r="W63" s="686"/>
      <c r="X63" s="686"/>
      <c r="Y63" s="686"/>
      <c r="Z63" s="686"/>
      <c r="AA63" s="690" t="s">
        <v>976</v>
      </c>
      <c r="AB63" s="690" t="s">
        <v>977</v>
      </c>
      <c r="AC63" s="902" t="s">
        <v>1844</v>
      </c>
      <c r="AD63" s="901" t="s">
        <v>1843</v>
      </c>
    </row>
    <row r="64" spans="1:30" ht="14.5" x14ac:dyDescent="0.35">
      <c r="A64" s="707" t="s">
        <v>1614</v>
      </c>
      <c r="B64" s="829">
        <v>1.83E-2</v>
      </c>
      <c r="C64" s="703"/>
      <c r="D64" s="708" t="s">
        <v>1614</v>
      </c>
      <c r="E64" s="829"/>
      <c r="F64" s="729"/>
      <c r="G64" s="862" t="s">
        <v>91</v>
      </c>
      <c r="H64" s="888">
        <v>0</v>
      </c>
      <c r="I64" s="793" t="s">
        <v>1717</v>
      </c>
      <c r="J64" s="748"/>
      <c r="K64" s="686"/>
      <c r="L64" s="686"/>
      <c r="M64" s="686"/>
      <c r="N64" s="686"/>
      <c r="O64" s="686"/>
      <c r="P64" s="686"/>
      <c r="Q64" s="688" t="s">
        <v>972</v>
      </c>
      <c r="R64" s="689" t="s">
        <v>1673</v>
      </c>
      <c r="S64" s="688" t="s">
        <v>978</v>
      </c>
      <c r="T64" s="689" t="s">
        <v>979</v>
      </c>
      <c r="U64" s="688" t="s">
        <v>980</v>
      </c>
      <c r="V64" s="689" t="s">
        <v>981</v>
      </c>
      <c r="W64" s="686"/>
      <c r="X64" s="686"/>
      <c r="Y64" s="686"/>
      <c r="Z64" s="686"/>
      <c r="AA64" s="688" t="s">
        <v>982</v>
      </c>
      <c r="AB64" s="688" t="s">
        <v>983</v>
      </c>
      <c r="AC64" s="900" t="s">
        <v>1846</v>
      </c>
      <c r="AD64" s="899" t="s">
        <v>1845</v>
      </c>
    </row>
    <row r="65" spans="1:34" ht="14.5" x14ac:dyDescent="0.35">
      <c r="A65" s="709" t="s">
        <v>797</v>
      </c>
      <c r="B65" s="832">
        <v>0.15</v>
      </c>
      <c r="C65" s="729" t="str">
        <f>IF(B65&gt;6%, "No Cumple","Cumple")</f>
        <v>No Cumple</v>
      </c>
      <c r="D65" s="692" t="s">
        <v>797</v>
      </c>
      <c r="E65" s="832"/>
      <c r="F65" s="729" t="str">
        <f>IF(E65&gt;6%, "No Cumple","Cumple")</f>
        <v>Cumple</v>
      </c>
      <c r="G65" s="863" t="s">
        <v>92</v>
      </c>
      <c r="H65" s="890">
        <f>'1° Diseño Mezcla'!N98</f>
        <v>98.51</v>
      </c>
      <c r="I65" s="793"/>
      <c r="J65" s="748"/>
      <c r="K65" s="686"/>
      <c r="L65" s="686"/>
      <c r="M65" s="686"/>
      <c r="N65" s="686"/>
      <c r="O65" s="686"/>
      <c r="P65" s="686"/>
      <c r="Q65" s="690" t="s">
        <v>984</v>
      </c>
      <c r="R65" s="691" t="s">
        <v>1674</v>
      </c>
      <c r="S65" s="690" t="s">
        <v>985</v>
      </c>
      <c r="T65" s="691" t="s">
        <v>986</v>
      </c>
      <c r="U65" s="690" t="s">
        <v>987</v>
      </c>
      <c r="V65" s="691" t="s">
        <v>988</v>
      </c>
      <c r="W65" s="686"/>
      <c r="X65" s="686"/>
      <c r="Y65" s="686"/>
      <c r="Z65" s="686"/>
      <c r="AA65" s="690" t="s">
        <v>989</v>
      </c>
      <c r="AB65" s="690" t="s">
        <v>990</v>
      </c>
      <c r="AC65" s="902" t="s">
        <v>1848</v>
      </c>
      <c r="AD65" s="901" t="s">
        <v>1847</v>
      </c>
    </row>
    <row r="66" spans="1:34" ht="15" thickBot="1" x14ac:dyDescent="0.4">
      <c r="A66" s="1093" t="s">
        <v>809</v>
      </c>
      <c r="B66" s="1094"/>
      <c r="C66" s="830" t="s">
        <v>408</v>
      </c>
      <c r="D66" s="1094" t="s">
        <v>809</v>
      </c>
      <c r="E66" s="1094"/>
      <c r="F66" s="833"/>
      <c r="G66" s="863" t="s">
        <v>87</v>
      </c>
      <c r="H66" s="889">
        <f>'1° Diseño Mezcla'!Q96</f>
        <v>4.04</v>
      </c>
      <c r="I66" s="867" t="s">
        <v>80</v>
      </c>
      <c r="J66" s="748"/>
      <c r="K66" s="686"/>
      <c r="L66" s="686"/>
      <c r="M66" s="686"/>
      <c r="N66" s="686"/>
      <c r="O66" s="686"/>
      <c r="P66" s="686"/>
      <c r="Q66" s="688" t="s">
        <v>991</v>
      </c>
      <c r="R66" s="689" t="s">
        <v>1675</v>
      </c>
      <c r="S66" s="688" t="s">
        <v>992</v>
      </c>
      <c r="T66" s="689" t="s">
        <v>993</v>
      </c>
      <c r="U66" s="688" t="s">
        <v>994</v>
      </c>
      <c r="V66" s="689" t="s">
        <v>995</v>
      </c>
      <c r="W66" s="686"/>
      <c r="X66" s="686"/>
      <c r="Y66" s="686"/>
      <c r="Z66" s="686"/>
      <c r="AA66" s="688" t="s">
        <v>996</v>
      </c>
      <c r="AB66" s="688" t="s">
        <v>997</v>
      </c>
      <c r="AC66" s="900" t="s">
        <v>1850</v>
      </c>
      <c r="AD66" s="899" t="s">
        <v>1849</v>
      </c>
    </row>
    <row r="67" spans="1:34" ht="15" thickBot="1" x14ac:dyDescent="0.4">
      <c r="A67" s="1104" t="s">
        <v>5408</v>
      </c>
      <c r="B67" s="1105"/>
      <c r="C67" s="1105"/>
      <c r="D67" s="1105"/>
      <c r="E67" s="1105"/>
      <c r="F67" s="1106"/>
      <c r="G67" s="865" t="s">
        <v>1620</v>
      </c>
      <c r="H67" s="868" t="str">
        <f>+'1° Diseño Mezcla'!R74</f>
        <v>2385 kg/m3</v>
      </c>
      <c r="I67" s="864"/>
      <c r="J67" s="748"/>
      <c r="K67" s="686"/>
      <c r="L67" s="686"/>
      <c r="M67" s="686"/>
      <c r="N67" s="686"/>
      <c r="O67" s="686"/>
      <c r="P67" s="686"/>
      <c r="Q67" s="690" t="s">
        <v>998</v>
      </c>
      <c r="R67" s="691" t="s">
        <v>1676</v>
      </c>
      <c r="S67" s="690" t="s">
        <v>992</v>
      </c>
      <c r="T67" s="691" t="s">
        <v>993</v>
      </c>
      <c r="U67" s="690" t="s">
        <v>999</v>
      </c>
      <c r="V67" s="691" t="s">
        <v>1000</v>
      </c>
      <c r="W67" s="686"/>
      <c r="X67" s="686"/>
      <c r="Y67" s="686"/>
      <c r="Z67" s="686"/>
      <c r="AA67" s="690" t="s">
        <v>1001</v>
      </c>
      <c r="AB67" s="690" t="s">
        <v>1002</v>
      </c>
      <c r="AC67" s="902" t="s">
        <v>1852</v>
      </c>
      <c r="AD67" s="901" t="s">
        <v>1851</v>
      </c>
    </row>
    <row r="68" spans="1:34" ht="14.5" x14ac:dyDescent="0.35">
      <c r="A68" s="712" t="s">
        <v>160</v>
      </c>
      <c r="B68" s="807">
        <f>+'4° Resumen'!Z31</f>
        <v>1</v>
      </c>
      <c r="C68" s="807"/>
      <c r="D68" s="712" t="s">
        <v>160</v>
      </c>
      <c r="E68" s="809">
        <f>+'4° Resumen'!Z32</f>
        <v>0</v>
      </c>
      <c r="F68" s="809"/>
      <c r="G68" s="712" t="s">
        <v>1242</v>
      </c>
      <c r="H68" s="812" t="s">
        <v>1235</v>
      </c>
      <c r="I68" s="813" t="str">
        <f>+'1° Diseño Mezcla'!P91</f>
        <v>Rend %</v>
      </c>
      <c r="J68" s="748"/>
      <c r="K68" s="686"/>
      <c r="L68" s="686"/>
      <c r="M68" s="686"/>
      <c r="N68" s="686"/>
      <c r="O68" s="686"/>
      <c r="P68" s="686"/>
      <c r="Q68" s="688" t="s">
        <v>1003</v>
      </c>
      <c r="R68" s="689" t="s">
        <v>1677</v>
      </c>
      <c r="S68" s="688" t="s">
        <v>1004</v>
      </c>
      <c r="T68" s="689" t="s">
        <v>1005</v>
      </c>
      <c r="U68" s="688" t="s">
        <v>1006</v>
      </c>
      <c r="V68" s="689" t="s">
        <v>1007</v>
      </c>
      <c r="W68" s="686"/>
      <c r="X68" s="686"/>
      <c r="Y68" s="686"/>
      <c r="Z68" s="686"/>
      <c r="AA68" s="688" t="s">
        <v>1008</v>
      </c>
      <c r="AB68" s="688" t="s">
        <v>1009</v>
      </c>
      <c r="AC68" s="900" t="s">
        <v>1854</v>
      </c>
      <c r="AD68" s="899" t="s">
        <v>1853</v>
      </c>
    </row>
    <row r="69" spans="1:34" ht="14.65" customHeight="1" x14ac:dyDescent="0.35">
      <c r="A69" s="709" t="s">
        <v>841</v>
      </c>
      <c r="B69" s="903" t="s">
        <v>235</v>
      </c>
      <c r="C69" s="706"/>
      <c r="D69" s="709" t="s">
        <v>841</v>
      </c>
      <c r="E69" s="903" t="s">
        <v>235</v>
      </c>
      <c r="F69" s="729"/>
      <c r="G69" s="845"/>
      <c r="H69" s="846"/>
      <c r="I69" s="811">
        <f>+'1° Diseño Mezcla'!Q91/100</f>
        <v>1.0029196371837323</v>
      </c>
      <c r="J69" s="748"/>
      <c r="K69" s="686"/>
      <c r="L69" s="686"/>
      <c r="M69" s="686"/>
      <c r="N69" s="686"/>
      <c r="O69" s="686"/>
      <c r="P69" s="686"/>
      <c r="Q69" s="690" t="s">
        <v>1010</v>
      </c>
      <c r="R69" s="691" t="s">
        <v>1678</v>
      </c>
      <c r="S69" s="690" t="s">
        <v>1011</v>
      </c>
      <c r="T69" s="691" t="s">
        <v>1012</v>
      </c>
      <c r="U69" s="690" t="s">
        <v>1013</v>
      </c>
      <c r="V69" s="691" t="s">
        <v>1014</v>
      </c>
      <c r="W69" s="686"/>
      <c r="X69" s="686"/>
      <c r="Y69" s="686"/>
      <c r="Z69" s="686"/>
      <c r="AA69" s="690" t="s">
        <v>1015</v>
      </c>
      <c r="AB69" s="690" t="s">
        <v>504</v>
      </c>
      <c r="AC69" s="902" t="s">
        <v>1856</v>
      </c>
      <c r="AD69" s="901" t="s">
        <v>1855</v>
      </c>
    </row>
    <row r="70" spans="1:34" ht="15" customHeight="1" x14ac:dyDescent="0.35">
      <c r="A70" s="709" t="s">
        <v>219</v>
      </c>
      <c r="B70" s="1075">
        <v>100</v>
      </c>
      <c r="C70" s="1076"/>
      <c r="D70" s="709" t="s">
        <v>219</v>
      </c>
      <c r="E70" s="1075"/>
      <c r="F70" s="1082"/>
      <c r="G70" s="709" t="s">
        <v>1234</v>
      </c>
      <c r="H70" s="692" t="str">
        <f>+'1° Diseño Mezcla'!D96</f>
        <v>Aspecto</v>
      </c>
      <c r="I70" s="814" t="str">
        <f>+'1° Diseño Mezcla'!D98</f>
        <v>Cohesión</v>
      </c>
      <c r="J70" s="748"/>
      <c r="K70" s="686"/>
      <c r="L70" s="686"/>
      <c r="M70" s="686"/>
      <c r="N70" s="686"/>
      <c r="O70" s="686"/>
      <c r="P70" s="686"/>
      <c r="Q70" s="688" t="s">
        <v>1016</v>
      </c>
      <c r="R70" s="689" t="s">
        <v>1679</v>
      </c>
      <c r="S70" s="688" t="s">
        <v>1017</v>
      </c>
      <c r="T70" s="689" t="s">
        <v>1018</v>
      </c>
      <c r="U70" s="688" t="s">
        <v>1019</v>
      </c>
      <c r="V70" s="689" t="s">
        <v>1020</v>
      </c>
      <c r="W70" s="686"/>
      <c r="X70" s="686"/>
      <c r="Y70" s="686"/>
      <c r="Z70" s="686"/>
      <c r="AA70" s="688" t="s">
        <v>1021</v>
      </c>
      <c r="AB70" s="688" t="s">
        <v>1022</v>
      </c>
      <c r="AC70" s="900" t="s">
        <v>1858</v>
      </c>
      <c r="AD70" s="899" t="s">
        <v>1857</v>
      </c>
    </row>
    <row r="71" spans="1:34" ht="14.5" x14ac:dyDescent="0.35">
      <c r="A71" s="709" t="s">
        <v>220</v>
      </c>
      <c r="B71" s="1075">
        <v>88</v>
      </c>
      <c r="C71" s="1076"/>
      <c r="D71" s="709" t="s">
        <v>220</v>
      </c>
      <c r="E71" s="1075"/>
      <c r="F71" s="1082"/>
      <c r="G71" s="847"/>
      <c r="H71" s="848" t="s">
        <v>5424</v>
      </c>
      <c r="I71" s="849" t="s">
        <v>5424</v>
      </c>
      <c r="J71" s="748"/>
      <c r="K71" s="686"/>
      <c r="L71" s="686"/>
      <c r="M71" s="686"/>
      <c r="N71" s="686"/>
      <c r="O71" s="686"/>
      <c r="P71" s="686"/>
      <c r="Q71" s="690" t="s">
        <v>1023</v>
      </c>
      <c r="R71" s="691" t="s">
        <v>1680</v>
      </c>
      <c r="S71" s="690" t="s">
        <v>1024</v>
      </c>
      <c r="T71" s="691" t="s">
        <v>1025</v>
      </c>
      <c r="U71" s="690" t="s">
        <v>1026</v>
      </c>
      <c r="V71" s="691" t="s">
        <v>1027</v>
      </c>
      <c r="W71" s="686"/>
      <c r="X71" s="686"/>
      <c r="Y71" s="686"/>
      <c r="Z71" s="686"/>
      <c r="AA71" s="690" t="s">
        <v>1028</v>
      </c>
      <c r="AB71" s="690" t="s">
        <v>1029</v>
      </c>
      <c r="AC71" s="902" t="s">
        <v>1860</v>
      </c>
      <c r="AD71" s="901" t="s">
        <v>1859</v>
      </c>
    </row>
    <row r="72" spans="1:34" ht="14.5" x14ac:dyDescent="0.35">
      <c r="A72" s="709" t="s">
        <v>221</v>
      </c>
      <c r="B72" s="1075">
        <v>67</v>
      </c>
      <c r="C72" s="1076"/>
      <c r="D72" s="709" t="s">
        <v>221</v>
      </c>
      <c r="E72" s="1075"/>
      <c r="F72" s="1076"/>
      <c r="G72" s="709" t="s">
        <v>1236</v>
      </c>
      <c r="H72" s="842"/>
      <c r="I72" s="814" t="str">
        <f>IF(H72&gt;3%,"No cumple","Cumple")</f>
        <v>Cumple</v>
      </c>
      <c r="J72" s="748"/>
      <c r="K72" s="686"/>
      <c r="L72" s="686"/>
      <c r="M72" s="686"/>
      <c r="N72" s="686"/>
      <c r="O72" s="686"/>
      <c r="P72" s="686"/>
      <c r="Q72" s="688" t="s">
        <v>1030</v>
      </c>
      <c r="R72" s="689" t="s">
        <v>1681</v>
      </c>
      <c r="S72" s="688" t="s">
        <v>1031</v>
      </c>
      <c r="T72" s="689" t="s">
        <v>1032</v>
      </c>
      <c r="U72" s="688" t="s">
        <v>1033</v>
      </c>
      <c r="V72" s="689" t="s">
        <v>1034</v>
      </c>
      <c r="W72" s="686"/>
      <c r="X72" s="686"/>
      <c r="Y72" s="686"/>
      <c r="Z72" s="686"/>
      <c r="AA72" s="688" t="s">
        <v>1035</v>
      </c>
      <c r="AB72" s="688" t="s">
        <v>1036</v>
      </c>
      <c r="AC72" s="900" t="s">
        <v>1862</v>
      </c>
      <c r="AD72" s="899" t="s">
        <v>1861</v>
      </c>
    </row>
    <row r="73" spans="1:34" ht="14.5" x14ac:dyDescent="0.35">
      <c r="A73" s="709" t="s">
        <v>222</v>
      </c>
      <c r="B73" s="1075">
        <v>54.32</v>
      </c>
      <c r="C73" s="1076"/>
      <c r="D73" s="709" t="s">
        <v>222</v>
      </c>
      <c r="E73" s="1075"/>
      <c r="F73" s="1082"/>
      <c r="G73" s="709" t="s">
        <v>1619</v>
      </c>
      <c r="H73" s="860">
        <v>2350</v>
      </c>
      <c r="I73" s="814" t="str">
        <f>IF(H73&lt;2200,"No cumple","Cumple")</f>
        <v>Cumple</v>
      </c>
      <c r="J73" s="748"/>
      <c r="K73" s="686"/>
      <c r="L73" s="686"/>
      <c r="M73" s="686"/>
      <c r="N73" s="686"/>
      <c r="O73" s="686"/>
      <c r="P73" s="686"/>
      <c r="Q73" s="690" t="s">
        <v>1037</v>
      </c>
      <c r="R73" s="691" t="s">
        <v>1682</v>
      </c>
      <c r="S73" s="690" t="s">
        <v>1038</v>
      </c>
      <c r="T73" s="691" t="s">
        <v>1039</v>
      </c>
      <c r="U73" s="690" t="s">
        <v>1040</v>
      </c>
      <c r="V73" s="691" t="s">
        <v>1041</v>
      </c>
      <c r="W73" s="686"/>
      <c r="X73" s="686"/>
      <c r="Y73" s="686"/>
      <c r="Z73" s="686"/>
      <c r="AA73" s="690" t="s">
        <v>1042</v>
      </c>
      <c r="AB73" s="690" t="s">
        <v>1043</v>
      </c>
      <c r="AC73" s="902" t="s">
        <v>1864</v>
      </c>
      <c r="AD73" s="901" t="s">
        <v>1863</v>
      </c>
    </row>
    <row r="74" spans="1:34" ht="14.5" x14ac:dyDescent="0.35">
      <c r="A74" s="709" t="s">
        <v>223</v>
      </c>
      <c r="B74" s="1075">
        <v>38.97</v>
      </c>
      <c r="C74" s="1076"/>
      <c r="D74" s="709" t="s">
        <v>223</v>
      </c>
      <c r="E74" s="1075"/>
      <c r="F74" s="1082"/>
      <c r="G74" s="709" t="s">
        <v>1258</v>
      </c>
      <c r="H74" s="692" t="s">
        <v>1259</v>
      </c>
      <c r="I74" s="814" t="s">
        <v>1260</v>
      </c>
      <c r="J74" s="748"/>
      <c r="K74" s="686"/>
      <c r="L74" s="686"/>
      <c r="M74" s="686"/>
      <c r="N74" s="686"/>
      <c r="O74" s="686"/>
      <c r="P74" s="686"/>
      <c r="Q74" s="688" t="s">
        <v>1044</v>
      </c>
      <c r="R74" s="689" t="s">
        <v>1683</v>
      </c>
      <c r="S74" s="688" t="s">
        <v>1045</v>
      </c>
      <c r="T74" s="689" t="s">
        <v>1046</v>
      </c>
      <c r="U74" s="688" t="s">
        <v>1047</v>
      </c>
      <c r="V74" s="689" t="s">
        <v>1048</v>
      </c>
      <c r="W74" s="686"/>
      <c r="X74" s="686"/>
      <c r="Y74" s="686"/>
      <c r="Z74" s="686"/>
      <c r="AA74" s="688" t="s">
        <v>1049</v>
      </c>
      <c r="AB74" s="688" t="s">
        <v>1050</v>
      </c>
      <c r="AC74" s="900" t="s">
        <v>1866</v>
      </c>
      <c r="AD74" s="899" t="s">
        <v>1865</v>
      </c>
    </row>
    <row r="75" spans="1:34" ht="15" thickBot="1" x14ac:dyDescent="0.4">
      <c r="A75" s="709" t="s">
        <v>224</v>
      </c>
      <c r="B75" s="1075">
        <v>27.46</v>
      </c>
      <c r="C75" s="1076"/>
      <c r="D75" s="709" t="s">
        <v>224</v>
      </c>
      <c r="E75" s="1075"/>
      <c r="F75" s="1082"/>
      <c r="G75" s="843">
        <v>0.20833333333333334</v>
      </c>
      <c r="H75" s="844">
        <v>0.27083333333333331</v>
      </c>
      <c r="I75" s="810">
        <f>H75-G75</f>
        <v>6.2499999999999972E-2</v>
      </c>
      <c r="J75" s="748"/>
      <c r="K75" s="686"/>
      <c r="L75" s="686"/>
      <c r="M75" s="686"/>
      <c r="N75" s="686"/>
      <c r="O75" s="686"/>
      <c r="P75" s="686"/>
      <c r="Q75" s="690" t="s">
        <v>1051</v>
      </c>
      <c r="R75" s="691" t="s">
        <v>1684</v>
      </c>
      <c r="S75" s="690" t="s">
        <v>1052</v>
      </c>
      <c r="T75" s="691" t="s">
        <v>1053</v>
      </c>
      <c r="U75" s="690" t="s">
        <v>1054</v>
      </c>
      <c r="V75" s="691" t="s">
        <v>1055</v>
      </c>
      <c r="W75" s="686"/>
      <c r="X75" s="686"/>
      <c r="Y75" s="686"/>
      <c r="Z75" s="686"/>
      <c r="AA75" s="690" t="s">
        <v>1056</v>
      </c>
      <c r="AB75" s="690" t="s">
        <v>1057</v>
      </c>
      <c r="AC75" s="902" t="s">
        <v>1868</v>
      </c>
      <c r="AD75" s="901" t="s">
        <v>1867</v>
      </c>
    </row>
    <row r="76" spans="1:34" ht="15" thickBot="1" x14ac:dyDescent="0.4">
      <c r="A76" s="709" t="s">
        <v>225</v>
      </c>
      <c r="B76" s="1075">
        <v>11.19</v>
      </c>
      <c r="C76" s="1076"/>
      <c r="D76" s="709" t="s">
        <v>225</v>
      </c>
      <c r="E76" s="1075"/>
      <c r="F76" s="1082"/>
      <c r="G76" s="1116" t="s">
        <v>5407</v>
      </c>
      <c r="H76" s="1117"/>
      <c r="I76" s="1118"/>
      <c r="J76" s="748"/>
      <c r="K76" s="686"/>
      <c r="L76" s="686"/>
      <c r="M76" s="686"/>
      <c r="N76" s="686"/>
      <c r="O76" s="686"/>
      <c r="P76" s="686"/>
      <c r="Q76" s="688" t="s">
        <v>1058</v>
      </c>
      <c r="R76" s="689" t="s">
        <v>1685</v>
      </c>
      <c r="S76" s="688" t="s">
        <v>1059</v>
      </c>
      <c r="T76" s="689" t="s">
        <v>1060</v>
      </c>
      <c r="U76" s="688" t="s">
        <v>1061</v>
      </c>
      <c r="V76" s="689" t="s">
        <v>1062</v>
      </c>
      <c r="W76" s="686"/>
      <c r="X76" s="686"/>
      <c r="Y76" s="686"/>
      <c r="Z76" s="686"/>
      <c r="AA76" s="688" t="s">
        <v>1063</v>
      </c>
      <c r="AB76" s="688" t="s">
        <v>1064</v>
      </c>
      <c r="AC76" s="900" t="s">
        <v>1870</v>
      </c>
      <c r="AD76" s="899" t="s">
        <v>1869</v>
      </c>
    </row>
    <row r="77" spans="1:34" ht="15" thickBot="1" x14ac:dyDescent="0.4">
      <c r="A77" s="713" t="s">
        <v>226</v>
      </c>
      <c r="B77" s="1075">
        <v>0</v>
      </c>
      <c r="C77" s="1076"/>
      <c r="D77" s="713" t="s">
        <v>226</v>
      </c>
      <c r="E77" s="1078"/>
      <c r="F77" s="1079"/>
      <c r="G77" s="857" t="s">
        <v>188</v>
      </c>
      <c r="H77" s="858" t="s">
        <v>1106</v>
      </c>
      <c r="I77" s="859" t="s">
        <v>1115</v>
      </c>
      <c r="J77" s="748"/>
      <c r="K77" s="686"/>
      <c r="L77" s="686"/>
      <c r="M77" s="686"/>
      <c r="N77" s="686"/>
      <c r="O77" s="686"/>
      <c r="P77" s="686"/>
      <c r="Q77" s="690" t="s">
        <v>1065</v>
      </c>
      <c r="R77" s="691" t="s">
        <v>1686</v>
      </c>
      <c r="S77" s="690" t="s">
        <v>1066</v>
      </c>
      <c r="T77" s="691" t="s">
        <v>1067</v>
      </c>
      <c r="U77" s="690" t="s">
        <v>1068</v>
      </c>
      <c r="V77" s="691" t="s">
        <v>1069</v>
      </c>
      <c r="W77" s="686"/>
      <c r="X77" s="686"/>
      <c r="Y77" s="686"/>
      <c r="Z77" s="686"/>
      <c r="AA77" s="690" t="s">
        <v>1070</v>
      </c>
      <c r="AB77" s="690" t="s">
        <v>1071</v>
      </c>
      <c r="AC77" s="902" t="s">
        <v>1872</v>
      </c>
      <c r="AD77" s="901" t="s">
        <v>1871</v>
      </c>
    </row>
    <row r="78" spans="1:34" ht="15" thickBot="1" x14ac:dyDescent="0.4">
      <c r="A78" s="714" t="s">
        <v>227</v>
      </c>
      <c r="B78" s="1083">
        <f>+'2° Granulometrías'!P23</f>
        <v>3.1306000000000007</v>
      </c>
      <c r="C78" s="1084"/>
      <c r="D78" s="714" t="s">
        <v>227</v>
      </c>
      <c r="E78" s="1080">
        <f>+'2° Granulometrías'!Q23</f>
        <v>0</v>
      </c>
      <c r="F78" s="1081"/>
      <c r="G78" s="854">
        <f>+IF(I83="03",2,IF(I83&gt;3,3))</f>
        <v>3</v>
      </c>
      <c r="H78" s="834"/>
      <c r="I78" s="835"/>
      <c r="J78" s="748"/>
      <c r="K78" s="686"/>
      <c r="L78" s="686"/>
      <c r="M78" s="686"/>
      <c r="N78" s="686"/>
      <c r="O78" s="686"/>
      <c r="P78" s="686"/>
      <c r="Q78" s="688" t="s">
        <v>1072</v>
      </c>
      <c r="R78" s="689" t="s">
        <v>1687</v>
      </c>
      <c r="S78" s="688" t="s">
        <v>1073</v>
      </c>
      <c r="T78" s="689" t="s">
        <v>1074</v>
      </c>
      <c r="U78" s="688" t="s">
        <v>1075</v>
      </c>
      <c r="V78" s="689" t="s">
        <v>1076</v>
      </c>
      <c r="W78" s="686"/>
      <c r="X78" s="686"/>
      <c r="Y78" s="686"/>
      <c r="Z78" s="686"/>
      <c r="AA78" s="688" t="s">
        <v>1077</v>
      </c>
      <c r="AB78" s="688" t="s">
        <v>1078</v>
      </c>
      <c r="AC78" s="900" t="s">
        <v>1874</v>
      </c>
      <c r="AD78" s="899" t="s">
        <v>1873</v>
      </c>
      <c r="AH78" s="731" t="s">
        <v>229</v>
      </c>
    </row>
    <row r="79" spans="1:34" ht="15" thickBot="1" x14ac:dyDescent="0.4">
      <c r="A79" s="715" t="s">
        <v>913</v>
      </c>
      <c r="B79" s="1133" t="s">
        <v>5426</v>
      </c>
      <c r="C79" s="1133"/>
      <c r="D79" s="715" t="s">
        <v>913</v>
      </c>
      <c r="E79" s="1134" t="s">
        <v>5429</v>
      </c>
      <c r="F79" s="1134"/>
      <c r="G79" s="855">
        <f>+IF(I83="03",3,IF(I83="07",7,IF(I83="14",7,IF(I83="28",7))))</f>
        <v>7</v>
      </c>
      <c r="H79" s="836"/>
      <c r="I79" s="837"/>
      <c r="J79" s="748"/>
      <c r="K79" s="686"/>
      <c r="L79" s="686"/>
      <c r="M79" s="686"/>
      <c r="N79" s="686"/>
      <c r="O79" s="686"/>
      <c r="P79" s="686"/>
      <c r="Q79" s="690" t="s">
        <v>1079</v>
      </c>
      <c r="R79" s="691" t="s">
        <v>1688</v>
      </c>
      <c r="S79" s="690" t="s">
        <v>1080</v>
      </c>
      <c r="T79" s="691" t="s">
        <v>1081</v>
      </c>
      <c r="U79" s="690" t="s">
        <v>1082</v>
      </c>
      <c r="V79" s="691" t="s">
        <v>1083</v>
      </c>
      <c r="W79" s="686"/>
      <c r="X79" s="686"/>
      <c r="Y79" s="686"/>
      <c r="Z79" s="686"/>
      <c r="AA79" s="690" t="s">
        <v>1084</v>
      </c>
      <c r="AB79" s="690" t="s">
        <v>1085</v>
      </c>
      <c r="AC79" s="902" t="s">
        <v>1876</v>
      </c>
      <c r="AD79" s="901" t="s">
        <v>1875</v>
      </c>
    </row>
    <row r="80" spans="1:34" ht="14.5" x14ac:dyDescent="0.35">
      <c r="A80" s="746" t="s">
        <v>921</v>
      </c>
      <c r="B80" s="760"/>
      <c r="C80" s="761"/>
      <c r="D80" s="746" t="s">
        <v>921</v>
      </c>
      <c r="E80" s="1119"/>
      <c r="F80" s="1120"/>
      <c r="G80" s="855">
        <f>+IF(I83="03",3,IF(I83="07",7,IF(I83="14",14,IF(I83="28",14))))</f>
        <v>14</v>
      </c>
      <c r="H80" s="836"/>
      <c r="I80" s="837"/>
      <c r="J80" s="748"/>
      <c r="K80" s="686"/>
      <c r="L80" s="686"/>
      <c r="M80" s="686"/>
      <c r="N80" s="686"/>
      <c r="O80" s="686"/>
      <c r="P80" s="686"/>
      <c r="Q80" s="688" t="s">
        <v>1086</v>
      </c>
      <c r="R80" s="689" t="s">
        <v>1689</v>
      </c>
      <c r="S80" s="688" t="s">
        <v>1087</v>
      </c>
      <c r="T80" s="689" t="s">
        <v>1088</v>
      </c>
      <c r="U80" s="688" t="s">
        <v>1089</v>
      </c>
      <c r="V80" s="689" t="s">
        <v>1090</v>
      </c>
      <c r="W80" s="686"/>
      <c r="X80" s="686"/>
      <c r="Y80" s="686"/>
      <c r="Z80" s="686"/>
      <c r="AA80" s="688" t="s">
        <v>1091</v>
      </c>
      <c r="AB80" s="688" t="s">
        <v>1092</v>
      </c>
      <c r="AC80" s="900" t="s">
        <v>1878</v>
      </c>
      <c r="AD80" s="899" t="s">
        <v>1877</v>
      </c>
    </row>
    <row r="81" spans="1:30" ht="14.5" x14ac:dyDescent="0.35">
      <c r="A81" s="1110"/>
      <c r="B81" s="1111"/>
      <c r="C81" s="1112"/>
      <c r="D81" s="1110"/>
      <c r="E81" s="1111"/>
      <c r="F81" s="1112"/>
      <c r="G81" s="855">
        <f>+IF(I83="03",7,IF(I83="07",14,IF(I83="14",14,IF(I83="28",28))))</f>
        <v>28</v>
      </c>
      <c r="H81" s="838"/>
      <c r="I81" s="839"/>
      <c r="J81" s="748"/>
      <c r="K81" s="686"/>
      <c r="L81" s="686"/>
      <c r="M81" s="686"/>
      <c r="N81" s="686"/>
      <c r="O81" s="686"/>
      <c r="P81" s="686"/>
      <c r="Q81" s="690" t="s">
        <v>1086</v>
      </c>
      <c r="R81" s="691" t="s">
        <v>1689</v>
      </c>
      <c r="S81" s="690" t="s">
        <v>1093</v>
      </c>
      <c r="T81" s="691" t="s">
        <v>1094</v>
      </c>
      <c r="U81" s="690" t="s">
        <v>1095</v>
      </c>
      <c r="V81" s="691" t="s">
        <v>652</v>
      </c>
      <c r="W81" s="686"/>
      <c r="X81" s="686"/>
      <c r="Y81" s="686"/>
      <c r="Z81" s="686"/>
      <c r="AA81" s="690" t="s">
        <v>1096</v>
      </c>
      <c r="AB81" s="690" t="s">
        <v>1097</v>
      </c>
      <c r="AC81" s="902" t="s">
        <v>1880</v>
      </c>
      <c r="AD81" s="901" t="s">
        <v>1879</v>
      </c>
    </row>
    <row r="82" spans="1:30" ht="15" thickBot="1" x14ac:dyDescent="0.4">
      <c r="A82" s="1113"/>
      <c r="B82" s="1114"/>
      <c r="C82" s="1115"/>
      <c r="D82" s="1113"/>
      <c r="E82" s="1114"/>
      <c r="F82" s="1115"/>
      <c r="G82" s="856">
        <f>+IF(I83="03","",IF(I83="07","",IF(I83="14","",IF(I83="28",28))))</f>
        <v>28</v>
      </c>
      <c r="H82" s="840"/>
      <c r="I82" s="841"/>
      <c r="J82" s="748"/>
      <c r="K82" s="686"/>
      <c r="L82" s="686"/>
      <c r="M82" s="686"/>
      <c r="N82" s="686"/>
      <c r="O82" s="686"/>
      <c r="P82" s="686"/>
      <c r="Q82" s="688" t="s">
        <v>1098</v>
      </c>
      <c r="R82" s="689" t="s">
        <v>1690</v>
      </c>
      <c r="S82" s="688" t="s">
        <v>1099</v>
      </c>
      <c r="T82" s="689" t="s">
        <v>1100</v>
      </c>
      <c r="U82" s="688" t="s">
        <v>1101</v>
      </c>
      <c r="V82" s="689" t="s">
        <v>1102</v>
      </c>
      <c r="W82" s="686"/>
      <c r="X82" s="686"/>
      <c r="Y82" s="686"/>
      <c r="Z82" s="686"/>
      <c r="AA82" s="688" t="s">
        <v>1103</v>
      </c>
      <c r="AB82" s="688" t="s">
        <v>1104</v>
      </c>
      <c r="AC82" s="900" t="s">
        <v>1882</v>
      </c>
      <c r="AD82" s="899" t="s">
        <v>1881</v>
      </c>
    </row>
    <row r="83" spans="1:30" ht="15" thickBot="1" x14ac:dyDescent="0.4">
      <c r="A83" s="995" t="str">
        <f>+MID(E85,3,3)</f>
        <v>042</v>
      </c>
      <c r="B83" s="743"/>
      <c r="C83" s="743"/>
      <c r="D83" s="743"/>
      <c r="E83" s="743"/>
      <c r="F83" s="742"/>
      <c r="G83" s="743"/>
      <c r="H83" s="743"/>
      <c r="I83" s="915" t="str">
        <f>+MID(E85,11,2)</f>
        <v>28</v>
      </c>
      <c r="J83" s="748"/>
      <c r="K83" s="686" t="s">
        <v>1106</v>
      </c>
      <c r="L83" s="686"/>
      <c r="M83" s="686"/>
      <c r="N83" s="686"/>
      <c r="O83" s="686"/>
      <c r="P83" s="686"/>
      <c r="Q83" s="690" t="s">
        <v>1098</v>
      </c>
      <c r="R83" s="691" t="s">
        <v>1690</v>
      </c>
      <c r="S83" s="690" t="s">
        <v>1107</v>
      </c>
      <c r="T83" s="691" t="s">
        <v>1108</v>
      </c>
      <c r="U83" s="690" t="s">
        <v>1109</v>
      </c>
      <c r="V83" s="691" t="s">
        <v>1110</v>
      </c>
      <c r="W83" s="686"/>
      <c r="X83" s="686"/>
      <c r="Y83" s="686"/>
      <c r="Z83" s="686"/>
      <c r="AA83" s="690" t="s">
        <v>1111</v>
      </c>
      <c r="AB83" s="690" t="s">
        <v>1112</v>
      </c>
      <c r="AC83" s="902" t="s">
        <v>1884</v>
      </c>
      <c r="AD83" s="901" t="s">
        <v>1883</v>
      </c>
    </row>
    <row r="84" spans="1:30" ht="16" thickBot="1" x14ac:dyDescent="0.4">
      <c r="A84" s="1061" t="s">
        <v>5411</v>
      </c>
      <c r="B84" s="1062"/>
      <c r="C84" s="1062"/>
      <c r="D84" s="1062"/>
      <c r="E84" s="1062"/>
      <c r="F84" s="1062"/>
      <c r="G84" s="1062"/>
      <c r="H84" s="1062"/>
      <c r="I84" s="1063"/>
      <c r="J84" s="748"/>
      <c r="K84" s="686" t="s">
        <v>1115</v>
      </c>
      <c r="L84" s="686"/>
      <c r="M84" s="686"/>
      <c r="N84" s="686"/>
      <c r="O84" s="686"/>
      <c r="P84" s="686"/>
      <c r="Q84" s="688" t="s">
        <v>1098</v>
      </c>
      <c r="R84" s="689" t="s">
        <v>1690</v>
      </c>
      <c r="S84" s="688" t="s">
        <v>1116</v>
      </c>
      <c r="T84" s="689" t="s">
        <v>1117</v>
      </c>
      <c r="U84" s="688" t="s">
        <v>345</v>
      </c>
      <c r="V84" s="689" t="s">
        <v>1118</v>
      </c>
      <c r="W84" s="686"/>
      <c r="X84" s="686"/>
      <c r="Y84" s="686"/>
      <c r="Z84" s="686"/>
      <c r="AA84" s="688" t="s">
        <v>1119</v>
      </c>
      <c r="AB84" s="688" t="s">
        <v>1120</v>
      </c>
      <c r="AC84" s="900" t="s">
        <v>1886</v>
      </c>
      <c r="AD84" s="899" t="s">
        <v>1885</v>
      </c>
    </row>
    <row r="85" spans="1:30" ht="16" thickBot="1" x14ac:dyDescent="0.4">
      <c r="A85" s="1131" t="s">
        <v>1105</v>
      </c>
      <c r="B85" s="1131"/>
      <c r="C85" s="1132"/>
      <c r="D85" s="912" t="s">
        <v>1618</v>
      </c>
      <c r="E85" s="1044" t="s">
        <v>5432</v>
      </c>
      <c r="F85" s="1045"/>
      <c r="G85" s="1045"/>
      <c r="H85" s="1045"/>
      <c r="I85" s="1046"/>
      <c r="J85" s="748"/>
      <c r="K85" s="686"/>
      <c r="L85" s="686"/>
      <c r="M85" s="686"/>
      <c r="N85" s="686"/>
      <c r="O85" s="686"/>
      <c r="P85" s="686"/>
      <c r="Q85" s="690" t="s">
        <v>1122</v>
      </c>
      <c r="R85" s="691" t="s">
        <v>1691</v>
      </c>
      <c r="S85" s="690" t="s">
        <v>1123</v>
      </c>
      <c r="T85" s="691" t="s">
        <v>1124</v>
      </c>
      <c r="U85" s="690" t="s">
        <v>1125</v>
      </c>
      <c r="V85" s="691" t="s">
        <v>1126</v>
      </c>
      <c r="W85" s="686"/>
      <c r="X85" s="686"/>
      <c r="Y85" s="686"/>
      <c r="Z85" s="686"/>
      <c r="AA85" s="690" t="s">
        <v>1127</v>
      </c>
      <c r="AB85" s="690" t="s">
        <v>1104</v>
      </c>
      <c r="AC85" s="902" t="s">
        <v>1888</v>
      </c>
      <c r="AD85" s="901" t="s">
        <v>1887</v>
      </c>
    </row>
    <row r="86" spans="1:30" ht="14.5" x14ac:dyDescent="0.35">
      <c r="A86" s="893" t="s">
        <v>1113</v>
      </c>
      <c r="B86" s="894" t="str">
        <f>+IF(C86&lt;=60,"FLEXIÓN",IF(C86&gt;60,"COMPRESIÓN"))</f>
        <v>FLEXIÓN</v>
      </c>
      <c r="C86" s="913">
        <f>+VALUE(A83)</f>
        <v>42</v>
      </c>
      <c r="D86" s="998" t="s">
        <v>1114</v>
      </c>
      <c r="E86" s="999"/>
      <c r="F86" s="999"/>
      <c r="G86" s="1000"/>
      <c r="H86" s="1001" t="str">
        <f>+B86</f>
        <v>FLEXIÓN</v>
      </c>
      <c r="I86" s="1002"/>
      <c r="J86" s="748"/>
      <c r="K86" s="686"/>
      <c r="L86" s="686"/>
      <c r="M86" s="686"/>
      <c r="N86" s="686"/>
      <c r="O86" s="686"/>
      <c r="P86" s="686"/>
      <c r="Q86" s="688" t="s">
        <v>1122</v>
      </c>
      <c r="R86" s="689" t="s">
        <v>1691</v>
      </c>
      <c r="S86" s="688" t="s">
        <v>1130</v>
      </c>
      <c r="T86" s="689" t="s">
        <v>1131</v>
      </c>
      <c r="U86" s="688" t="s">
        <v>1132</v>
      </c>
      <c r="V86" s="689" t="s">
        <v>1133</v>
      </c>
      <c r="W86" s="686"/>
      <c r="X86" s="686"/>
      <c r="Y86" s="686"/>
      <c r="Z86" s="686"/>
      <c r="AA86" s="688" t="s">
        <v>1134</v>
      </c>
      <c r="AB86" s="688" t="s">
        <v>1104</v>
      </c>
      <c r="AC86" s="900" t="s">
        <v>1890</v>
      </c>
      <c r="AD86" s="899" t="s">
        <v>1889</v>
      </c>
    </row>
    <row r="87" spans="1:30" ht="14.5" x14ac:dyDescent="0.35">
      <c r="A87" s="792" t="s">
        <v>1121</v>
      </c>
      <c r="B87" s="850">
        <v>40</v>
      </c>
      <c r="C87" s="793"/>
      <c r="D87" s="1098" t="s">
        <v>1610</v>
      </c>
      <c r="E87" s="1099"/>
      <c r="F87" s="1099"/>
      <c r="G87" s="892">
        <f>C86</f>
        <v>42</v>
      </c>
      <c r="H87" s="922" t="str">
        <f>IF(H86="Compresión","",IF(G87&gt;37,"Cumple", "No Cumple"))</f>
        <v>Cumple</v>
      </c>
      <c r="I87" s="923" t="str">
        <f>IF(H86="Flexión","",IF(G87&gt;249,"Cumple", "No Cumple"))</f>
        <v/>
      </c>
      <c r="J87" s="748"/>
      <c r="K87" s="686">
        <v>10</v>
      </c>
      <c r="L87" s="686"/>
      <c r="M87" s="686"/>
      <c r="N87" s="686"/>
      <c r="O87" s="686"/>
      <c r="P87" s="686"/>
      <c r="Q87" s="690" t="s">
        <v>1136</v>
      </c>
      <c r="R87" s="691" t="s">
        <v>1692</v>
      </c>
      <c r="S87" s="690" t="s">
        <v>1137</v>
      </c>
      <c r="T87" s="691" t="s">
        <v>1032</v>
      </c>
      <c r="U87" s="690" t="s">
        <v>1138</v>
      </c>
      <c r="V87" s="691" t="s">
        <v>1139</v>
      </c>
      <c r="W87" s="686"/>
      <c r="X87" s="686"/>
      <c r="Y87" s="686"/>
      <c r="Z87" s="686"/>
      <c r="AA87" s="690" t="s">
        <v>1140</v>
      </c>
      <c r="AB87" s="690" t="s">
        <v>1141</v>
      </c>
      <c r="AC87" s="902" t="s">
        <v>1892</v>
      </c>
      <c r="AD87" s="901" t="s">
        <v>1891</v>
      </c>
    </row>
    <row r="88" spans="1:30" ht="14.5" x14ac:dyDescent="0.35">
      <c r="A88" s="792" t="s">
        <v>1128</v>
      </c>
      <c r="B88" s="797">
        <f>'4° Resumen'!D5</f>
        <v>335</v>
      </c>
      <c r="C88" s="793" t="s">
        <v>1129</v>
      </c>
      <c r="D88" s="1098" t="s">
        <v>5422</v>
      </c>
      <c r="E88" s="1099"/>
      <c r="F88" s="1099"/>
      <c r="G88" s="801">
        <f>B87</f>
        <v>40</v>
      </c>
      <c r="H88" s="1101" t="str">
        <f>IF(G88&lt;40,"No Cumple","Cumple")</f>
        <v>Cumple</v>
      </c>
      <c r="I88" s="1102"/>
      <c r="J88" s="748"/>
      <c r="K88" s="686">
        <v>13</v>
      </c>
      <c r="L88" s="686"/>
      <c r="M88" s="686"/>
      <c r="N88" s="686"/>
      <c r="O88" s="686"/>
      <c r="P88" s="686"/>
      <c r="Q88" s="688" t="s">
        <v>1136</v>
      </c>
      <c r="R88" s="689" t="s">
        <v>1692</v>
      </c>
      <c r="S88" s="688" t="s">
        <v>1143</v>
      </c>
      <c r="T88" s="689" t="s">
        <v>1144</v>
      </c>
      <c r="U88" s="688" t="s">
        <v>1145</v>
      </c>
      <c r="V88" s="689" t="s">
        <v>1146</v>
      </c>
      <c r="W88" s="686"/>
      <c r="X88" s="686"/>
      <c r="Y88" s="686"/>
      <c r="Z88" s="686"/>
      <c r="AA88" s="688" t="s">
        <v>1147</v>
      </c>
      <c r="AB88" s="688" t="s">
        <v>1148</v>
      </c>
      <c r="AC88" s="900" t="s">
        <v>1894</v>
      </c>
      <c r="AD88" s="899" t="s">
        <v>1893</v>
      </c>
    </row>
    <row r="89" spans="1:30" ht="14.5" x14ac:dyDescent="0.35">
      <c r="A89" s="792" t="str">
        <f>+C39</f>
        <v>20 Basalto 20 mm (3/4")</v>
      </c>
      <c r="B89" s="798">
        <f>IF('4° Resumen'!Z28=0,"",('1° Diseño Mezcla'!B79))</f>
        <v>954.28125708603159</v>
      </c>
      <c r="C89" s="793" t="s">
        <v>1129</v>
      </c>
      <c r="D89" s="1098" t="s">
        <v>1135</v>
      </c>
      <c r="E89" s="1099"/>
      <c r="F89" s="1099"/>
      <c r="G89" s="916">
        <f>+F28</f>
        <v>0</v>
      </c>
      <c r="H89" s="1101" t="s">
        <v>421</v>
      </c>
      <c r="I89" s="1102"/>
      <c r="J89" s="748"/>
      <c r="K89" s="686">
        <v>20</v>
      </c>
      <c r="L89" s="686"/>
      <c r="M89" s="686"/>
      <c r="N89" s="686"/>
      <c r="O89" s="686"/>
      <c r="P89" s="686"/>
      <c r="Q89" s="690" t="s">
        <v>1149</v>
      </c>
      <c r="R89" s="691" t="s">
        <v>1693</v>
      </c>
      <c r="S89" s="690" t="s">
        <v>1150</v>
      </c>
      <c r="T89" s="691" t="s">
        <v>1151</v>
      </c>
      <c r="U89" s="690" t="s">
        <v>1152</v>
      </c>
      <c r="V89" s="691" t="s">
        <v>1153</v>
      </c>
      <c r="W89" s="686"/>
      <c r="X89" s="686"/>
      <c r="Y89" s="686"/>
      <c r="Z89" s="686"/>
      <c r="AA89" s="690" t="s">
        <v>1154</v>
      </c>
      <c r="AB89" s="690" t="s">
        <v>1155</v>
      </c>
      <c r="AC89" s="902" t="s">
        <v>1896</v>
      </c>
      <c r="AD89" s="901" t="s">
        <v>1895</v>
      </c>
    </row>
    <row r="90" spans="1:30" ht="14.5" x14ac:dyDescent="0.35">
      <c r="A90" s="792" t="str">
        <f>IF(B90="","",F39)</f>
        <v/>
      </c>
      <c r="B90" s="798" t="str">
        <f>IF('4° Resumen'!Z29=0,"",('1° Diseño Mezcla'!B80))</f>
        <v/>
      </c>
      <c r="C90" s="793" t="s">
        <v>1129</v>
      </c>
      <c r="D90" s="1098" t="s">
        <v>1142</v>
      </c>
      <c r="E90" s="1099"/>
      <c r="F90" s="1099"/>
      <c r="G90" s="799">
        <f>B94/B88</f>
        <v>0.52238805970149249</v>
      </c>
      <c r="H90" s="1101" t="str">
        <f>IF(G90&lt;0.55,"Cumple", "No Cumple")</f>
        <v>Cumple</v>
      </c>
      <c r="I90" s="1102"/>
      <c r="J90" s="748"/>
      <c r="K90" s="686">
        <v>40</v>
      </c>
      <c r="L90" s="686"/>
      <c r="M90" s="686"/>
      <c r="N90" s="686"/>
      <c r="O90" s="686"/>
      <c r="P90" s="686"/>
      <c r="Q90" s="688" t="s">
        <v>1156</v>
      </c>
      <c r="R90" s="689" t="s">
        <v>1694</v>
      </c>
      <c r="S90" s="688" t="s">
        <v>1157</v>
      </c>
      <c r="T90" s="689" t="s">
        <v>1158</v>
      </c>
      <c r="U90" s="688" t="s">
        <v>1159</v>
      </c>
      <c r="V90" s="689" t="s">
        <v>1160</v>
      </c>
      <c r="W90" s="686"/>
      <c r="X90" s="686"/>
      <c r="Y90" s="686"/>
      <c r="Z90" s="686"/>
      <c r="AA90" s="688" t="s">
        <v>1161</v>
      </c>
      <c r="AB90" s="688" t="s">
        <v>1162</v>
      </c>
      <c r="AC90" s="900" t="s">
        <v>1898</v>
      </c>
      <c r="AD90" s="899" t="s">
        <v>1897</v>
      </c>
    </row>
    <row r="91" spans="1:30" ht="14.5" x14ac:dyDescent="0.35">
      <c r="A91" s="792" t="str">
        <f>IF(B91="","",I39)</f>
        <v/>
      </c>
      <c r="B91" s="798" t="str">
        <f>IF('4° Resumen'!Z30=0,"",('1° Diseño Mezcla'!B92))</f>
        <v/>
      </c>
      <c r="C91" s="793" t="s">
        <v>1129</v>
      </c>
      <c r="D91" s="1098" t="s">
        <v>1718</v>
      </c>
      <c r="E91" s="1099"/>
      <c r="F91" s="1099"/>
      <c r="G91" s="870">
        <v>450</v>
      </c>
      <c r="H91" s="1101" t="str">
        <f>IF(G91&lt;=600,"Cumple", "No Cumple")</f>
        <v>Cumple</v>
      </c>
      <c r="I91" s="1102"/>
      <c r="J91" s="748"/>
      <c r="K91" s="686"/>
      <c r="L91" s="686"/>
      <c r="M91" s="686"/>
      <c r="N91" s="686"/>
      <c r="O91" s="686"/>
      <c r="P91" s="686"/>
      <c r="Q91" s="690" t="s">
        <v>1163</v>
      </c>
      <c r="R91" s="691" t="s">
        <v>1695</v>
      </c>
      <c r="S91" s="690" t="s">
        <v>1164</v>
      </c>
      <c r="T91" s="691" t="s">
        <v>1165</v>
      </c>
      <c r="U91" s="690" t="s">
        <v>1166</v>
      </c>
      <c r="V91" s="691" t="s">
        <v>1167</v>
      </c>
      <c r="W91" s="686"/>
      <c r="X91" s="686"/>
      <c r="Y91" s="686"/>
      <c r="Z91" s="686"/>
      <c r="AA91" s="690" t="s">
        <v>1168</v>
      </c>
      <c r="AB91" s="690" t="s">
        <v>1169</v>
      </c>
      <c r="AC91" s="902" t="s">
        <v>1900</v>
      </c>
      <c r="AD91" s="901" t="s">
        <v>1899</v>
      </c>
    </row>
    <row r="92" spans="1:30" ht="14.5" x14ac:dyDescent="0.35">
      <c r="A92" s="792" t="str">
        <f>IF(B92="","",C61)</f>
        <v>Caliza No. 5</v>
      </c>
      <c r="B92" s="798">
        <f>+'1° Diseño Mezcla'!B77</f>
        <v>917.57813181349184</v>
      </c>
      <c r="C92" s="793" t="s">
        <v>1129</v>
      </c>
      <c r="D92" s="1098" t="s">
        <v>1605</v>
      </c>
      <c r="E92" s="1099"/>
      <c r="F92" s="1099"/>
      <c r="G92" s="802">
        <f>+'WF vrs CF'!C4</f>
        <v>68.041857881967786</v>
      </c>
      <c r="H92" s="1101" t="str">
        <f>IF(G92&gt;70,"No cumple",(IF(G92&lt;60,"No cumple","Cumple")))</f>
        <v>Cumple</v>
      </c>
      <c r="I92" s="1102"/>
      <c r="J92" s="748"/>
      <c r="K92" s="686"/>
      <c r="L92" s="686"/>
      <c r="M92" s="686"/>
      <c r="N92" s="686"/>
      <c r="O92" s="686"/>
      <c r="P92" s="686"/>
      <c r="Q92" s="688" t="s">
        <v>1172</v>
      </c>
      <c r="R92" s="689" t="s">
        <v>1696</v>
      </c>
      <c r="S92" s="688" t="s">
        <v>1173</v>
      </c>
      <c r="T92" s="689" t="s">
        <v>1174</v>
      </c>
      <c r="U92" s="688" t="s">
        <v>1175</v>
      </c>
      <c r="V92" s="689" t="s">
        <v>1176</v>
      </c>
      <c r="W92" s="686"/>
      <c r="X92" s="686"/>
      <c r="Y92" s="686"/>
      <c r="Z92" s="686"/>
      <c r="AA92" s="688" t="s">
        <v>1177</v>
      </c>
      <c r="AB92" s="688" t="s">
        <v>1178</v>
      </c>
      <c r="AC92" s="900" t="s">
        <v>1902</v>
      </c>
      <c r="AD92" s="899" t="s">
        <v>1901</v>
      </c>
    </row>
    <row r="93" spans="1:30" ht="14.5" x14ac:dyDescent="0.35">
      <c r="A93" s="792" t="str">
        <f>IF(B93="","",F61)</f>
        <v/>
      </c>
      <c r="B93" s="798" t="str">
        <f>+'1° Diseño Mezcla'!B89</f>
        <v/>
      </c>
      <c r="C93" s="793" t="s">
        <v>1129</v>
      </c>
      <c r="D93" s="1098" t="s">
        <v>1606</v>
      </c>
      <c r="E93" s="1099"/>
      <c r="F93" s="1099"/>
      <c r="G93" s="802">
        <f>+'WF vrs CF'!C3</f>
        <v>32.919607843137257</v>
      </c>
      <c r="H93" s="1101" t="str">
        <f>IF(G93&gt;37,"No cumple",(IF(G93&lt;33,"No cumple","Cumple")))</f>
        <v>No cumple</v>
      </c>
      <c r="I93" s="1102"/>
      <c r="J93" s="748"/>
      <c r="K93" s="686"/>
      <c r="L93" s="686"/>
      <c r="M93" s="686"/>
      <c r="N93" s="686"/>
      <c r="O93" s="686"/>
      <c r="P93" s="686"/>
      <c r="Q93" s="690" t="s">
        <v>1180</v>
      </c>
      <c r="R93" s="691" t="s">
        <v>1697</v>
      </c>
      <c r="S93" s="690" t="s">
        <v>1181</v>
      </c>
      <c r="T93" s="691" t="s">
        <v>1182</v>
      </c>
      <c r="U93" s="690" t="s">
        <v>1183</v>
      </c>
      <c r="V93" s="691" t="s">
        <v>1184</v>
      </c>
      <c r="W93" s="686"/>
      <c r="X93" s="686"/>
      <c r="Y93" s="686"/>
      <c r="Z93" s="686"/>
      <c r="AA93" s="690" t="s">
        <v>1185</v>
      </c>
      <c r="AB93" s="690" t="s">
        <v>1186</v>
      </c>
      <c r="AC93" s="902" t="s">
        <v>1904</v>
      </c>
      <c r="AD93" s="901" t="s">
        <v>1903</v>
      </c>
    </row>
    <row r="94" spans="1:30" ht="14.5" x14ac:dyDescent="0.35">
      <c r="A94" s="792" t="s">
        <v>11</v>
      </c>
      <c r="B94" s="797">
        <f>'4° Resumen'!Z25</f>
        <v>175</v>
      </c>
      <c r="C94" s="793" t="s">
        <v>1170</v>
      </c>
      <c r="D94" s="1098" t="s">
        <v>1171</v>
      </c>
      <c r="E94" s="1099"/>
      <c r="F94" s="1099"/>
      <c r="G94" s="803">
        <f>+'4° Resumen'!L7</f>
        <v>0.51176632782516784</v>
      </c>
      <c r="H94" s="1101" t="str">
        <f>IF(G94&gt;52,"No cumple",(IF(G94&lt;50,"No Cumple"," Cumple")))</f>
        <v>No Cumple</v>
      </c>
      <c r="I94" s="1102"/>
      <c r="J94" s="748"/>
      <c r="K94" s="686"/>
      <c r="L94" s="686"/>
      <c r="M94" s="686"/>
      <c r="N94" s="686"/>
      <c r="O94" s="686"/>
      <c r="P94" s="686"/>
      <c r="Q94" s="688" t="s">
        <v>1188</v>
      </c>
      <c r="R94" s="689" t="s">
        <v>1698</v>
      </c>
      <c r="S94" s="688" t="s">
        <v>1189</v>
      </c>
      <c r="T94" s="689" t="s">
        <v>1190</v>
      </c>
      <c r="U94" s="688" t="s">
        <v>1191</v>
      </c>
      <c r="V94" s="689" t="s">
        <v>1192</v>
      </c>
      <c r="W94" s="686"/>
      <c r="X94" s="686"/>
      <c r="Y94" s="686"/>
      <c r="Z94" s="686"/>
      <c r="AA94" s="796"/>
      <c r="AB94" s="686"/>
      <c r="AC94" s="900" t="s">
        <v>1906</v>
      </c>
      <c r="AD94" s="899" t="s">
        <v>1905</v>
      </c>
    </row>
    <row r="95" spans="1:30" ht="14.5" x14ac:dyDescent="0.35">
      <c r="A95" s="792" t="str">
        <f>+IF(C33="","","Aditivos linea")</f>
        <v>Aditivos linea</v>
      </c>
      <c r="B95" s="799">
        <f>IF(H33=0,"",H33)</f>
        <v>5</v>
      </c>
      <c r="C95" s="793" t="s">
        <v>52</v>
      </c>
      <c r="D95" s="1098" t="s">
        <v>1179</v>
      </c>
      <c r="E95" s="1099"/>
      <c r="F95" s="1099"/>
      <c r="G95" s="800">
        <f>B88</f>
        <v>335</v>
      </c>
      <c r="H95" s="1101" t="str">
        <f>IF(G95&gt;350,"No cumple",(IF(G95&lt;280,"No cumple","Cumple")))</f>
        <v>Cumple</v>
      </c>
      <c r="I95" s="1102"/>
      <c r="J95" s="748"/>
      <c r="K95" s="686"/>
      <c r="L95" s="686"/>
      <c r="M95" s="686"/>
      <c r="N95" s="686"/>
      <c r="O95" s="686"/>
      <c r="P95" s="686"/>
      <c r="Q95" s="690" t="s">
        <v>1193</v>
      </c>
      <c r="R95" s="691" t="s">
        <v>1699</v>
      </c>
      <c r="S95" s="690" t="s">
        <v>1194</v>
      </c>
      <c r="T95" s="691" t="s">
        <v>1195</v>
      </c>
      <c r="U95" s="690" t="s">
        <v>1196</v>
      </c>
      <c r="V95" s="691" t="s">
        <v>1197</v>
      </c>
      <c r="W95" s="686"/>
      <c r="X95" s="686"/>
      <c r="Y95" s="686"/>
      <c r="Z95" s="686"/>
      <c r="AA95" s="796" t="s">
        <v>1612</v>
      </c>
      <c r="AB95" s="686"/>
      <c r="AC95" s="902" t="s">
        <v>1908</v>
      </c>
      <c r="AD95" s="901" t="s">
        <v>1907</v>
      </c>
    </row>
    <row r="96" spans="1:30" ht="14.5" x14ac:dyDescent="0.35">
      <c r="A96" s="792" t="str">
        <f>+IF(C34="","","Aditivo Fludificante")</f>
        <v>Aditivo Fludificante</v>
      </c>
      <c r="B96" s="799">
        <f>IF(H34=0,"",H34)</f>
        <v>4</v>
      </c>
      <c r="C96" s="793" t="s">
        <v>52</v>
      </c>
      <c r="D96" s="1098" t="s">
        <v>1187</v>
      </c>
      <c r="E96" s="1099"/>
      <c r="F96" s="1099"/>
      <c r="G96" s="800">
        <f>B94</f>
        <v>175</v>
      </c>
      <c r="H96" s="1101" t="str">
        <f>IF(G96&gt;175,"No cumple","Cumple")</f>
        <v>Cumple</v>
      </c>
      <c r="I96" s="1102"/>
      <c r="J96" s="748"/>
      <c r="K96" s="686"/>
      <c r="L96" s="686"/>
      <c r="M96" s="686"/>
      <c r="N96" s="686"/>
      <c r="O96" s="686"/>
      <c r="P96" s="686"/>
      <c r="Q96" s="688" t="s">
        <v>1198</v>
      </c>
      <c r="R96" s="689" t="s">
        <v>1700</v>
      </c>
      <c r="S96" s="688" t="s">
        <v>1199</v>
      </c>
      <c r="T96" s="689" t="s">
        <v>1200</v>
      </c>
      <c r="U96" s="688" t="s">
        <v>1201</v>
      </c>
      <c r="V96" s="689" t="s">
        <v>1202</v>
      </c>
      <c r="W96" s="686"/>
      <c r="X96" s="686"/>
      <c r="Y96" s="686"/>
      <c r="Z96" s="686"/>
      <c r="AA96" s="796" t="s">
        <v>1613</v>
      </c>
      <c r="AB96" s="686"/>
      <c r="AC96" s="900" t="s">
        <v>1910</v>
      </c>
      <c r="AD96" s="899" t="s">
        <v>1909</v>
      </c>
    </row>
    <row r="97" spans="1:30" ht="14.5" x14ac:dyDescent="0.35">
      <c r="A97" s="792" t="str">
        <f>+IF(C35="","","Exclusor de aire")</f>
        <v>Exclusor de aire</v>
      </c>
      <c r="B97" s="799">
        <f>IF(H35=0,"",H35)</f>
        <v>100</v>
      </c>
      <c r="C97" s="793" t="s">
        <v>52</v>
      </c>
      <c r="D97" s="792" t="s">
        <v>1616</v>
      </c>
      <c r="E97" s="869">
        <v>10</v>
      </c>
      <c r="F97" s="852">
        <f>+IF(E97&lt;=2,"No aplica",IF(E97&gt;20,"No aplica",IF(E97&lt;=5,1.5,IF(E97&lt;=10,2.5,IF(E97&gt;10,3.5,0)))))</f>
        <v>2.5</v>
      </c>
      <c r="G97" s="804">
        <v>18</v>
      </c>
      <c r="H97" s="1101" t="str">
        <f>IF(F97="No aplica","No aplica",IF(G97&gt;(E97+F97)*12.5,"No cumple",(IF(G97&lt;(E97-F97),"No cumple","Cumple"))))</f>
        <v>Cumple</v>
      </c>
      <c r="I97" s="1102"/>
      <c r="J97" s="748"/>
      <c r="K97" s="686"/>
      <c r="L97" s="686"/>
      <c r="M97" s="686"/>
      <c r="N97" s="686"/>
      <c r="O97" s="686"/>
      <c r="P97" s="686"/>
      <c r="Q97" s="690" t="s">
        <v>1204</v>
      </c>
      <c r="R97" s="691" t="s">
        <v>1701</v>
      </c>
      <c r="S97" s="690" t="s">
        <v>1205</v>
      </c>
      <c r="T97" s="691" t="s">
        <v>1206</v>
      </c>
      <c r="U97" s="690" t="s">
        <v>1207</v>
      </c>
      <c r="V97" s="691" t="s">
        <v>1208</v>
      </c>
      <c r="W97" s="686"/>
      <c r="X97" s="686"/>
      <c r="Y97" s="686"/>
      <c r="Z97" s="686"/>
      <c r="AA97" s="686"/>
      <c r="AB97" s="686"/>
      <c r="AC97" s="902" t="s">
        <v>1912</v>
      </c>
      <c r="AD97" s="901" t="s">
        <v>1911</v>
      </c>
    </row>
    <row r="98" spans="1:30" ht="15.5" x14ac:dyDescent="0.35">
      <c r="A98" s="792" t="str">
        <f>+IF(C36="","","Adición")</f>
        <v/>
      </c>
      <c r="B98" s="851" t="str">
        <f>IF(H37=0,"",H37)</f>
        <v/>
      </c>
      <c r="C98" s="793" t="s">
        <v>1623</v>
      </c>
      <c r="D98" s="1098" t="s">
        <v>340</v>
      </c>
      <c r="E98" s="1099"/>
      <c r="F98" s="1099"/>
      <c r="G98" s="805">
        <f>H72</f>
        <v>0</v>
      </c>
      <c r="H98" s="1101" t="str">
        <f>IF(G98&gt;3%,"No cumple","Cumple")</f>
        <v>Cumple</v>
      </c>
      <c r="I98" s="1102"/>
      <c r="J98" s="748"/>
      <c r="K98" s="686"/>
      <c r="L98" s="686"/>
      <c r="M98" s="686"/>
      <c r="N98" s="686"/>
      <c r="O98" s="686"/>
      <c r="P98" s="686"/>
      <c r="Q98" s="688" t="s">
        <v>1210</v>
      </c>
      <c r="R98" s="689" t="s">
        <v>1702</v>
      </c>
      <c r="S98" s="688" t="s">
        <v>1211</v>
      </c>
      <c r="T98" s="689" t="s">
        <v>1212</v>
      </c>
      <c r="U98" s="688" t="s">
        <v>1213</v>
      </c>
      <c r="V98" s="689" t="s">
        <v>1214</v>
      </c>
      <c r="W98" s="686"/>
      <c r="X98" s="686"/>
      <c r="Y98" s="686"/>
      <c r="Z98" s="686"/>
      <c r="AA98" s="686"/>
      <c r="AB98" s="686"/>
      <c r="AC98" s="900" t="s">
        <v>1914</v>
      </c>
      <c r="AD98" s="899" t="s">
        <v>1913</v>
      </c>
    </row>
    <row r="99" spans="1:30" ht="15.5" x14ac:dyDescent="0.35">
      <c r="A99" s="792" t="str">
        <f>+IF(C37="","","Fibra")</f>
        <v/>
      </c>
      <c r="B99" s="698" t="str">
        <f>IF(H36=0,"",H36)</f>
        <v/>
      </c>
      <c r="C99" s="793" t="s">
        <v>1623</v>
      </c>
      <c r="D99" s="1098" t="s">
        <v>1203</v>
      </c>
      <c r="E99" s="1099"/>
      <c r="F99" s="1099"/>
      <c r="G99" s="806">
        <f>+H69</f>
        <v>0</v>
      </c>
      <c r="H99" s="1101" t="str">
        <f>IF(G99&gt;35,"No cumple","Cumple")</f>
        <v>Cumple</v>
      </c>
      <c r="I99" s="1102"/>
      <c r="J99" s="748"/>
      <c r="K99" s="716" t="s">
        <v>83</v>
      </c>
      <c r="L99" s="686"/>
      <c r="M99" s="686"/>
      <c r="N99" s="686"/>
      <c r="O99" s="686"/>
      <c r="P99" s="686"/>
      <c r="Q99" s="690" t="s">
        <v>1215</v>
      </c>
      <c r="R99" s="691" t="s">
        <v>1703</v>
      </c>
      <c r="S99" s="690" t="s">
        <v>1216</v>
      </c>
      <c r="T99" s="691" t="s">
        <v>1200</v>
      </c>
      <c r="U99" s="690" t="s">
        <v>1217</v>
      </c>
      <c r="V99" s="691" t="s">
        <v>1218</v>
      </c>
      <c r="W99" s="686"/>
      <c r="X99" s="686"/>
      <c r="Y99" s="686"/>
      <c r="Z99" s="686"/>
      <c r="AA99" s="686"/>
      <c r="AB99" s="686"/>
      <c r="AC99" s="902" t="s">
        <v>1916</v>
      </c>
      <c r="AD99" s="901" t="s">
        <v>1915</v>
      </c>
    </row>
    <row r="100" spans="1:30" ht="14.5" x14ac:dyDescent="0.35">
      <c r="A100" s="735"/>
      <c r="B100" s="794"/>
      <c r="C100" s="736"/>
      <c r="D100" s="1098" t="s">
        <v>1209</v>
      </c>
      <c r="E100" s="1099"/>
      <c r="F100" s="1099"/>
      <c r="G100" s="795" t="s">
        <v>421</v>
      </c>
      <c r="H100" s="1101" t="s">
        <v>1607</v>
      </c>
      <c r="I100" s="1102"/>
      <c r="J100" s="748"/>
      <c r="K100" s="686"/>
      <c r="L100" s="686"/>
      <c r="M100" s="686"/>
      <c r="N100" s="686"/>
      <c r="O100" s="686"/>
      <c r="P100" s="686"/>
      <c r="Q100" s="688" t="s">
        <v>1219</v>
      </c>
      <c r="R100" s="689" t="s">
        <v>1704</v>
      </c>
      <c r="S100" s="688" t="s">
        <v>1220</v>
      </c>
      <c r="T100" s="689" t="s">
        <v>1221</v>
      </c>
      <c r="U100" s="688" t="s">
        <v>1222</v>
      </c>
      <c r="V100" s="689" t="s">
        <v>1223</v>
      </c>
      <c r="W100" s="686"/>
      <c r="X100" s="686"/>
      <c r="Y100" s="686"/>
      <c r="Z100" s="686"/>
      <c r="AA100" s="686"/>
      <c r="AB100" s="686"/>
      <c r="AC100" s="900" t="s">
        <v>1918</v>
      </c>
      <c r="AD100" s="899" t="s">
        <v>1917</v>
      </c>
    </row>
    <row r="101" spans="1:30" ht="14.5" x14ac:dyDescent="0.35">
      <c r="A101" s="735"/>
      <c r="C101" s="736"/>
      <c r="D101" s="1098" t="s">
        <v>5421</v>
      </c>
      <c r="E101" s="1099"/>
      <c r="F101" s="1100"/>
      <c r="G101" s="891">
        <v>600</v>
      </c>
      <c r="H101" s="1124" t="str">
        <f>IF(G101&lt;=600,"Cumple como Baja Contracción",IF(G101&gt;600,"No Cumple como Baja Contracción"))</f>
        <v>Cumple como Baja Contracción</v>
      </c>
      <c r="I101" s="1125"/>
      <c r="J101" s="748"/>
      <c r="K101" s="686"/>
      <c r="L101" s="686"/>
      <c r="M101" s="686"/>
      <c r="N101" s="686"/>
      <c r="O101" s="686"/>
      <c r="P101" s="686"/>
      <c r="Q101" s="690" t="s">
        <v>1224</v>
      </c>
      <c r="R101" s="691" t="s">
        <v>1705</v>
      </c>
      <c r="S101" s="690" t="s">
        <v>1225</v>
      </c>
      <c r="T101" s="691" t="s">
        <v>1226</v>
      </c>
      <c r="U101" s="690" t="s">
        <v>1227</v>
      </c>
      <c r="V101" s="691" t="s">
        <v>1228</v>
      </c>
      <c r="W101" s="686"/>
      <c r="X101" s="686"/>
      <c r="Y101" s="686"/>
      <c r="Z101" s="686"/>
      <c r="AA101" s="686"/>
      <c r="AB101" s="686"/>
      <c r="AC101" s="902" t="s">
        <v>1920</v>
      </c>
      <c r="AD101" s="901" t="s">
        <v>1919</v>
      </c>
    </row>
    <row r="102" spans="1:30" ht="14.5" x14ac:dyDescent="0.35">
      <c r="A102" s="735"/>
      <c r="C102" s="736"/>
      <c r="D102" s="1098" t="s">
        <v>1617</v>
      </c>
      <c r="E102" s="1099"/>
      <c r="F102" s="1099"/>
      <c r="H102" s="1126"/>
      <c r="I102" s="1102"/>
      <c r="J102" s="748"/>
      <c r="K102" s="686"/>
      <c r="L102" s="686"/>
      <c r="M102" s="686"/>
      <c r="N102" s="686"/>
      <c r="O102" s="686"/>
      <c r="P102" s="686"/>
      <c r="Q102" s="688" t="s">
        <v>1229</v>
      </c>
      <c r="R102" s="689" t="s">
        <v>1706</v>
      </c>
      <c r="S102" s="688" t="s">
        <v>1230</v>
      </c>
      <c r="T102" s="689" t="s">
        <v>1231</v>
      </c>
      <c r="U102" s="688" t="s">
        <v>1232</v>
      </c>
      <c r="V102" s="689" t="s">
        <v>1233</v>
      </c>
      <c r="W102" s="686"/>
      <c r="X102" s="686"/>
      <c r="Y102" s="686"/>
      <c r="Z102" s="686"/>
      <c r="AA102" s="686"/>
      <c r="AB102" s="686"/>
      <c r="AC102" s="900" t="s">
        <v>1922</v>
      </c>
      <c r="AD102" s="899" t="s">
        <v>1921</v>
      </c>
    </row>
    <row r="103" spans="1:30" ht="15" thickBot="1" x14ac:dyDescent="0.4">
      <c r="A103" s="895"/>
      <c r="B103" s="740"/>
      <c r="C103" s="896"/>
      <c r="D103" s="1129" t="s">
        <v>1609</v>
      </c>
      <c r="E103" s="1130"/>
      <c r="F103" s="1130"/>
      <c r="G103" s="853">
        <f>'4° Resumen'!Z23</f>
        <v>1.04</v>
      </c>
      <c r="H103" s="924"/>
      <c r="I103" s="925"/>
      <c r="J103" s="748"/>
      <c r="K103" s="686"/>
      <c r="L103" s="686"/>
      <c r="M103" s="686"/>
      <c r="N103" s="686"/>
      <c r="O103" s="686"/>
      <c r="P103" s="686"/>
      <c r="Q103" s="690" t="s">
        <v>1237</v>
      </c>
      <c r="R103" s="691" t="s">
        <v>1707</v>
      </c>
      <c r="S103" s="690" t="s">
        <v>1238</v>
      </c>
      <c r="T103" s="691" t="s">
        <v>1239</v>
      </c>
      <c r="U103" s="690" t="s">
        <v>1240</v>
      </c>
      <c r="V103" s="691" t="s">
        <v>1241</v>
      </c>
      <c r="W103" s="686"/>
      <c r="X103" s="686"/>
      <c r="Y103" s="686"/>
      <c r="Z103" s="686"/>
      <c r="AA103" s="686"/>
      <c r="AB103" s="686"/>
      <c r="AC103" s="902" t="s">
        <v>1924</v>
      </c>
      <c r="AD103" s="901" t="s">
        <v>1923</v>
      </c>
    </row>
    <row r="104" spans="1:30" ht="15" thickBot="1" x14ac:dyDescent="0.4">
      <c r="A104" s="895"/>
      <c r="B104" s="740"/>
      <c r="C104" s="896"/>
      <c r="D104" s="996" t="s">
        <v>5388</v>
      </c>
      <c r="E104" s="997"/>
      <c r="F104" s="997"/>
      <c r="G104" s="978" t="str">
        <f>+MID(E85,21,3)</f>
        <v>110</v>
      </c>
      <c r="H104" s="1127" t="str">
        <f>IF(G104="xxx","NO DEFINIDA",VLOOKUP(G104,AC2:AD1835,2,FALSE))</f>
        <v>V110 C/FIBRA METALICA</v>
      </c>
      <c r="I104" s="1128"/>
      <c r="J104" s="748"/>
      <c r="K104" s="686"/>
      <c r="L104" s="686"/>
      <c r="M104" s="686"/>
      <c r="N104" s="686"/>
      <c r="O104" s="686"/>
      <c r="P104" s="686"/>
      <c r="Q104" s="688" t="s">
        <v>1243</v>
      </c>
      <c r="R104" s="689" t="s">
        <v>1708</v>
      </c>
      <c r="S104" s="688" t="s">
        <v>1244</v>
      </c>
      <c r="T104" s="689" t="s">
        <v>1245</v>
      </c>
      <c r="U104" s="688" t="s">
        <v>1246</v>
      </c>
      <c r="V104" s="689" t="s">
        <v>1247</v>
      </c>
      <c r="W104" s="686"/>
      <c r="X104" s="686"/>
      <c r="Y104" s="686"/>
      <c r="Z104" s="686"/>
      <c r="AA104" s="686"/>
      <c r="AB104" s="686"/>
      <c r="AC104" s="900" t="s">
        <v>1926</v>
      </c>
      <c r="AD104" s="899" t="s">
        <v>1925</v>
      </c>
    </row>
    <row r="105" spans="1:30" ht="15" thickBot="1" x14ac:dyDescent="0.4">
      <c r="A105" s="988"/>
      <c r="B105" s="989"/>
      <c r="C105" s="989"/>
      <c r="D105" s="989"/>
      <c r="E105" s="989"/>
      <c r="F105" s="989"/>
      <c r="G105" s="989"/>
      <c r="H105" s="989"/>
      <c r="I105" s="990"/>
      <c r="J105" s="748"/>
      <c r="K105" s="686"/>
      <c r="L105" s="686"/>
      <c r="M105" s="686"/>
      <c r="N105" s="686"/>
      <c r="O105" s="686"/>
      <c r="P105" s="686"/>
      <c r="Q105" s="688"/>
      <c r="R105" s="689"/>
      <c r="S105" s="688"/>
      <c r="T105" s="689"/>
      <c r="U105" s="688"/>
      <c r="V105" s="689"/>
      <c r="W105" s="686"/>
      <c r="X105" s="686"/>
      <c r="Y105" s="686"/>
      <c r="Z105" s="686"/>
      <c r="AA105" s="686"/>
      <c r="AB105" s="686"/>
      <c r="AC105" s="902" t="s">
        <v>1928</v>
      </c>
      <c r="AD105" s="901" t="s">
        <v>1927</v>
      </c>
    </row>
    <row r="106" spans="1:30" ht="20" x14ac:dyDescent="0.4">
      <c r="A106" s="1121" t="str">
        <f>+'2° Granulometrías'!B75</f>
        <v>Grava Combo Gruesos TMA</v>
      </c>
      <c r="B106" s="1122"/>
      <c r="C106" s="1122"/>
      <c r="D106" s="979"/>
      <c r="E106" s="1123" t="str">
        <f>+'2° Granulometrías'!Q75</f>
        <v xml:space="preserve">Arena Combo Finos </v>
      </c>
      <c r="F106" s="1123"/>
      <c r="G106" s="1123"/>
      <c r="H106" s="1123"/>
      <c r="I106" s="980"/>
      <c r="J106" s="748"/>
      <c r="K106" s="686"/>
      <c r="L106" s="686"/>
      <c r="M106" s="686"/>
      <c r="N106" s="686"/>
      <c r="O106" s="686"/>
      <c r="P106" s="686"/>
      <c r="Q106" s="690" t="s">
        <v>1248</v>
      </c>
      <c r="R106" s="691" t="s">
        <v>1709</v>
      </c>
      <c r="S106" s="690" t="s">
        <v>1249</v>
      </c>
      <c r="T106" s="691" t="s">
        <v>1250</v>
      </c>
      <c r="U106" s="690" t="s">
        <v>1251</v>
      </c>
      <c r="V106" s="691" t="s">
        <v>1252</v>
      </c>
      <c r="W106" s="686"/>
      <c r="X106" s="686"/>
      <c r="Y106" s="686"/>
      <c r="Z106" s="686"/>
      <c r="AA106" s="686"/>
      <c r="AB106" s="686"/>
      <c r="AC106" s="900" t="s">
        <v>1930</v>
      </c>
      <c r="AD106" s="899" t="s">
        <v>1929</v>
      </c>
    </row>
    <row r="107" spans="1:30" ht="14.5" x14ac:dyDescent="0.35">
      <c r="A107" s="981"/>
      <c r="B107" s="977"/>
      <c r="C107" s="977"/>
      <c r="D107" s="977"/>
      <c r="E107" s="977"/>
      <c r="F107" s="977"/>
      <c r="G107" s="977"/>
      <c r="H107" s="977"/>
      <c r="I107" s="982"/>
      <c r="J107" s="748"/>
      <c r="K107" s="686"/>
      <c r="L107" s="686"/>
      <c r="M107" s="686"/>
      <c r="N107" s="686"/>
      <c r="O107" s="686"/>
      <c r="P107" s="686"/>
      <c r="Q107" s="688" t="s">
        <v>1253</v>
      </c>
      <c r="R107" s="689" t="s">
        <v>1710</v>
      </c>
      <c r="S107" s="688" t="s">
        <v>1254</v>
      </c>
      <c r="T107" s="689" t="s">
        <v>1255</v>
      </c>
      <c r="U107" s="688" t="s">
        <v>1256</v>
      </c>
      <c r="V107" s="689" t="s">
        <v>1257</v>
      </c>
      <c r="W107" s="686"/>
      <c r="X107" s="686"/>
      <c r="Y107" s="686"/>
      <c r="Z107" s="686"/>
      <c r="AA107" s="686"/>
      <c r="AB107" s="686"/>
      <c r="AC107" s="902" t="s">
        <v>1932</v>
      </c>
      <c r="AD107" s="901" t="s">
        <v>1931</v>
      </c>
    </row>
    <row r="108" spans="1:30" ht="14.5" x14ac:dyDescent="0.35">
      <c r="A108" s="983"/>
      <c r="B108" s="976"/>
      <c r="C108" s="976"/>
      <c r="D108" s="976"/>
      <c r="E108" s="976"/>
      <c r="F108" s="976"/>
      <c r="G108" s="976"/>
      <c r="H108" s="976"/>
      <c r="I108" s="984"/>
      <c r="J108" s="748"/>
      <c r="K108" s="686"/>
      <c r="L108" s="686"/>
      <c r="M108" s="686"/>
      <c r="N108" s="686"/>
      <c r="O108" s="686"/>
      <c r="P108" s="686"/>
      <c r="Q108" s="690" t="s">
        <v>1261</v>
      </c>
      <c r="R108" s="691" t="s">
        <v>1711</v>
      </c>
      <c r="S108" s="690" t="s">
        <v>1262</v>
      </c>
      <c r="T108" s="691" t="s">
        <v>1263</v>
      </c>
      <c r="U108" s="690" t="s">
        <v>1256</v>
      </c>
      <c r="V108" s="691" t="s">
        <v>1257</v>
      </c>
      <c r="W108" s="686"/>
      <c r="X108" s="686"/>
      <c r="Y108" s="686"/>
      <c r="Z108" s="686"/>
      <c r="AA108" s="686"/>
      <c r="AB108" s="686"/>
      <c r="AC108" s="900" t="s">
        <v>1934</v>
      </c>
      <c r="AD108" s="899" t="s">
        <v>1933</v>
      </c>
    </row>
    <row r="109" spans="1:30" s="740" customFormat="1" ht="14.5" x14ac:dyDescent="0.35">
      <c r="A109" s="983"/>
      <c r="B109" s="976"/>
      <c r="C109" s="976"/>
      <c r="D109" s="976"/>
      <c r="E109" s="976"/>
      <c r="F109" s="976"/>
      <c r="G109" s="976"/>
      <c r="H109" s="976"/>
      <c r="I109" s="984"/>
      <c r="J109" s="975"/>
      <c r="K109" s="686"/>
      <c r="L109" s="686"/>
      <c r="M109" s="686"/>
      <c r="N109" s="686"/>
      <c r="O109" s="686"/>
      <c r="P109" s="686"/>
      <c r="Q109" s="756" t="s">
        <v>1264</v>
      </c>
      <c r="R109" s="757" t="s">
        <v>1712</v>
      </c>
      <c r="S109" s="756" t="s">
        <v>1265</v>
      </c>
      <c r="T109" s="757" t="s">
        <v>1266</v>
      </c>
      <c r="U109" s="756" t="s">
        <v>1267</v>
      </c>
      <c r="V109" s="757" t="s">
        <v>1268</v>
      </c>
      <c r="W109" s="686"/>
      <c r="X109" s="686"/>
      <c r="Y109" s="686"/>
      <c r="Z109" s="686"/>
      <c r="AA109" s="686"/>
      <c r="AB109" s="686"/>
      <c r="AC109" s="902" t="s">
        <v>1936</v>
      </c>
      <c r="AD109" s="901" t="s">
        <v>1935</v>
      </c>
    </row>
    <row r="110" spans="1:30" ht="14.5" x14ac:dyDescent="0.35">
      <c r="A110" s="983"/>
      <c r="B110" s="976"/>
      <c r="C110" s="976"/>
      <c r="D110" s="976"/>
      <c r="E110" s="976"/>
      <c r="F110" s="976"/>
      <c r="G110" s="976"/>
      <c r="H110" s="976"/>
      <c r="I110" s="984"/>
      <c r="J110" s="748"/>
      <c r="Q110" s="741" t="s">
        <v>1264</v>
      </c>
      <c r="R110" s="750" t="s">
        <v>1713</v>
      </c>
      <c r="S110" s="741" t="s">
        <v>1269</v>
      </c>
      <c r="T110" s="750" t="s">
        <v>1270</v>
      </c>
      <c r="U110" s="741" t="s">
        <v>1271</v>
      </c>
      <c r="V110" s="750" t="s">
        <v>1272</v>
      </c>
      <c r="AC110" s="900" t="s">
        <v>1938</v>
      </c>
      <c r="AD110" s="899" t="s">
        <v>1937</v>
      </c>
    </row>
    <row r="111" spans="1:30" ht="14.5" x14ac:dyDescent="0.35">
      <c r="A111" s="983"/>
      <c r="B111" s="976"/>
      <c r="C111" s="976"/>
      <c r="D111" s="976"/>
      <c r="E111" s="976"/>
      <c r="F111" s="976"/>
      <c r="G111" s="976"/>
      <c r="H111" s="976"/>
      <c r="I111" s="984"/>
      <c r="J111" s="748"/>
      <c r="Q111" s="758" t="s">
        <v>1273</v>
      </c>
      <c r="R111" s="759" t="s">
        <v>1714</v>
      </c>
      <c r="S111" s="758" t="s">
        <v>1274</v>
      </c>
      <c r="T111" s="759" t="s">
        <v>1275</v>
      </c>
      <c r="U111" s="758" t="s">
        <v>1276</v>
      </c>
      <c r="V111" s="759" t="s">
        <v>1277</v>
      </c>
      <c r="AC111" s="902" t="s">
        <v>1940</v>
      </c>
      <c r="AD111" s="901" t="s">
        <v>1939</v>
      </c>
    </row>
    <row r="112" spans="1:30" ht="14.5" x14ac:dyDescent="0.35">
      <c r="A112" s="983"/>
      <c r="B112" s="976"/>
      <c r="C112" s="976"/>
      <c r="D112" s="976"/>
      <c r="E112" s="976"/>
      <c r="F112" s="976"/>
      <c r="G112" s="976"/>
      <c r="H112" s="976"/>
      <c r="I112" s="984"/>
      <c r="J112" s="748"/>
      <c r="Q112" s="741" t="s">
        <v>1273</v>
      </c>
      <c r="R112" s="750" t="s">
        <v>1714</v>
      </c>
      <c r="S112" s="741" t="s">
        <v>1278</v>
      </c>
      <c r="T112" s="750" t="s">
        <v>1279</v>
      </c>
      <c r="U112" s="741" t="s">
        <v>1280</v>
      </c>
      <c r="V112" s="750" t="s">
        <v>1281</v>
      </c>
      <c r="AC112" s="900" t="s">
        <v>1942</v>
      </c>
      <c r="AD112" s="899" t="s">
        <v>1941</v>
      </c>
    </row>
    <row r="113" spans="1:30" ht="14.5" x14ac:dyDescent="0.35">
      <c r="A113" s="983"/>
      <c r="B113" s="976"/>
      <c r="C113" s="976"/>
      <c r="D113" s="976"/>
      <c r="E113" s="976"/>
      <c r="F113" s="976"/>
      <c r="G113" s="976"/>
      <c r="H113" s="976"/>
      <c r="I113" s="984"/>
      <c r="J113" s="748"/>
      <c r="Q113" s="758" t="s">
        <v>1282</v>
      </c>
      <c r="R113" s="759" t="s">
        <v>1715</v>
      </c>
      <c r="S113" s="758" t="s">
        <v>1283</v>
      </c>
      <c r="T113" s="759" t="s">
        <v>1284</v>
      </c>
      <c r="U113" s="758" t="s">
        <v>1285</v>
      </c>
      <c r="V113" s="759" t="s">
        <v>1268</v>
      </c>
      <c r="AC113" s="902" t="s">
        <v>1944</v>
      </c>
      <c r="AD113" s="901" t="s">
        <v>1943</v>
      </c>
    </row>
    <row r="114" spans="1:30" ht="14.5" x14ac:dyDescent="0.35">
      <c r="A114" s="983"/>
      <c r="B114" s="976"/>
      <c r="C114" s="976"/>
      <c r="D114" s="976"/>
      <c r="E114" s="976"/>
      <c r="F114" s="976"/>
      <c r="G114" s="976"/>
      <c r="H114" s="976"/>
      <c r="I114" s="984"/>
      <c r="J114" s="748"/>
      <c r="Q114" s="741" t="s">
        <v>346</v>
      </c>
      <c r="R114" s="750" t="s">
        <v>1633</v>
      </c>
      <c r="S114" s="741" t="s">
        <v>1286</v>
      </c>
      <c r="T114" s="750" t="s">
        <v>1287</v>
      </c>
      <c r="U114" s="741" t="s">
        <v>1288</v>
      </c>
      <c r="V114" s="750" t="s">
        <v>1268</v>
      </c>
      <c r="AC114" s="900" t="s">
        <v>1946</v>
      </c>
      <c r="AD114" s="899" t="s">
        <v>1945</v>
      </c>
    </row>
    <row r="115" spans="1:30" ht="14.5" x14ac:dyDescent="0.35">
      <c r="A115" s="983"/>
      <c r="B115" s="976"/>
      <c r="C115" s="976"/>
      <c r="D115" s="976"/>
      <c r="E115" s="976"/>
      <c r="F115" s="976"/>
      <c r="G115" s="976"/>
      <c r="H115" s="976"/>
      <c r="I115" s="984"/>
      <c r="J115" s="748"/>
      <c r="Q115" s="758" t="s">
        <v>617</v>
      </c>
      <c r="R115" s="759" t="s">
        <v>1636</v>
      </c>
      <c r="S115" s="758" t="s">
        <v>1289</v>
      </c>
      <c r="T115" s="759" t="s">
        <v>1290</v>
      </c>
      <c r="U115" s="758" t="s">
        <v>1291</v>
      </c>
      <c r="V115" s="759" t="s">
        <v>1268</v>
      </c>
      <c r="AC115" s="902" t="s">
        <v>1948</v>
      </c>
      <c r="AD115" s="901" t="s">
        <v>1947</v>
      </c>
    </row>
    <row r="116" spans="1:30" ht="14.5" x14ac:dyDescent="0.35">
      <c r="A116" s="983"/>
      <c r="B116" s="976"/>
      <c r="C116" s="976"/>
      <c r="D116" s="976"/>
      <c r="E116" s="976"/>
      <c r="F116" s="976"/>
      <c r="G116" s="976"/>
      <c r="H116" s="976"/>
      <c r="I116" s="984"/>
      <c r="J116" s="748"/>
      <c r="Q116" s="741" t="s">
        <v>1086</v>
      </c>
      <c r="R116" s="750" t="s">
        <v>1689</v>
      </c>
      <c r="S116" s="741" t="s">
        <v>1292</v>
      </c>
      <c r="T116" s="750" t="s">
        <v>1293</v>
      </c>
      <c r="U116" s="741" t="s">
        <v>1294</v>
      </c>
      <c r="V116" s="750" t="s">
        <v>1295</v>
      </c>
      <c r="AC116" s="900" t="s">
        <v>1950</v>
      </c>
      <c r="AD116" s="899" t="s">
        <v>1949</v>
      </c>
    </row>
    <row r="117" spans="1:30" ht="14.5" x14ac:dyDescent="0.35">
      <c r="A117" s="983"/>
      <c r="B117" s="976"/>
      <c r="C117" s="976"/>
      <c r="D117" s="976"/>
      <c r="E117" s="976"/>
      <c r="F117" s="976"/>
      <c r="G117" s="976"/>
      <c r="H117" s="976"/>
      <c r="I117" s="984"/>
      <c r="J117" s="748"/>
      <c r="Q117" s="758" t="s">
        <v>554</v>
      </c>
      <c r="R117" s="759" t="s">
        <v>1632</v>
      </c>
      <c r="S117" s="758" t="s">
        <v>1296</v>
      </c>
      <c r="T117" s="759" t="s">
        <v>1297</v>
      </c>
      <c r="U117" s="758" t="s">
        <v>1298</v>
      </c>
      <c r="V117" s="759" t="s">
        <v>1299</v>
      </c>
      <c r="AC117" s="902" t="s">
        <v>1952</v>
      </c>
      <c r="AD117" s="901" t="s">
        <v>1951</v>
      </c>
    </row>
    <row r="118" spans="1:30" ht="14.5" x14ac:dyDescent="0.35">
      <c r="A118" s="983"/>
      <c r="B118" s="976"/>
      <c r="C118" s="976"/>
      <c r="D118" s="976"/>
      <c r="E118" s="976"/>
      <c r="F118" s="976"/>
      <c r="G118" s="976"/>
      <c r="H118" s="976"/>
      <c r="I118" s="984"/>
      <c r="J118" s="748"/>
      <c r="Q118" s="741" t="s">
        <v>521</v>
      </c>
      <c r="R118" s="750" t="s">
        <v>1716</v>
      </c>
      <c r="S118" s="741" t="s">
        <v>1300</v>
      </c>
      <c r="T118" s="750" t="s">
        <v>1301</v>
      </c>
      <c r="U118" s="741" t="s">
        <v>1302</v>
      </c>
      <c r="V118" s="750" t="s">
        <v>1303</v>
      </c>
      <c r="AC118" s="900" t="s">
        <v>1954</v>
      </c>
      <c r="AD118" s="899" t="s">
        <v>1953</v>
      </c>
    </row>
    <row r="119" spans="1:30" ht="14.5" x14ac:dyDescent="0.35">
      <c r="A119" s="983"/>
      <c r="B119" s="976"/>
      <c r="C119" s="976"/>
      <c r="D119" s="976"/>
      <c r="E119" s="976"/>
      <c r="F119" s="976"/>
      <c r="G119" s="976"/>
      <c r="H119" s="976"/>
      <c r="I119" s="984"/>
      <c r="J119" s="748"/>
      <c r="Q119" s="796"/>
      <c r="S119" s="758" t="s">
        <v>1304</v>
      </c>
      <c r="T119" s="759" t="s">
        <v>1305</v>
      </c>
      <c r="U119" s="758" t="s">
        <v>1306</v>
      </c>
      <c r="V119" s="759" t="s">
        <v>1307</v>
      </c>
      <c r="AC119" s="902" t="s">
        <v>1956</v>
      </c>
      <c r="AD119" s="901" t="s">
        <v>1955</v>
      </c>
    </row>
    <row r="120" spans="1:30" ht="13.5" customHeight="1" x14ac:dyDescent="0.35">
      <c r="A120" s="983"/>
      <c r="B120" s="976"/>
      <c r="C120" s="976"/>
      <c r="D120" s="976"/>
      <c r="E120" s="976"/>
      <c r="F120" s="976"/>
      <c r="G120" s="976"/>
      <c r="H120" s="976"/>
      <c r="I120" s="984"/>
      <c r="J120" s="748"/>
      <c r="S120" s="741" t="s">
        <v>1308</v>
      </c>
      <c r="T120" s="750" t="s">
        <v>1309</v>
      </c>
      <c r="U120" s="741" t="s">
        <v>1310</v>
      </c>
      <c r="V120" s="750" t="s">
        <v>1311</v>
      </c>
      <c r="AC120" s="900" t="s">
        <v>1958</v>
      </c>
      <c r="AD120" s="899" t="s">
        <v>1957</v>
      </c>
    </row>
    <row r="121" spans="1:30" ht="14.5" x14ac:dyDescent="0.35">
      <c r="A121" s="983"/>
      <c r="B121" s="976"/>
      <c r="C121" s="976"/>
      <c r="D121" s="976"/>
      <c r="E121" s="976"/>
      <c r="F121" s="976"/>
      <c r="G121" s="976"/>
      <c r="H121" s="976"/>
      <c r="I121" s="984"/>
      <c r="J121" s="748"/>
      <c r="S121" s="758" t="s">
        <v>1312</v>
      </c>
      <c r="T121" s="759" t="s">
        <v>1313</v>
      </c>
      <c r="U121" s="758" t="s">
        <v>1314</v>
      </c>
      <c r="V121" s="759" t="s">
        <v>1315</v>
      </c>
      <c r="AC121" s="902" t="s">
        <v>1960</v>
      </c>
      <c r="AD121" s="901" t="s">
        <v>1959</v>
      </c>
    </row>
    <row r="122" spans="1:30" ht="14.5" x14ac:dyDescent="0.35">
      <c r="A122" s="983"/>
      <c r="B122" s="976"/>
      <c r="C122" s="976"/>
      <c r="D122" s="976"/>
      <c r="E122" s="976"/>
      <c r="F122" s="976"/>
      <c r="G122" s="976"/>
      <c r="H122" s="976"/>
      <c r="I122" s="984"/>
      <c r="J122" s="748"/>
      <c r="S122" s="741" t="s">
        <v>709</v>
      </c>
      <c r="T122" s="750" t="s">
        <v>1316</v>
      </c>
      <c r="U122" s="741" t="s">
        <v>1317</v>
      </c>
      <c r="V122" s="750" t="s">
        <v>1318</v>
      </c>
      <c r="AC122" s="900" t="s">
        <v>1962</v>
      </c>
      <c r="AD122" s="899" t="s">
        <v>1961</v>
      </c>
    </row>
    <row r="123" spans="1:30" ht="14.5" x14ac:dyDescent="0.35">
      <c r="A123" s="983"/>
      <c r="B123" s="976"/>
      <c r="C123" s="976"/>
      <c r="D123" s="976"/>
      <c r="E123" s="976"/>
      <c r="F123" s="976"/>
      <c r="G123" s="976"/>
      <c r="H123" s="976"/>
      <c r="I123" s="984"/>
      <c r="J123" s="748"/>
      <c r="S123" s="758" t="s">
        <v>1319</v>
      </c>
      <c r="T123" s="759" t="s">
        <v>1320</v>
      </c>
      <c r="U123" s="758" t="s">
        <v>1321</v>
      </c>
      <c r="V123" s="759" t="s">
        <v>1322</v>
      </c>
      <c r="AC123" s="902" t="s">
        <v>1964</v>
      </c>
      <c r="AD123" s="901" t="s">
        <v>1963</v>
      </c>
    </row>
    <row r="124" spans="1:30" ht="14.5" x14ac:dyDescent="0.35">
      <c r="A124" s="983"/>
      <c r="B124" s="976"/>
      <c r="C124" s="976"/>
      <c r="D124" s="976"/>
      <c r="E124" s="976"/>
      <c r="F124" s="976"/>
      <c r="G124" s="976"/>
      <c r="H124" s="976"/>
      <c r="I124" s="984"/>
      <c r="J124" s="748"/>
      <c r="S124" s="741" t="s">
        <v>1323</v>
      </c>
      <c r="T124" s="750" t="s">
        <v>1324</v>
      </c>
      <c r="U124" s="741" t="s">
        <v>1325</v>
      </c>
      <c r="V124" s="750" t="s">
        <v>1326</v>
      </c>
      <c r="AC124" s="900" t="s">
        <v>1966</v>
      </c>
      <c r="AD124" s="899" t="s">
        <v>1965</v>
      </c>
    </row>
    <row r="125" spans="1:30" ht="14.5" x14ac:dyDescent="0.35">
      <c r="A125" s="983"/>
      <c r="B125" s="976"/>
      <c r="C125" s="976"/>
      <c r="D125" s="976"/>
      <c r="E125" s="976"/>
      <c r="F125" s="976"/>
      <c r="G125" s="976"/>
      <c r="H125" s="976"/>
      <c r="I125" s="984"/>
      <c r="J125" s="748"/>
      <c r="S125" s="758" t="s">
        <v>1327</v>
      </c>
      <c r="T125" s="759" t="s">
        <v>1328</v>
      </c>
      <c r="U125" s="758" t="s">
        <v>1329</v>
      </c>
      <c r="V125" s="759" t="s">
        <v>1330</v>
      </c>
      <c r="AC125" s="902" t="s">
        <v>1968</v>
      </c>
      <c r="AD125" s="901" t="s">
        <v>1967</v>
      </c>
    </row>
    <row r="126" spans="1:30" ht="15" thickBot="1" x14ac:dyDescent="0.4">
      <c r="A126" s="985"/>
      <c r="B126" s="986"/>
      <c r="C126" s="986"/>
      <c r="D126" s="986"/>
      <c r="E126" s="986"/>
      <c r="F126" s="986"/>
      <c r="G126" s="986"/>
      <c r="H126" s="986"/>
      <c r="I126" s="987"/>
      <c r="J126" s="748"/>
      <c r="S126" s="741" t="s">
        <v>1331</v>
      </c>
      <c r="T126" s="750" t="s">
        <v>1332</v>
      </c>
      <c r="U126" s="741" t="s">
        <v>1333</v>
      </c>
      <c r="V126" s="750" t="s">
        <v>1334</v>
      </c>
      <c r="AC126" s="900" t="s">
        <v>1970</v>
      </c>
      <c r="AD126" s="899" t="s">
        <v>1969</v>
      </c>
    </row>
    <row r="127" spans="1:30" ht="14.5" x14ac:dyDescent="0.35">
      <c r="A127" s="794"/>
      <c r="B127" s="794"/>
      <c r="C127" s="794"/>
      <c r="D127" s="794"/>
      <c r="E127" s="794"/>
      <c r="F127" s="794"/>
      <c r="G127" s="794"/>
      <c r="H127" s="794"/>
      <c r="I127" s="794"/>
      <c r="S127" s="758" t="s">
        <v>1335</v>
      </c>
      <c r="T127" s="759" t="s">
        <v>1336</v>
      </c>
      <c r="U127" s="758" t="s">
        <v>1337</v>
      </c>
      <c r="V127" s="759" t="s">
        <v>1338</v>
      </c>
      <c r="AC127" s="902" t="s">
        <v>1972</v>
      </c>
      <c r="AD127" s="901" t="s">
        <v>1971</v>
      </c>
    </row>
    <row r="128" spans="1:30" ht="14.5" x14ac:dyDescent="0.35">
      <c r="S128" s="741" t="s">
        <v>1339</v>
      </c>
      <c r="T128" s="750" t="s">
        <v>1340</v>
      </c>
      <c r="U128" s="741" t="s">
        <v>1341</v>
      </c>
      <c r="V128" s="750" t="s">
        <v>1041</v>
      </c>
      <c r="AC128" s="900" t="s">
        <v>1974</v>
      </c>
      <c r="AD128" s="899" t="s">
        <v>1973</v>
      </c>
    </row>
    <row r="129" spans="19:30" ht="14.5" x14ac:dyDescent="0.35">
      <c r="S129" s="758" t="s">
        <v>1342</v>
      </c>
      <c r="T129" s="759" t="s">
        <v>1343</v>
      </c>
      <c r="U129" s="758" t="s">
        <v>1344</v>
      </c>
      <c r="V129" s="759" t="s">
        <v>1345</v>
      </c>
      <c r="AC129" s="902" t="s">
        <v>1976</v>
      </c>
      <c r="AD129" s="901" t="s">
        <v>1975</v>
      </c>
    </row>
    <row r="130" spans="19:30" ht="14.5" x14ac:dyDescent="0.35">
      <c r="S130" s="741" t="s">
        <v>1346</v>
      </c>
      <c r="T130" s="750" t="s">
        <v>1347</v>
      </c>
      <c r="U130" s="741" t="s">
        <v>1348</v>
      </c>
      <c r="V130" s="750" t="s">
        <v>1349</v>
      </c>
      <c r="AC130" s="900" t="s">
        <v>1978</v>
      </c>
      <c r="AD130" s="899" t="s">
        <v>1977</v>
      </c>
    </row>
    <row r="131" spans="19:30" ht="14.5" x14ac:dyDescent="0.35">
      <c r="S131" s="758" t="s">
        <v>1350</v>
      </c>
      <c r="T131" s="759" t="s">
        <v>1351</v>
      </c>
      <c r="U131" s="758" t="s">
        <v>1352</v>
      </c>
      <c r="V131" s="759" t="s">
        <v>1353</v>
      </c>
      <c r="AC131" s="902" t="s">
        <v>1980</v>
      </c>
      <c r="AD131" s="901" t="s">
        <v>1979</v>
      </c>
    </row>
    <row r="132" spans="19:30" ht="14.5" x14ac:dyDescent="0.35">
      <c r="S132" s="741" t="s">
        <v>1354</v>
      </c>
      <c r="T132" s="750" t="s">
        <v>1355</v>
      </c>
      <c r="U132" s="741" t="s">
        <v>1356</v>
      </c>
      <c r="V132" s="750" t="s">
        <v>1357</v>
      </c>
      <c r="AC132" s="900" t="s">
        <v>1982</v>
      </c>
      <c r="AD132" s="899" t="s">
        <v>1981</v>
      </c>
    </row>
    <row r="133" spans="19:30" ht="14.5" x14ac:dyDescent="0.35">
      <c r="S133" s="758" t="s">
        <v>1358</v>
      </c>
      <c r="T133" s="759" t="s">
        <v>1359</v>
      </c>
      <c r="U133" s="758" t="s">
        <v>1360</v>
      </c>
      <c r="V133" s="759" t="s">
        <v>1361</v>
      </c>
      <c r="AC133" s="902" t="s">
        <v>1984</v>
      </c>
      <c r="AD133" s="901" t="s">
        <v>1983</v>
      </c>
    </row>
    <row r="134" spans="19:30" ht="14.5" x14ac:dyDescent="0.35">
      <c r="S134" s="741" t="s">
        <v>1362</v>
      </c>
      <c r="T134" s="750" t="s">
        <v>1363</v>
      </c>
      <c r="U134" s="741" t="s">
        <v>1364</v>
      </c>
      <c r="V134" s="750" t="s">
        <v>1365</v>
      </c>
      <c r="AC134" s="900" t="s">
        <v>1986</v>
      </c>
      <c r="AD134" s="899" t="s">
        <v>1985</v>
      </c>
    </row>
    <row r="135" spans="19:30" ht="14.5" x14ac:dyDescent="0.35">
      <c r="S135" s="758" t="s">
        <v>1366</v>
      </c>
      <c r="T135" s="759" t="s">
        <v>1367</v>
      </c>
      <c r="U135" s="758" t="s">
        <v>1368</v>
      </c>
      <c r="V135" s="759" t="s">
        <v>1369</v>
      </c>
      <c r="AC135" s="902" t="s">
        <v>1988</v>
      </c>
      <c r="AD135" s="901" t="s">
        <v>1987</v>
      </c>
    </row>
    <row r="136" spans="19:30" ht="14.5" x14ac:dyDescent="0.35">
      <c r="S136" s="796"/>
      <c r="U136" s="741" t="s">
        <v>1370</v>
      </c>
      <c r="V136" s="750" t="s">
        <v>1371</v>
      </c>
      <c r="AC136" s="900" t="s">
        <v>1990</v>
      </c>
      <c r="AD136" s="899" t="s">
        <v>1989</v>
      </c>
    </row>
    <row r="137" spans="19:30" ht="14.5" x14ac:dyDescent="0.35">
      <c r="S137" s="741" t="s">
        <v>1611</v>
      </c>
      <c r="U137" s="758" t="s">
        <v>1372</v>
      </c>
      <c r="V137" s="759" t="s">
        <v>1373</v>
      </c>
      <c r="AC137" s="902" t="s">
        <v>1992</v>
      </c>
      <c r="AD137" s="901" t="s">
        <v>1991</v>
      </c>
    </row>
    <row r="138" spans="19:30" ht="14.5" x14ac:dyDescent="0.35">
      <c r="U138" s="741" t="s">
        <v>388</v>
      </c>
      <c r="V138" s="750" t="s">
        <v>389</v>
      </c>
      <c r="AC138" s="900" t="s">
        <v>1994</v>
      </c>
      <c r="AD138" s="899" t="s">
        <v>1993</v>
      </c>
    </row>
    <row r="139" spans="19:30" ht="14.5" x14ac:dyDescent="0.35">
      <c r="U139" s="758" t="s">
        <v>402</v>
      </c>
      <c r="V139" s="759" t="s">
        <v>403</v>
      </c>
      <c r="AC139" s="902" t="s">
        <v>1996</v>
      </c>
      <c r="AD139" s="901" t="s">
        <v>1995</v>
      </c>
    </row>
    <row r="140" spans="19:30" ht="14.5" x14ac:dyDescent="0.35">
      <c r="U140" s="741" t="s">
        <v>417</v>
      </c>
      <c r="V140" s="750" t="s">
        <v>418</v>
      </c>
      <c r="AC140" s="900" t="s">
        <v>1998</v>
      </c>
      <c r="AD140" s="899" t="s">
        <v>1997</v>
      </c>
    </row>
    <row r="141" spans="19:30" ht="14.5" x14ac:dyDescent="0.35">
      <c r="U141" s="758" t="s">
        <v>428</v>
      </c>
      <c r="V141" s="759" t="s">
        <v>429</v>
      </c>
      <c r="AC141" s="902" t="s">
        <v>2000</v>
      </c>
      <c r="AD141" s="901" t="s">
        <v>1999</v>
      </c>
    </row>
    <row r="142" spans="19:30" ht="14.5" x14ac:dyDescent="0.35">
      <c r="U142" s="741" t="s">
        <v>442</v>
      </c>
      <c r="V142" s="750" t="s">
        <v>443</v>
      </c>
      <c r="AC142" s="900" t="s">
        <v>2002</v>
      </c>
      <c r="AD142" s="899" t="s">
        <v>2001</v>
      </c>
    </row>
    <row r="143" spans="19:30" ht="14.5" x14ac:dyDescent="0.35">
      <c r="U143" s="758" t="s">
        <v>1374</v>
      </c>
      <c r="V143" s="759" t="s">
        <v>1375</v>
      </c>
      <c r="AC143" s="902" t="s">
        <v>2004</v>
      </c>
      <c r="AD143" s="901" t="s">
        <v>2003</v>
      </c>
    </row>
    <row r="144" spans="19:30" ht="14.5" x14ac:dyDescent="0.35">
      <c r="U144" s="741" t="s">
        <v>1376</v>
      </c>
      <c r="V144" s="750" t="s">
        <v>1377</v>
      </c>
      <c r="AC144" s="900" t="s">
        <v>2006</v>
      </c>
      <c r="AD144" s="899" t="s">
        <v>2005</v>
      </c>
    </row>
    <row r="145" spans="21:30" ht="14.5" x14ac:dyDescent="0.35">
      <c r="U145" s="758" t="s">
        <v>1378</v>
      </c>
      <c r="V145" s="759" t="s">
        <v>1379</v>
      </c>
      <c r="AC145" s="902" t="s">
        <v>2008</v>
      </c>
      <c r="AD145" s="901" t="s">
        <v>2007</v>
      </c>
    </row>
    <row r="146" spans="21:30" ht="14.5" x14ac:dyDescent="0.35">
      <c r="U146" s="741" t="s">
        <v>1380</v>
      </c>
      <c r="V146" s="750" t="s">
        <v>1381</v>
      </c>
      <c r="AC146" s="900" t="s">
        <v>2010</v>
      </c>
      <c r="AD146" s="899" t="s">
        <v>2009</v>
      </c>
    </row>
    <row r="147" spans="21:30" ht="14.5" x14ac:dyDescent="0.35">
      <c r="U147" s="758" t="s">
        <v>1382</v>
      </c>
      <c r="V147" s="759" t="s">
        <v>1383</v>
      </c>
      <c r="AC147" s="902" t="s">
        <v>2012</v>
      </c>
      <c r="AD147" s="901" t="s">
        <v>2011</v>
      </c>
    </row>
    <row r="148" spans="21:30" ht="14.5" x14ac:dyDescent="0.35">
      <c r="U148" s="741" t="s">
        <v>1384</v>
      </c>
      <c r="V148" s="750" t="s">
        <v>1385</v>
      </c>
      <c r="AC148" s="900" t="s">
        <v>2014</v>
      </c>
      <c r="AD148" s="899" t="s">
        <v>2013</v>
      </c>
    </row>
    <row r="149" spans="21:30" ht="14.5" x14ac:dyDescent="0.35">
      <c r="U149" s="758" t="s">
        <v>1386</v>
      </c>
      <c r="V149" s="759" t="s">
        <v>1387</v>
      </c>
      <c r="AC149" s="902" t="s">
        <v>2016</v>
      </c>
      <c r="AD149" s="901" t="s">
        <v>2015</v>
      </c>
    </row>
    <row r="150" spans="21:30" ht="14.5" x14ac:dyDescent="0.35">
      <c r="U150" s="741" t="s">
        <v>1388</v>
      </c>
      <c r="V150" s="750" t="s">
        <v>1389</v>
      </c>
      <c r="AC150" s="900" t="s">
        <v>2018</v>
      </c>
      <c r="AD150" s="899" t="s">
        <v>2017</v>
      </c>
    </row>
    <row r="151" spans="21:30" ht="14.5" x14ac:dyDescent="0.35">
      <c r="U151" s="758" t="s">
        <v>1390</v>
      </c>
      <c r="V151" s="759" t="s">
        <v>1391</v>
      </c>
      <c r="AC151" s="902" t="s">
        <v>2020</v>
      </c>
      <c r="AD151" s="901" t="s">
        <v>2019</v>
      </c>
    </row>
    <row r="152" spans="21:30" ht="14.5" x14ac:dyDescent="0.35">
      <c r="U152" s="741" t="s">
        <v>1392</v>
      </c>
      <c r="V152" s="750" t="s">
        <v>1393</v>
      </c>
      <c r="AC152" s="900" t="s">
        <v>2022</v>
      </c>
      <c r="AD152" s="899" t="s">
        <v>2021</v>
      </c>
    </row>
    <row r="153" spans="21:30" ht="14.5" x14ac:dyDescent="0.35">
      <c r="U153" s="758" t="s">
        <v>1394</v>
      </c>
      <c r="V153" s="759" t="s">
        <v>1395</v>
      </c>
      <c r="AC153" s="902" t="s">
        <v>2024</v>
      </c>
      <c r="AD153" s="901" t="s">
        <v>2023</v>
      </c>
    </row>
    <row r="154" spans="21:30" ht="14.5" x14ac:dyDescent="0.35">
      <c r="U154" s="741" t="s">
        <v>1396</v>
      </c>
      <c r="V154" s="750" t="s">
        <v>1397</v>
      </c>
      <c r="AC154" s="900" t="s">
        <v>2026</v>
      </c>
      <c r="AD154" s="899" t="s">
        <v>2025</v>
      </c>
    </row>
    <row r="155" spans="21:30" ht="14.5" x14ac:dyDescent="0.35">
      <c r="U155" s="758" t="s">
        <v>1398</v>
      </c>
      <c r="V155" s="759" t="s">
        <v>1399</v>
      </c>
      <c r="AC155" s="902" t="s">
        <v>2028</v>
      </c>
      <c r="AD155" s="901" t="s">
        <v>2027</v>
      </c>
    </row>
    <row r="156" spans="21:30" ht="14.5" x14ac:dyDescent="0.35">
      <c r="U156" s="741" t="s">
        <v>1400</v>
      </c>
      <c r="V156" s="750" t="s">
        <v>1401</v>
      </c>
      <c r="AC156" s="900" t="s">
        <v>2030</v>
      </c>
      <c r="AD156" s="899" t="s">
        <v>2029</v>
      </c>
    </row>
    <row r="157" spans="21:30" ht="14.5" x14ac:dyDescent="0.35">
      <c r="U157" s="758" t="s">
        <v>1402</v>
      </c>
      <c r="V157" s="759" t="s">
        <v>1403</v>
      </c>
      <c r="AC157" s="902" t="s">
        <v>2032</v>
      </c>
      <c r="AD157" s="901" t="s">
        <v>2031</v>
      </c>
    </row>
    <row r="158" spans="21:30" ht="14.5" x14ac:dyDescent="0.35">
      <c r="U158" s="741" t="s">
        <v>1404</v>
      </c>
      <c r="V158" s="750" t="s">
        <v>1405</v>
      </c>
      <c r="AC158" s="900" t="s">
        <v>2034</v>
      </c>
      <c r="AD158" s="899" t="s">
        <v>2033</v>
      </c>
    </row>
    <row r="159" spans="21:30" ht="14.5" x14ac:dyDescent="0.35">
      <c r="U159" s="758" t="s">
        <v>1406</v>
      </c>
      <c r="V159" s="759" t="s">
        <v>1407</v>
      </c>
      <c r="AC159" s="902" t="s">
        <v>2036</v>
      </c>
      <c r="AD159" s="901" t="s">
        <v>2035</v>
      </c>
    </row>
    <row r="160" spans="21:30" ht="14.5" x14ac:dyDescent="0.35">
      <c r="U160" s="741" t="s">
        <v>1408</v>
      </c>
      <c r="V160" s="750" t="s">
        <v>1409</v>
      </c>
      <c r="AC160" s="900" t="s">
        <v>2038</v>
      </c>
      <c r="AD160" s="899" t="s">
        <v>2037</v>
      </c>
    </row>
    <row r="161" spans="21:30" ht="14.5" x14ac:dyDescent="0.35">
      <c r="U161" s="758" t="s">
        <v>1410</v>
      </c>
      <c r="V161" s="759" t="s">
        <v>1411</v>
      </c>
      <c r="AC161" s="902" t="s">
        <v>2040</v>
      </c>
      <c r="AD161" s="901" t="s">
        <v>2039</v>
      </c>
    </row>
    <row r="162" spans="21:30" ht="14.5" x14ac:dyDescent="0.35">
      <c r="U162" s="741" t="s">
        <v>1412</v>
      </c>
      <c r="V162" s="750" t="s">
        <v>1413</v>
      </c>
      <c r="AC162" s="900" t="s">
        <v>2042</v>
      </c>
      <c r="AD162" s="899" t="s">
        <v>2041</v>
      </c>
    </row>
    <row r="163" spans="21:30" ht="14.5" x14ac:dyDescent="0.35">
      <c r="U163" s="758" t="s">
        <v>1414</v>
      </c>
      <c r="V163" s="759" t="s">
        <v>1415</v>
      </c>
      <c r="AC163" s="902" t="s">
        <v>2044</v>
      </c>
      <c r="AD163" s="901" t="s">
        <v>2043</v>
      </c>
    </row>
    <row r="164" spans="21:30" ht="14.5" x14ac:dyDescent="0.35">
      <c r="U164" s="741" t="s">
        <v>1416</v>
      </c>
      <c r="V164" s="750" t="s">
        <v>1417</v>
      </c>
      <c r="AC164" s="900" t="s">
        <v>2046</v>
      </c>
      <c r="AD164" s="899" t="s">
        <v>2045</v>
      </c>
    </row>
    <row r="165" spans="21:30" ht="14.5" x14ac:dyDescent="0.35">
      <c r="U165" s="758" t="s">
        <v>1418</v>
      </c>
      <c r="V165" s="759" t="s">
        <v>1419</v>
      </c>
      <c r="AC165" s="902" t="s">
        <v>2048</v>
      </c>
      <c r="AD165" s="901" t="s">
        <v>2047</v>
      </c>
    </row>
    <row r="166" spans="21:30" ht="14.5" x14ac:dyDescent="0.35">
      <c r="U166" s="741" t="s">
        <v>1420</v>
      </c>
      <c r="V166" s="750" t="s">
        <v>1421</v>
      </c>
      <c r="AC166" s="900" t="s">
        <v>2050</v>
      </c>
      <c r="AD166" s="899" t="s">
        <v>2049</v>
      </c>
    </row>
    <row r="167" spans="21:30" ht="14.5" x14ac:dyDescent="0.35">
      <c r="U167" s="758" t="s">
        <v>1422</v>
      </c>
      <c r="V167" s="759" t="s">
        <v>1423</v>
      </c>
      <c r="AC167" s="902" t="s">
        <v>2052</v>
      </c>
      <c r="AD167" s="901" t="s">
        <v>2051</v>
      </c>
    </row>
    <row r="168" spans="21:30" ht="14.5" x14ac:dyDescent="0.35">
      <c r="U168" s="741" t="s">
        <v>1424</v>
      </c>
      <c r="V168" s="750" t="s">
        <v>1425</v>
      </c>
      <c r="AC168" s="900" t="s">
        <v>2054</v>
      </c>
      <c r="AD168" s="899" t="s">
        <v>2053</v>
      </c>
    </row>
    <row r="169" spans="21:30" ht="14.5" x14ac:dyDescent="0.35">
      <c r="U169" s="758" t="s">
        <v>1426</v>
      </c>
      <c r="V169" s="759" t="s">
        <v>1427</v>
      </c>
      <c r="AC169" s="902" t="s">
        <v>2056</v>
      </c>
      <c r="AD169" s="901" t="s">
        <v>2055</v>
      </c>
    </row>
    <row r="170" spans="21:30" ht="14.5" x14ac:dyDescent="0.35">
      <c r="U170" s="741" t="s">
        <v>1428</v>
      </c>
      <c r="V170" s="750" t="s">
        <v>1429</v>
      </c>
      <c r="AC170" s="900" t="s">
        <v>2058</v>
      </c>
      <c r="AD170" s="899" t="s">
        <v>2057</v>
      </c>
    </row>
    <row r="171" spans="21:30" ht="14.5" x14ac:dyDescent="0.35">
      <c r="U171" s="758" t="s">
        <v>1430</v>
      </c>
      <c r="V171" s="759" t="s">
        <v>1431</v>
      </c>
      <c r="AC171" s="902" t="s">
        <v>2060</v>
      </c>
      <c r="AD171" s="901" t="s">
        <v>2059</v>
      </c>
    </row>
    <row r="172" spans="21:30" ht="14.5" x14ac:dyDescent="0.35">
      <c r="U172" s="741" t="s">
        <v>1432</v>
      </c>
      <c r="V172" s="750" t="s">
        <v>1433</v>
      </c>
      <c r="AC172" s="900" t="s">
        <v>2062</v>
      </c>
      <c r="AD172" s="899" t="s">
        <v>2061</v>
      </c>
    </row>
    <row r="173" spans="21:30" ht="14.5" x14ac:dyDescent="0.35">
      <c r="U173" s="758" t="s">
        <v>1434</v>
      </c>
      <c r="V173" s="759" t="s">
        <v>1435</v>
      </c>
      <c r="AC173" s="902" t="s">
        <v>2064</v>
      </c>
      <c r="AD173" s="901" t="s">
        <v>2063</v>
      </c>
    </row>
    <row r="174" spans="21:30" ht="14.5" x14ac:dyDescent="0.35">
      <c r="U174" s="741" t="s">
        <v>1436</v>
      </c>
      <c r="V174" s="750" t="s">
        <v>1437</v>
      </c>
      <c r="AC174" s="900" t="s">
        <v>2066</v>
      </c>
      <c r="AD174" s="899" t="s">
        <v>2065</v>
      </c>
    </row>
    <row r="175" spans="21:30" ht="14.5" x14ac:dyDescent="0.35">
      <c r="U175" s="758" t="s">
        <v>1438</v>
      </c>
      <c r="V175" s="759" t="s">
        <v>1439</v>
      </c>
      <c r="AC175" s="902" t="s">
        <v>2068</v>
      </c>
      <c r="AD175" s="901" t="s">
        <v>2067</v>
      </c>
    </row>
    <row r="176" spans="21:30" ht="14.5" x14ac:dyDescent="0.35">
      <c r="U176" s="741" t="s">
        <v>1440</v>
      </c>
      <c r="V176" s="750" t="s">
        <v>1441</v>
      </c>
      <c r="AC176" s="900" t="s">
        <v>2070</v>
      </c>
      <c r="AD176" s="899" t="s">
        <v>2069</v>
      </c>
    </row>
    <row r="177" spans="21:30" ht="14.5" x14ac:dyDescent="0.35">
      <c r="U177" s="758" t="s">
        <v>1442</v>
      </c>
      <c r="V177" s="759" t="s">
        <v>1443</v>
      </c>
      <c r="AC177" s="902" t="s">
        <v>2072</v>
      </c>
      <c r="AD177" s="901" t="s">
        <v>2071</v>
      </c>
    </row>
    <row r="178" spans="21:30" ht="14.5" x14ac:dyDescent="0.35">
      <c r="U178" s="741" t="s">
        <v>1444</v>
      </c>
      <c r="V178" s="750" t="s">
        <v>1445</v>
      </c>
      <c r="AC178" s="900" t="s">
        <v>2074</v>
      </c>
      <c r="AD178" s="899" t="s">
        <v>2073</v>
      </c>
    </row>
    <row r="179" spans="21:30" ht="14.5" x14ac:dyDescent="0.35">
      <c r="U179" s="758" t="s">
        <v>1446</v>
      </c>
      <c r="V179" s="759" t="s">
        <v>1447</v>
      </c>
      <c r="AC179" s="902" t="s">
        <v>2076</v>
      </c>
      <c r="AD179" s="901" t="s">
        <v>2075</v>
      </c>
    </row>
    <row r="180" spans="21:30" ht="14.5" x14ac:dyDescent="0.35">
      <c r="U180" s="741" t="s">
        <v>1448</v>
      </c>
      <c r="V180" s="750" t="s">
        <v>1449</v>
      </c>
      <c r="AC180" s="900" t="s">
        <v>2078</v>
      </c>
      <c r="AD180" s="899" t="s">
        <v>2077</v>
      </c>
    </row>
    <row r="181" spans="21:30" ht="14.5" x14ac:dyDescent="0.35">
      <c r="U181" s="758" t="s">
        <v>1450</v>
      </c>
      <c r="V181" s="759" t="s">
        <v>1451</v>
      </c>
      <c r="AC181" s="902" t="s">
        <v>2080</v>
      </c>
      <c r="AD181" s="901" t="s">
        <v>2079</v>
      </c>
    </row>
    <row r="182" spans="21:30" ht="14.5" x14ac:dyDescent="0.35">
      <c r="U182" s="741" t="s">
        <v>1452</v>
      </c>
      <c r="V182" s="750" t="s">
        <v>1453</v>
      </c>
      <c r="AC182" s="900" t="s">
        <v>2082</v>
      </c>
      <c r="AD182" s="899" t="s">
        <v>2081</v>
      </c>
    </row>
    <row r="183" spans="21:30" ht="14.5" x14ac:dyDescent="0.35">
      <c r="U183" s="758" t="s">
        <v>1454</v>
      </c>
      <c r="V183" s="759" t="s">
        <v>1455</v>
      </c>
      <c r="AC183" s="902" t="s">
        <v>2084</v>
      </c>
      <c r="AD183" s="901" t="s">
        <v>2083</v>
      </c>
    </row>
    <row r="184" spans="21:30" ht="14.5" x14ac:dyDescent="0.35">
      <c r="U184" s="741" t="s">
        <v>1456</v>
      </c>
      <c r="V184" s="750" t="s">
        <v>1457</v>
      </c>
      <c r="AC184" s="900" t="s">
        <v>2086</v>
      </c>
      <c r="AD184" s="899" t="s">
        <v>2085</v>
      </c>
    </row>
    <row r="185" spans="21:30" ht="14.5" x14ac:dyDescent="0.35">
      <c r="U185" s="758" t="s">
        <v>1458</v>
      </c>
      <c r="V185" s="759" t="s">
        <v>1459</v>
      </c>
      <c r="AC185" s="902" t="s">
        <v>2088</v>
      </c>
      <c r="AD185" s="901" t="s">
        <v>2087</v>
      </c>
    </row>
    <row r="186" spans="21:30" ht="14.5" x14ac:dyDescent="0.35">
      <c r="U186" s="741" t="s">
        <v>1460</v>
      </c>
      <c r="V186" s="750" t="s">
        <v>1461</v>
      </c>
      <c r="AC186" s="900" t="s">
        <v>2090</v>
      </c>
      <c r="AD186" s="899" t="s">
        <v>2089</v>
      </c>
    </row>
    <row r="187" spans="21:30" ht="14.5" x14ac:dyDescent="0.35">
      <c r="U187" s="758" t="s">
        <v>1462</v>
      </c>
      <c r="V187" s="759" t="s">
        <v>1457</v>
      </c>
      <c r="AC187" s="902" t="s">
        <v>2092</v>
      </c>
      <c r="AD187" s="901" t="s">
        <v>2091</v>
      </c>
    </row>
    <row r="188" spans="21:30" ht="14.5" x14ac:dyDescent="0.35">
      <c r="U188" s="741" t="s">
        <v>1462</v>
      </c>
      <c r="V188" s="750" t="s">
        <v>1463</v>
      </c>
      <c r="AC188" s="900" t="s">
        <v>2094</v>
      </c>
      <c r="AD188" s="899" t="s">
        <v>2093</v>
      </c>
    </row>
    <row r="189" spans="21:30" ht="14.5" x14ac:dyDescent="0.35">
      <c r="U189" s="758" t="s">
        <v>1464</v>
      </c>
      <c r="V189" s="759" t="s">
        <v>1465</v>
      </c>
      <c r="AC189" s="902" t="s">
        <v>2096</v>
      </c>
      <c r="AD189" s="901" t="s">
        <v>2095</v>
      </c>
    </row>
    <row r="190" spans="21:30" ht="14.5" x14ac:dyDescent="0.35">
      <c r="U190" s="741" t="s">
        <v>1466</v>
      </c>
      <c r="V190" s="750" t="s">
        <v>1467</v>
      </c>
      <c r="AC190" s="900" t="s">
        <v>2098</v>
      </c>
      <c r="AD190" s="899" t="s">
        <v>2097</v>
      </c>
    </row>
    <row r="191" spans="21:30" ht="14.5" x14ac:dyDescent="0.35">
      <c r="U191" s="758" t="s">
        <v>1468</v>
      </c>
      <c r="V191" s="759" t="s">
        <v>1469</v>
      </c>
      <c r="AC191" s="902" t="s">
        <v>2100</v>
      </c>
      <c r="AD191" s="901" t="s">
        <v>2099</v>
      </c>
    </row>
    <row r="192" spans="21:30" ht="14.5" x14ac:dyDescent="0.35">
      <c r="U192" s="741" t="s">
        <v>1470</v>
      </c>
      <c r="V192" s="750" t="s">
        <v>1471</v>
      </c>
      <c r="AC192" s="900" t="s">
        <v>2102</v>
      </c>
      <c r="AD192" s="899" t="s">
        <v>2101</v>
      </c>
    </row>
    <row r="193" spans="21:30" ht="14.5" x14ac:dyDescent="0.35">
      <c r="U193" s="758" t="s">
        <v>1472</v>
      </c>
      <c r="V193" s="759" t="s">
        <v>986</v>
      </c>
      <c r="AC193" s="902" t="s">
        <v>2104</v>
      </c>
      <c r="AD193" s="901" t="s">
        <v>2103</v>
      </c>
    </row>
    <row r="194" spans="21:30" ht="14.5" x14ac:dyDescent="0.35">
      <c r="U194" s="741" t="s">
        <v>1473</v>
      </c>
      <c r="V194" s="750" t="s">
        <v>1474</v>
      </c>
      <c r="AC194" s="900" t="s">
        <v>2106</v>
      </c>
      <c r="AD194" s="899" t="s">
        <v>2105</v>
      </c>
    </row>
    <row r="195" spans="21:30" ht="14.5" x14ac:dyDescent="0.35">
      <c r="U195" s="758" t="s">
        <v>1475</v>
      </c>
      <c r="V195" s="759" t="s">
        <v>1476</v>
      </c>
      <c r="AC195" s="902" t="s">
        <v>2108</v>
      </c>
      <c r="AD195" s="901" t="s">
        <v>2107</v>
      </c>
    </row>
    <row r="196" spans="21:30" ht="14.5" x14ac:dyDescent="0.35">
      <c r="U196" s="741" t="s">
        <v>1477</v>
      </c>
      <c r="V196" s="750" t="s">
        <v>1478</v>
      </c>
      <c r="AC196" s="900" t="s">
        <v>2110</v>
      </c>
      <c r="AD196" s="899" t="s">
        <v>2109</v>
      </c>
    </row>
    <row r="197" spans="21:30" ht="14.5" x14ac:dyDescent="0.35">
      <c r="U197" s="758" t="s">
        <v>1479</v>
      </c>
      <c r="V197" s="759" t="s">
        <v>1480</v>
      </c>
      <c r="AC197" s="902" t="s">
        <v>2112</v>
      </c>
      <c r="AD197" s="901" t="s">
        <v>2111</v>
      </c>
    </row>
    <row r="198" spans="21:30" ht="14.5" x14ac:dyDescent="0.35">
      <c r="U198" s="741" t="s">
        <v>1481</v>
      </c>
      <c r="V198" s="750" t="s">
        <v>1482</v>
      </c>
      <c r="AC198" s="900" t="s">
        <v>2114</v>
      </c>
      <c r="AD198" s="899" t="s">
        <v>2113</v>
      </c>
    </row>
    <row r="199" spans="21:30" ht="14.5" x14ac:dyDescent="0.35">
      <c r="U199" s="758" t="s">
        <v>1483</v>
      </c>
      <c r="V199" s="759" t="s">
        <v>1484</v>
      </c>
      <c r="AC199" s="902" t="s">
        <v>2116</v>
      </c>
      <c r="AD199" s="901" t="s">
        <v>2115</v>
      </c>
    </row>
    <row r="200" spans="21:30" ht="14.5" x14ac:dyDescent="0.35">
      <c r="U200" s="741" t="s">
        <v>1485</v>
      </c>
      <c r="V200" s="750" t="s">
        <v>1486</v>
      </c>
      <c r="AC200" s="900" t="s">
        <v>2118</v>
      </c>
      <c r="AD200" s="899" t="s">
        <v>2117</v>
      </c>
    </row>
    <row r="201" spans="21:30" ht="14.5" x14ac:dyDescent="0.35">
      <c r="U201" s="758" t="s">
        <v>1487</v>
      </c>
      <c r="V201" s="759" t="s">
        <v>1488</v>
      </c>
      <c r="AC201" s="902" t="s">
        <v>2120</v>
      </c>
      <c r="AD201" s="901" t="s">
        <v>2119</v>
      </c>
    </row>
    <row r="202" spans="21:30" ht="14.5" x14ac:dyDescent="0.35">
      <c r="U202" s="741" t="s">
        <v>1489</v>
      </c>
      <c r="V202" s="750" t="s">
        <v>1490</v>
      </c>
      <c r="AC202" s="900" t="s">
        <v>2122</v>
      </c>
      <c r="AD202" s="899" t="s">
        <v>2121</v>
      </c>
    </row>
    <row r="203" spans="21:30" ht="14.5" x14ac:dyDescent="0.35">
      <c r="U203" s="758" t="s">
        <v>1491</v>
      </c>
      <c r="V203" s="759" t="s">
        <v>1492</v>
      </c>
      <c r="AC203" s="902" t="s">
        <v>2124</v>
      </c>
      <c r="AD203" s="901" t="s">
        <v>2123</v>
      </c>
    </row>
    <row r="204" spans="21:30" ht="14.5" x14ac:dyDescent="0.35">
      <c r="U204" s="741" t="s">
        <v>1493</v>
      </c>
      <c r="V204" s="750" t="s">
        <v>1494</v>
      </c>
      <c r="AC204" s="900" t="s">
        <v>2126</v>
      </c>
      <c r="AD204" s="899" t="s">
        <v>2125</v>
      </c>
    </row>
    <row r="205" spans="21:30" ht="14.5" x14ac:dyDescent="0.35">
      <c r="U205" s="758" t="s">
        <v>1495</v>
      </c>
      <c r="V205" s="759" t="s">
        <v>1496</v>
      </c>
      <c r="AC205" s="902" t="s">
        <v>2128</v>
      </c>
      <c r="AD205" s="901" t="s">
        <v>2127</v>
      </c>
    </row>
    <row r="206" spans="21:30" ht="14.5" x14ac:dyDescent="0.35">
      <c r="U206" s="741" t="s">
        <v>1497</v>
      </c>
      <c r="V206" s="750" t="s">
        <v>1498</v>
      </c>
      <c r="AC206" s="900" t="s">
        <v>2130</v>
      </c>
      <c r="AD206" s="899" t="s">
        <v>2129</v>
      </c>
    </row>
    <row r="207" spans="21:30" ht="14.5" x14ac:dyDescent="0.35">
      <c r="U207" s="758" t="s">
        <v>1499</v>
      </c>
      <c r="V207" s="759" t="s">
        <v>1500</v>
      </c>
      <c r="AC207" s="902" t="s">
        <v>2132</v>
      </c>
      <c r="AD207" s="901" t="s">
        <v>2131</v>
      </c>
    </row>
    <row r="208" spans="21:30" ht="14.5" x14ac:dyDescent="0.35">
      <c r="U208" s="741" t="s">
        <v>1501</v>
      </c>
      <c r="V208" s="750" t="s">
        <v>1502</v>
      </c>
      <c r="AC208" s="900" t="s">
        <v>2134</v>
      </c>
      <c r="AD208" s="899" t="s">
        <v>2133</v>
      </c>
    </row>
    <row r="209" spans="21:30" ht="14.5" x14ac:dyDescent="0.35">
      <c r="U209" s="758" t="s">
        <v>1503</v>
      </c>
      <c r="V209" s="759" t="s">
        <v>1504</v>
      </c>
      <c r="AC209" s="902" t="s">
        <v>2136</v>
      </c>
      <c r="AD209" s="901" t="s">
        <v>2135</v>
      </c>
    </row>
    <row r="210" spans="21:30" ht="14.5" x14ac:dyDescent="0.35">
      <c r="U210" s="741" t="s">
        <v>1505</v>
      </c>
      <c r="V210" s="750" t="s">
        <v>1502</v>
      </c>
      <c r="AC210" s="900" t="s">
        <v>2138</v>
      </c>
      <c r="AD210" s="899" t="s">
        <v>2137</v>
      </c>
    </row>
    <row r="211" spans="21:30" ht="14.5" x14ac:dyDescent="0.35">
      <c r="U211" s="758" t="s">
        <v>1506</v>
      </c>
      <c r="V211" s="759" t="s">
        <v>1507</v>
      </c>
      <c r="AC211" s="902" t="s">
        <v>2140</v>
      </c>
      <c r="AD211" s="901" t="s">
        <v>2139</v>
      </c>
    </row>
    <row r="212" spans="21:30" ht="14.5" x14ac:dyDescent="0.35">
      <c r="U212" s="741" t="s">
        <v>1508</v>
      </c>
      <c r="V212" s="750" t="s">
        <v>1509</v>
      </c>
      <c r="AC212" s="900" t="s">
        <v>2142</v>
      </c>
      <c r="AD212" s="899" t="s">
        <v>2141</v>
      </c>
    </row>
    <row r="213" spans="21:30" ht="14.5" x14ac:dyDescent="0.35">
      <c r="U213" s="758" t="s">
        <v>1510</v>
      </c>
      <c r="V213" s="759" t="s">
        <v>1511</v>
      </c>
      <c r="AC213" s="902" t="s">
        <v>2144</v>
      </c>
      <c r="AD213" s="901" t="s">
        <v>2143</v>
      </c>
    </row>
    <row r="214" spans="21:30" ht="14.5" x14ac:dyDescent="0.35">
      <c r="U214" s="741" t="s">
        <v>1512</v>
      </c>
      <c r="V214" s="750" t="s">
        <v>1513</v>
      </c>
      <c r="AC214" s="900" t="s">
        <v>2146</v>
      </c>
      <c r="AD214" s="899" t="s">
        <v>2145</v>
      </c>
    </row>
    <row r="215" spans="21:30" ht="14.5" x14ac:dyDescent="0.35">
      <c r="U215" s="758" t="s">
        <v>1514</v>
      </c>
      <c r="V215" s="759" t="s">
        <v>1515</v>
      </c>
      <c r="AC215" s="902" t="s">
        <v>2148</v>
      </c>
      <c r="AD215" s="901" t="s">
        <v>2147</v>
      </c>
    </row>
    <row r="216" spans="21:30" ht="14.5" x14ac:dyDescent="0.35">
      <c r="U216" s="741" t="s">
        <v>1516</v>
      </c>
      <c r="V216" s="750" t="s">
        <v>1517</v>
      </c>
      <c r="AC216" s="900" t="s">
        <v>2150</v>
      </c>
      <c r="AD216" s="899" t="s">
        <v>2149</v>
      </c>
    </row>
    <row r="217" spans="21:30" ht="14.5" x14ac:dyDescent="0.35">
      <c r="U217" s="758" t="s">
        <v>1518</v>
      </c>
      <c r="V217" s="759" t="s">
        <v>1519</v>
      </c>
      <c r="AC217" s="902" t="s">
        <v>2152</v>
      </c>
      <c r="AD217" s="901" t="s">
        <v>2151</v>
      </c>
    </row>
    <row r="218" spans="21:30" ht="14.5" x14ac:dyDescent="0.35">
      <c r="U218" s="741" t="s">
        <v>1520</v>
      </c>
      <c r="V218" s="750" t="s">
        <v>1521</v>
      </c>
      <c r="AC218" s="900" t="s">
        <v>2154</v>
      </c>
      <c r="AD218" s="899" t="s">
        <v>2153</v>
      </c>
    </row>
    <row r="219" spans="21:30" ht="14.5" x14ac:dyDescent="0.35">
      <c r="U219" s="758" t="s">
        <v>1522</v>
      </c>
      <c r="V219" s="759" t="s">
        <v>1523</v>
      </c>
      <c r="AC219" s="902" t="s">
        <v>2156</v>
      </c>
      <c r="AD219" s="901" t="s">
        <v>2155</v>
      </c>
    </row>
    <row r="220" spans="21:30" ht="14.5" x14ac:dyDescent="0.35">
      <c r="U220" s="741" t="s">
        <v>1524</v>
      </c>
      <c r="V220" s="750" t="s">
        <v>1525</v>
      </c>
      <c r="AC220" s="900" t="s">
        <v>2158</v>
      </c>
      <c r="AD220" s="899" t="s">
        <v>2157</v>
      </c>
    </row>
    <row r="221" spans="21:30" ht="14.5" x14ac:dyDescent="0.35">
      <c r="U221" s="758" t="s">
        <v>1526</v>
      </c>
      <c r="V221" s="759" t="s">
        <v>1527</v>
      </c>
      <c r="AC221" s="902" t="s">
        <v>2160</v>
      </c>
      <c r="AD221" s="901" t="s">
        <v>2159</v>
      </c>
    </row>
    <row r="222" spans="21:30" ht="14.5" x14ac:dyDescent="0.35">
      <c r="U222" s="741" t="s">
        <v>1528</v>
      </c>
      <c r="V222" s="750" t="s">
        <v>1529</v>
      </c>
      <c r="AC222" s="900" t="s">
        <v>2162</v>
      </c>
      <c r="AD222" s="899" t="s">
        <v>2161</v>
      </c>
    </row>
    <row r="223" spans="21:30" ht="14.5" x14ac:dyDescent="0.35">
      <c r="U223" s="758" t="s">
        <v>1530</v>
      </c>
      <c r="V223" s="759" t="s">
        <v>1531</v>
      </c>
      <c r="AC223" s="902" t="s">
        <v>2164</v>
      </c>
      <c r="AD223" s="901" t="s">
        <v>2163</v>
      </c>
    </row>
    <row r="224" spans="21:30" ht="14.5" x14ac:dyDescent="0.35">
      <c r="U224" s="741" t="s">
        <v>1532</v>
      </c>
      <c r="V224" s="750" t="s">
        <v>1533</v>
      </c>
      <c r="AC224" s="900" t="s">
        <v>2166</v>
      </c>
      <c r="AD224" s="899" t="s">
        <v>2165</v>
      </c>
    </row>
    <row r="225" spans="21:30" ht="14.5" x14ac:dyDescent="0.35">
      <c r="U225" s="758" t="s">
        <v>1534</v>
      </c>
      <c r="V225" s="759" t="s">
        <v>1535</v>
      </c>
      <c r="AC225" s="902" t="s">
        <v>2168</v>
      </c>
      <c r="AD225" s="901" t="s">
        <v>2167</v>
      </c>
    </row>
    <row r="226" spans="21:30" ht="14.5" x14ac:dyDescent="0.35">
      <c r="U226" s="741" t="s">
        <v>1536</v>
      </c>
      <c r="V226" s="750" t="s">
        <v>1535</v>
      </c>
      <c r="AC226" s="900" t="s">
        <v>2170</v>
      </c>
      <c r="AD226" s="899" t="s">
        <v>2169</v>
      </c>
    </row>
    <row r="227" spans="21:30" ht="14.5" x14ac:dyDescent="0.35">
      <c r="U227" s="758" t="s">
        <v>1537</v>
      </c>
      <c r="V227" s="759" t="s">
        <v>1535</v>
      </c>
      <c r="AC227" s="902" t="s">
        <v>2172</v>
      </c>
      <c r="AD227" s="901" t="s">
        <v>2171</v>
      </c>
    </row>
    <row r="228" spans="21:30" ht="14.5" x14ac:dyDescent="0.35">
      <c r="U228" s="741" t="s">
        <v>1538</v>
      </c>
      <c r="V228" s="750" t="s">
        <v>1535</v>
      </c>
      <c r="AC228" s="900" t="s">
        <v>2174</v>
      </c>
      <c r="AD228" s="899" t="s">
        <v>2173</v>
      </c>
    </row>
    <row r="229" spans="21:30" ht="14.5" x14ac:dyDescent="0.35">
      <c r="U229" s="758" t="s">
        <v>1539</v>
      </c>
      <c r="V229" s="759" t="s">
        <v>1540</v>
      </c>
      <c r="AC229" s="902" t="s">
        <v>2176</v>
      </c>
      <c r="AD229" s="901" t="s">
        <v>2175</v>
      </c>
    </row>
    <row r="230" spans="21:30" ht="14.5" x14ac:dyDescent="0.35">
      <c r="U230" s="741" t="s">
        <v>1541</v>
      </c>
      <c r="V230" s="750" t="s">
        <v>1542</v>
      </c>
      <c r="AC230" s="900" t="s">
        <v>2178</v>
      </c>
      <c r="AD230" s="899" t="s">
        <v>2177</v>
      </c>
    </row>
    <row r="231" spans="21:30" ht="14.5" x14ac:dyDescent="0.35">
      <c r="U231" s="758" t="s">
        <v>1543</v>
      </c>
      <c r="V231" s="759" t="s">
        <v>1544</v>
      </c>
      <c r="AC231" s="902" t="s">
        <v>2180</v>
      </c>
      <c r="AD231" s="901" t="s">
        <v>2179</v>
      </c>
    </row>
    <row r="232" spans="21:30" ht="14.5" x14ac:dyDescent="0.35">
      <c r="U232" s="741" t="s">
        <v>1545</v>
      </c>
      <c r="V232" s="750" t="s">
        <v>1546</v>
      </c>
      <c r="AC232" s="900" t="s">
        <v>2182</v>
      </c>
      <c r="AD232" s="899" t="s">
        <v>2181</v>
      </c>
    </row>
    <row r="233" spans="21:30" ht="14.5" x14ac:dyDescent="0.35">
      <c r="U233" s="758" t="s">
        <v>1547</v>
      </c>
      <c r="V233" s="759" t="s">
        <v>1548</v>
      </c>
      <c r="AC233" s="902" t="s">
        <v>2184</v>
      </c>
      <c r="AD233" s="901" t="s">
        <v>2183</v>
      </c>
    </row>
    <row r="234" spans="21:30" ht="14.5" x14ac:dyDescent="0.35">
      <c r="U234" s="741" t="s">
        <v>456</v>
      </c>
      <c r="V234" s="750" t="s">
        <v>457</v>
      </c>
      <c r="AC234" s="900" t="s">
        <v>2186</v>
      </c>
      <c r="AD234" s="899" t="s">
        <v>2185</v>
      </c>
    </row>
    <row r="235" spans="21:30" ht="14.5" x14ac:dyDescent="0.35">
      <c r="U235" s="758" t="s">
        <v>1549</v>
      </c>
      <c r="V235" s="759" t="s">
        <v>1550</v>
      </c>
      <c r="AC235" s="902" t="s">
        <v>2188</v>
      </c>
      <c r="AD235" s="901" t="s">
        <v>2187</v>
      </c>
    </row>
    <row r="236" spans="21:30" ht="14.5" x14ac:dyDescent="0.35">
      <c r="U236" s="741" t="s">
        <v>1551</v>
      </c>
      <c r="V236" s="750" t="s">
        <v>1552</v>
      </c>
      <c r="AC236" s="900" t="s">
        <v>2190</v>
      </c>
      <c r="AD236" s="899" t="s">
        <v>2189</v>
      </c>
    </row>
    <row r="237" spans="21:30" ht="14.5" x14ac:dyDescent="0.35">
      <c r="U237" s="758" t="s">
        <v>1553</v>
      </c>
      <c r="V237" s="759" t="s">
        <v>1554</v>
      </c>
      <c r="AC237" s="902" t="s">
        <v>2192</v>
      </c>
      <c r="AD237" s="901" t="s">
        <v>2191</v>
      </c>
    </row>
    <row r="238" spans="21:30" ht="14.5" x14ac:dyDescent="0.35">
      <c r="U238" s="741" t="s">
        <v>1555</v>
      </c>
      <c r="V238" s="750" t="s">
        <v>1556</v>
      </c>
      <c r="AC238" s="900" t="s">
        <v>2194</v>
      </c>
      <c r="AD238" s="899" t="s">
        <v>2193</v>
      </c>
    </row>
    <row r="239" spans="21:30" ht="14.5" x14ac:dyDescent="0.35">
      <c r="U239" s="758" t="s">
        <v>1557</v>
      </c>
      <c r="V239" s="759" t="s">
        <v>1558</v>
      </c>
      <c r="AC239" s="902" t="s">
        <v>2196</v>
      </c>
      <c r="AD239" s="901" t="s">
        <v>2195</v>
      </c>
    </row>
    <row r="240" spans="21:30" ht="14.5" x14ac:dyDescent="0.35">
      <c r="U240" s="741" t="s">
        <v>1559</v>
      </c>
      <c r="V240" s="750" t="s">
        <v>1560</v>
      </c>
      <c r="AC240" s="900" t="s">
        <v>2198</v>
      </c>
      <c r="AD240" s="899" t="s">
        <v>2197</v>
      </c>
    </row>
    <row r="241" spans="21:30" ht="14.5" x14ac:dyDescent="0.35">
      <c r="U241" s="758" t="s">
        <v>1561</v>
      </c>
      <c r="V241" s="759" t="s">
        <v>1562</v>
      </c>
      <c r="AC241" s="902" t="s">
        <v>2200</v>
      </c>
      <c r="AD241" s="901" t="s">
        <v>2199</v>
      </c>
    </row>
    <row r="242" spans="21:30" ht="14.5" x14ac:dyDescent="0.35">
      <c r="U242" s="741" t="s">
        <v>1563</v>
      </c>
      <c r="V242" s="750" t="s">
        <v>1564</v>
      </c>
      <c r="AC242" s="900" t="s">
        <v>2202</v>
      </c>
      <c r="AD242" s="899" t="s">
        <v>2201</v>
      </c>
    </row>
    <row r="243" spans="21:30" ht="14.5" x14ac:dyDescent="0.35">
      <c r="U243" s="758" t="s">
        <v>1565</v>
      </c>
      <c r="V243" s="759" t="s">
        <v>1566</v>
      </c>
      <c r="AC243" s="902" t="s">
        <v>2204</v>
      </c>
      <c r="AD243" s="901" t="s">
        <v>2203</v>
      </c>
    </row>
    <row r="244" spans="21:30" ht="14.5" x14ac:dyDescent="0.35">
      <c r="U244" s="741" t="s">
        <v>1567</v>
      </c>
      <c r="V244" s="750" t="s">
        <v>1568</v>
      </c>
      <c r="AC244" s="900" t="s">
        <v>2206</v>
      </c>
      <c r="AD244" s="899" t="s">
        <v>2205</v>
      </c>
    </row>
    <row r="245" spans="21:30" ht="14.5" x14ac:dyDescent="0.35">
      <c r="U245" s="758" t="s">
        <v>1569</v>
      </c>
      <c r="V245" s="759" t="s">
        <v>1570</v>
      </c>
      <c r="AC245" s="902" t="s">
        <v>2208</v>
      </c>
      <c r="AD245" s="901" t="s">
        <v>2207</v>
      </c>
    </row>
    <row r="246" spans="21:30" ht="14.5" x14ac:dyDescent="0.35">
      <c r="U246" s="741" t="s">
        <v>1571</v>
      </c>
      <c r="V246" s="750" t="s">
        <v>1572</v>
      </c>
      <c r="AC246" s="900" t="s">
        <v>2210</v>
      </c>
      <c r="AD246" s="899" t="s">
        <v>2209</v>
      </c>
    </row>
    <row r="247" spans="21:30" ht="14.5" x14ac:dyDescent="0.35">
      <c r="U247" s="758" t="s">
        <v>1573</v>
      </c>
      <c r="V247" s="759" t="s">
        <v>1574</v>
      </c>
      <c r="AC247" s="902" t="s">
        <v>2212</v>
      </c>
      <c r="AD247" s="901" t="s">
        <v>2211</v>
      </c>
    </row>
    <row r="248" spans="21:30" ht="14.5" x14ac:dyDescent="0.35">
      <c r="U248" s="741" t="s">
        <v>1575</v>
      </c>
      <c r="V248" s="750" t="s">
        <v>1576</v>
      </c>
      <c r="AC248" s="900" t="s">
        <v>2214</v>
      </c>
      <c r="AD248" s="899" t="s">
        <v>2213</v>
      </c>
    </row>
    <row r="249" spans="21:30" ht="14.5" x14ac:dyDescent="0.35">
      <c r="U249" s="758" t="s">
        <v>1577</v>
      </c>
      <c r="V249" s="759" t="s">
        <v>1578</v>
      </c>
      <c r="AC249" s="902" t="s">
        <v>2216</v>
      </c>
      <c r="AD249" s="901" t="s">
        <v>2215</v>
      </c>
    </row>
    <row r="250" spans="21:30" ht="14.5" x14ac:dyDescent="0.35">
      <c r="U250" s="741" t="s">
        <v>1579</v>
      </c>
      <c r="V250" s="750" t="s">
        <v>1580</v>
      </c>
      <c r="AC250" s="900" t="s">
        <v>2218</v>
      </c>
      <c r="AD250" s="899" t="s">
        <v>2217</v>
      </c>
    </row>
    <row r="251" spans="21:30" ht="14.5" x14ac:dyDescent="0.35">
      <c r="U251" s="758" t="s">
        <v>1581</v>
      </c>
      <c r="V251" s="759" t="s">
        <v>1582</v>
      </c>
      <c r="AC251" s="902" t="s">
        <v>2220</v>
      </c>
      <c r="AD251" s="901" t="s">
        <v>2219</v>
      </c>
    </row>
    <row r="252" spans="21:30" ht="14.5" x14ac:dyDescent="0.35">
      <c r="U252" s="741" t="s">
        <v>1583</v>
      </c>
      <c r="V252" s="750" t="s">
        <v>1584</v>
      </c>
      <c r="AC252" s="900" t="s">
        <v>2222</v>
      </c>
      <c r="AD252" s="899" t="s">
        <v>2221</v>
      </c>
    </row>
    <row r="253" spans="21:30" ht="14.5" x14ac:dyDescent="0.35">
      <c r="U253" s="758" t="s">
        <v>1585</v>
      </c>
      <c r="V253" s="759" t="s">
        <v>1586</v>
      </c>
      <c r="AC253" s="902" t="s">
        <v>2224</v>
      </c>
      <c r="AD253" s="901" t="s">
        <v>2223</v>
      </c>
    </row>
    <row r="254" spans="21:30" ht="14.5" x14ac:dyDescent="0.35">
      <c r="U254" s="741" t="s">
        <v>1587</v>
      </c>
      <c r="V254" s="750" t="s">
        <v>1588</v>
      </c>
      <c r="AC254" s="900" t="s">
        <v>2226</v>
      </c>
      <c r="AD254" s="899" t="s">
        <v>2225</v>
      </c>
    </row>
    <row r="255" spans="21:30" ht="14.5" x14ac:dyDescent="0.35">
      <c r="U255" s="758" t="s">
        <v>1589</v>
      </c>
      <c r="V255" s="759" t="s">
        <v>1590</v>
      </c>
      <c r="AC255" s="902" t="s">
        <v>2228</v>
      </c>
      <c r="AD255" s="901" t="s">
        <v>2227</v>
      </c>
    </row>
    <row r="256" spans="21:30" ht="14.5" x14ac:dyDescent="0.35">
      <c r="U256" s="741" t="s">
        <v>1591</v>
      </c>
      <c r="V256" s="750" t="s">
        <v>1592</v>
      </c>
      <c r="AC256" s="900" t="s">
        <v>2230</v>
      </c>
      <c r="AD256" s="899" t="s">
        <v>2229</v>
      </c>
    </row>
    <row r="257" spans="21:30" ht="14.5" x14ac:dyDescent="0.35">
      <c r="U257" s="758" t="s">
        <v>1593</v>
      </c>
      <c r="V257" s="759" t="s">
        <v>1594</v>
      </c>
      <c r="AC257" s="902" t="s">
        <v>2232</v>
      </c>
      <c r="AD257" s="901" t="s">
        <v>2231</v>
      </c>
    </row>
    <row r="258" spans="21:30" ht="14.5" x14ac:dyDescent="0.35">
      <c r="U258" s="741" t="s">
        <v>1595</v>
      </c>
      <c r="V258" s="750" t="s">
        <v>1596</v>
      </c>
      <c r="AC258" s="900" t="s">
        <v>2234</v>
      </c>
      <c r="AD258" s="899" t="s">
        <v>2233</v>
      </c>
    </row>
    <row r="259" spans="21:30" ht="14.5" x14ac:dyDescent="0.35">
      <c r="U259" s="758" t="s">
        <v>1597</v>
      </c>
      <c r="V259" s="759" t="s">
        <v>1598</v>
      </c>
      <c r="AC259" s="902" t="s">
        <v>2236</v>
      </c>
      <c r="AD259" s="901" t="s">
        <v>2235</v>
      </c>
    </row>
    <row r="260" spans="21:30" ht="14.5" x14ac:dyDescent="0.35">
      <c r="U260" s="741" t="s">
        <v>1599</v>
      </c>
      <c r="V260" s="750" t="s">
        <v>1600</v>
      </c>
      <c r="AC260" s="900" t="s">
        <v>2238</v>
      </c>
      <c r="AD260" s="899" t="s">
        <v>2237</v>
      </c>
    </row>
    <row r="261" spans="21:30" ht="14.5" x14ac:dyDescent="0.35">
      <c r="U261" s="758" t="s">
        <v>1601</v>
      </c>
      <c r="V261" s="759" t="s">
        <v>1602</v>
      </c>
      <c r="AC261" s="902" t="s">
        <v>2240</v>
      </c>
      <c r="AD261" s="901" t="s">
        <v>2239</v>
      </c>
    </row>
    <row r="262" spans="21:30" ht="14.5" x14ac:dyDescent="0.35">
      <c r="U262" s="741" t="s">
        <v>1603</v>
      </c>
      <c r="V262" s="750" t="s">
        <v>1604</v>
      </c>
      <c r="AC262" s="900" t="s">
        <v>2242</v>
      </c>
      <c r="AD262" s="899" t="s">
        <v>2241</v>
      </c>
    </row>
    <row r="263" spans="21:30" ht="14.5" x14ac:dyDescent="0.35">
      <c r="U263" s="796"/>
      <c r="AC263" s="902" t="s">
        <v>2244</v>
      </c>
      <c r="AD263" s="901" t="s">
        <v>2243</v>
      </c>
    </row>
    <row r="264" spans="21:30" ht="14.5" x14ac:dyDescent="0.35">
      <c r="U264" s="741" t="s">
        <v>1611</v>
      </c>
      <c r="AC264" s="900" t="s">
        <v>2246</v>
      </c>
      <c r="AD264" s="899" t="s">
        <v>2245</v>
      </c>
    </row>
    <row r="265" spans="21:30" ht="14.5" x14ac:dyDescent="0.35">
      <c r="AC265" s="902" t="s">
        <v>2248</v>
      </c>
      <c r="AD265" s="901" t="s">
        <v>2247</v>
      </c>
    </row>
    <row r="266" spans="21:30" ht="14.5" x14ac:dyDescent="0.35">
      <c r="AC266" s="900" t="s">
        <v>2250</v>
      </c>
      <c r="AD266" s="899" t="s">
        <v>2249</v>
      </c>
    </row>
    <row r="267" spans="21:30" ht="14.5" x14ac:dyDescent="0.35">
      <c r="AC267" s="902" t="s">
        <v>2252</v>
      </c>
      <c r="AD267" s="901" t="s">
        <v>2251</v>
      </c>
    </row>
    <row r="268" spans="21:30" ht="14.5" x14ac:dyDescent="0.35">
      <c r="AC268" s="900" t="s">
        <v>2254</v>
      </c>
      <c r="AD268" s="899" t="s">
        <v>2253</v>
      </c>
    </row>
    <row r="269" spans="21:30" ht="14.5" x14ac:dyDescent="0.35">
      <c r="AC269" s="902" t="s">
        <v>2256</v>
      </c>
      <c r="AD269" s="901" t="s">
        <v>2255</v>
      </c>
    </row>
    <row r="270" spans="21:30" ht="14.5" x14ac:dyDescent="0.35">
      <c r="AC270" s="900" t="s">
        <v>2258</v>
      </c>
      <c r="AD270" s="899" t="s">
        <v>2257</v>
      </c>
    </row>
    <row r="271" spans="21:30" ht="14.5" x14ac:dyDescent="0.35">
      <c r="AC271" s="902" t="s">
        <v>2260</v>
      </c>
      <c r="AD271" s="901" t="s">
        <v>2259</v>
      </c>
    </row>
    <row r="272" spans="21:30" ht="14.5" x14ac:dyDescent="0.35">
      <c r="AC272" s="900" t="s">
        <v>2262</v>
      </c>
      <c r="AD272" s="899" t="s">
        <v>2261</v>
      </c>
    </row>
    <row r="273" spans="29:30" ht="14.5" x14ac:dyDescent="0.35">
      <c r="AC273" s="902" t="s">
        <v>2264</v>
      </c>
      <c r="AD273" s="901" t="s">
        <v>2263</v>
      </c>
    </row>
    <row r="274" spans="29:30" ht="14.5" x14ac:dyDescent="0.35">
      <c r="AC274" s="900" t="s">
        <v>2266</v>
      </c>
      <c r="AD274" s="899" t="s">
        <v>2265</v>
      </c>
    </row>
    <row r="275" spans="29:30" ht="14.5" x14ac:dyDescent="0.35">
      <c r="AC275" s="902" t="s">
        <v>2268</v>
      </c>
      <c r="AD275" s="901" t="s">
        <v>2267</v>
      </c>
    </row>
    <row r="276" spans="29:30" ht="14.5" x14ac:dyDescent="0.35">
      <c r="AC276" s="900" t="s">
        <v>2270</v>
      </c>
      <c r="AD276" s="899" t="s">
        <v>2269</v>
      </c>
    </row>
    <row r="277" spans="29:30" ht="14.5" x14ac:dyDescent="0.35">
      <c r="AC277" s="902" t="s">
        <v>2272</v>
      </c>
      <c r="AD277" s="901" t="s">
        <v>2271</v>
      </c>
    </row>
    <row r="278" spans="29:30" ht="14.5" x14ac:dyDescent="0.35">
      <c r="AC278" s="900" t="s">
        <v>2274</v>
      </c>
      <c r="AD278" s="899" t="s">
        <v>2273</v>
      </c>
    </row>
    <row r="279" spans="29:30" ht="14.5" x14ac:dyDescent="0.35">
      <c r="AC279" s="902" t="s">
        <v>2276</v>
      </c>
      <c r="AD279" s="901" t="s">
        <v>2275</v>
      </c>
    </row>
    <row r="280" spans="29:30" ht="14.5" x14ac:dyDescent="0.35">
      <c r="AC280" s="900" t="s">
        <v>2278</v>
      </c>
      <c r="AD280" s="899" t="s">
        <v>2277</v>
      </c>
    </row>
    <row r="281" spans="29:30" ht="14.5" x14ac:dyDescent="0.35">
      <c r="AC281" s="902" t="s">
        <v>2280</v>
      </c>
      <c r="AD281" s="901" t="s">
        <v>2279</v>
      </c>
    </row>
    <row r="282" spans="29:30" ht="14.5" x14ac:dyDescent="0.35">
      <c r="AC282" s="900" t="s">
        <v>2282</v>
      </c>
      <c r="AD282" s="899" t="s">
        <v>2281</v>
      </c>
    </row>
    <row r="283" spans="29:30" ht="14.5" x14ac:dyDescent="0.35">
      <c r="AC283" s="902" t="s">
        <v>2284</v>
      </c>
      <c r="AD283" s="901" t="s">
        <v>2283</v>
      </c>
    </row>
    <row r="284" spans="29:30" ht="14.5" x14ac:dyDescent="0.35">
      <c r="AC284" s="900" t="s">
        <v>2286</v>
      </c>
      <c r="AD284" s="899" t="s">
        <v>2285</v>
      </c>
    </row>
    <row r="285" spans="29:30" ht="14.5" x14ac:dyDescent="0.35">
      <c r="AC285" s="902" t="s">
        <v>2288</v>
      </c>
      <c r="AD285" s="901" t="s">
        <v>2287</v>
      </c>
    </row>
    <row r="286" spans="29:30" ht="14.5" x14ac:dyDescent="0.35">
      <c r="AC286" s="900" t="s">
        <v>2290</v>
      </c>
      <c r="AD286" s="899" t="s">
        <v>2289</v>
      </c>
    </row>
    <row r="287" spans="29:30" ht="14.5" x14ac:dyDescent="0.35">
      <c r="AC287" s="902" t="s">
        <v>2292</v>
      </c>
      <c r="AD287" s="901" t="s">
        <v>2291</v>
      </c>
    </row>
    <row r="288" spans="29:30" ht="14.5" x14ac:dyDescent="0.35">
      <c r="AC288" s="900" t="s">
        <v>2294</v>
      </c>
      <c r="AD288" s="899" t="s">
        <v>2293</v>
      </c>
    </row>
    <row r="289" spans="29:30" ht="14.5" x14ac:dyDescent="0.35">
      <c r="AC289" s="902" t="s">
        <v>2296</v>
      </c>
      <c r="AD289" s="901" t="s">
        <v>2295</v>
      </c>
    </row>
    <row r="290" spans="29:30" ht="14.5" x14ac:dyDescent="0.35">
      <c r="AC290" s="900" t="s">
        <v>2298</v>
      </c>
      <c r="AD290" s="899" t="s">
        <v>2297</v>
      </c>
    </row>
    <row r="291" spans="29:30" ht="14.5" x14ac:dyDescent="0.35">
      <c r="AC291" s="902" t="s">
        <v>2300</v>
      </c>
      <c r="AD291" s="901" t="s">
        <v>2299</v>
      </c>
    </row>
    <row r="292" spans="29:30" ht="14.5" x14ac:dyDescent="0.35">
      <c r="AC292" s="900" t="s">
        <v>2302</v>
      </c>
      <c r="AD292" s="899" t="s">
        <v>2301</v>
      </c>
    </row>
    <row r="293" spans="29:30" ht="14.5" x14ac:dyDescent="0.35">
      <c r="AC293" s="902" t="s">
        <v>2304</v>
      </c>
      <c r="AD293" s="901" t="s">
        <v>2303</v>
      </c>
    </row>
    <row r="294" spans="29:30" ht="14.5" x14ac:dyDescent="0.35">
      <c r="AC294" s="900" t="s">
        <v>2306</v>
      </c>
      <c r="AD294" s="899" t="s">
        <v>2305</v>
      </c>
    </row>
    <row r="295" spans="29:30" ht="14.5" x14ac:dyDescent="0.35">
      <c r="AC295" s="902" t="s">
        <v>2308</v>
      </c>
      <c r="AD295" s="901" t="s">
        <v>2307</v>
      </c>
    </row>
    <row r="296" spans="29:30" ht="14.5" x14ac:dyDescent="0.35">
      <c r="AC296" s="900" t="s">
        <v>2310</v>
      </c>
      <c r="AD296" s="899" t="s">
        <v>2309</v>
      </c>
    </row>
    <row r="297" spans="29:30" ht="14.5" x14ac:dyDescent="0.35">
      <c r="AC297" s="902" t="s">
        <v>2312</v>
      </c>
      <c r="AD297" s="901" t="s">
        <v>2311</v>
      </c>
    </row>
    <row r="298" spans="29:30" ht="14.5" x14ac:dyDescent="0.35">
      <c r="AC298" s="900" t="s">
        <v>2314</v>
      </c>
      <c r="AD298" s="899" t="s">
        <v>2313</v>
      </c>
    </row>
    <row r="299" spans="29:30" ht="14.5" x14ac:dyDescent="0.35">
      <c r="AC299" s="902" t="s">
        <v>2316</v>
      </c>
      <c r="AD299" s="901" t="s">
        <v>2315</v>
      </c>
    </row>
    <row r="300" spans="29:30" ht="14.5" x14ac:dyDescent="0.35">
      <c r="AC300" s="900" t="s">
        <v>2318</v>
      </c>
      <c r="AD300" s="899" t="s">
        <v>2317</v>
      </c>
    </row>
    <row r="301" spans="29:30" ht="14.5" x14ac:dyDescent="0.35">
      <c r="AC301" s="902" t="s">
        <v>2320</v>
      </c>
      <c r="AD301" s="901" t="s">
        <v>2319</v>
      </c>
    </row>
    <row r="302" spans="29:30" ht="14.5" x14ac:dyDescent="0.35">
      <c r="AC302" s="900" t="s">
        <v>2322</v>
      </c>
      <c r="AD302" s="899" t="s">
        <v>2321</v>
      </c>
    </row>
    <row r="303" spans="29:30" ht="14.5" x14ac:dyDescent="0.35">
      <c r="AC303" s="902" t="s">
        <v>2324</v>
      </c>
      <c r="AD303" s="901" t="s">
        <v>2323</v>
      </c>
    </row>
    <row r="304" spans="29:30" ht="14.5" x14ac:dyDescent="0.35">
      <c r="AC304" s="900" t="s">
        <v>2326</v>
      </c>
      <c r="AD304" s="899" t="s">
        <v>2325</v>
      </c>
    </row>
    <row r="305" spans="29:30" ht="14.5" x14ac:dyDescent="0.35">
      <c r="AC305" s="902" t="s">
        <v>2328</v>
      </c>
      <c r="AD305" s="901" t="s">
        <v>2327</v>
      </c>
    </row>
    <row r="306" spans="29:30" ht="14.5" x14ac:dyDescent="0.35">
      <c r="AC306" s="900" t="s">
        <v>2330</v>
      </c>
      <c r="AD306" s="899" t="s">
        <v>2329</v>
      </c>
    </row>
    <row r="307" spans="29:30" ht="14.5" x14ac:dyDescent="0.35">
      <c r="AC307" s="902" t="s">
        <v>2332</v>
      </c>
      <c r="AD307" s="901" t="s">
        <v>2331</v>
      </c>
    </row>
    <row r="308" spans="29:30" ht="14.5" x14ac:dyDescent="0.35">
      <c r="AC308" s="900" t="s">
        <v>2334</v>
      </c>
      <c r="AD308" s="899" t="s">
        <v>2333</v>
      </c>
    </row>
    <row r="309" spans="29:30" ht="14.5" x14ac:dyDescent="0.35">
      <c r="AC309" s="902" t="s">
        <v>2336</v>
      </c>
      <c r="AD309" s="901" t="s">
        <v>2335</v>
      </c>
    </row>
    <row r="310" spans="29:30" ht="14.5" x14ac:dyDescent="0.35">
      <c r="AC310" s="900" t="s">
        <v>2338</v>
      </c>
      <c r="AD310" s="899" t="s">
        <v>2337</v>
      </c>
    </row>
    <row r="311" spans="29:30" ht="14.5" x14ac:dyDescent="0.35">
      <c r="AC311" s="902" t="s">
        <v>2340</v>
      </c>
      <c r="AD311" s="901" t="s">
        <v>2339</v>
      </c>
    </row>
    <row r="312" spans="29:30" ht="14.5" x14ac:dyDescent="0.35">
      <c r="AC312" s="900" t="s">
        <v>2342</v>
      </c>
      <c r="AD312" s="899" t="s">
        <v>2341</v>
      </c>
    </row>
    <row r="313" spans="29:30" ht="14.5" x14ac:dyDescent="0.35">
      <c r="AC313" s="902" t="s">
        <v>2344</v>
      </c>
      <c r="AD313" s="901" t="s">
        <v>2343</v>
      </c>
    </row>
    <row r="314" spans="29:30" ht="14.5" x14ac:dyDescent="0.35">
      <c r="AC314" s="900" t="s">
        <v>2346</v>
      </c>
      <c r="AD314" s="899" t="s">
        <v>2345</v>
      </c>
    </row>
    <row r="315" spans="29:30" ht="14.5" x14ac:dyDescent="0.35">
      <c r="AC315" s="902" t="s">
        <v>2348</v>
      </c>
      <c r="AD315" s="901" t="s">
        <v>2347</v>
      </c>
    </row>
    <row r="316" spans="29:30" ht="14.5" x14ac:dyDescent="0.35">
      <c r="AC316" s="900" t="s">
        <v>2350</v>
      </c>
      <c r="AD316" s="899" t="s">
        <v>2349</v>
      </c>
    </row>
    <row r="317" spans="29:30" ht="14.5" x14ac:dyDescent="0.35">
      <c r="AC317" s="902" t="s">
        <v>2352</v>
      </c>
      <c r="AD317" s="901" t="s">
        <v>2351</v>
      </c>
    </row>
    <row r="318" spans="29:30" ht="14.5" x14ac:dyDescent="0.35">
      <c r="AC318" s="900" t="s">
        <v>2354</v>
      </c>
      <c r="AD318" s="899" t="s">
        <v>2353</v>
      </c>
    </row>
    <row r="319" spans="29:30" ht="14.5" x14ac:dyDescent="0.35">
      <c r="AC319" s="902" t="s">
        <v>2356</v>
      </c>
      <c r="AD319" s="901" t="s">
        <v>2355</v>
      </c>
    </row>
    <row r="320" spans="29:30" ht="14.5" x14ac:dyDescent="0.35">
      <c r="AC320" s="900" t="s">
        <v>2358</v>
      </c>
      <c r="AD320" s="899" t="s">
        <v>2357</v>
      </c>
    </row>
    <row r="321" spans="29:30" ht="14.5" x14ac:dyDescent="0.35">
      <c r="AC321" s="902" t="s">
        <v>2360</v>
      </c>
      <c r="AD321" s="901" t="s">
        <v>2359</v>
      </c>
    </row>
    <row r="322" spans="29:30" ht="14.5" x14ac:dyDescent="0.35">
      <c r="AC322" s="900" t="s">
        <v>2362</v>
      </c>
      <c r="AD322" s="899" t="s">
        <v>2361</v>
      </c>
    </row>
    <row r="323" spans="29:30" ht="14.5" x14ac:dyDescent="0.35">
      <c r="AC323" s="902" t="s">
        <v>2364</v>
      </c>
      <c r="AD323" s="901" t="s">
        <v>2363</v>
      </c>
    </row>
    <row r="324" spans="29:30" ht="14.5" x14ac:dyDescent="0.35">
      <c r="AC324" s="900" t="s">
        <v>2366</v>
      </c>
      <c r="AD324" s="899" t="s">
        <v>2365</v>
      </c>
    </row>
    <row r="325" spans="29:30" ht="14.5" x14ac:dyDescent="0.35">
      <c r="AC325" s="902" t="s">
        <v>2368</v>
      </c>
      <c r="AD325" s="901" t="s">
        <v>2367</v>
      </c>
    </row>
    <row r="326" spans="29:30" ht="14.5" x14ac:dyDescent="0.35">
      <c r="AC326" s="900" t="s">
        <v>2370</v>
      </c>
      <c r="AD326" s="899" t="s">
        <v>2369</v>
      </c>
    </row>
    <row r="327" spans="29:30" ht="14.5" x14ac:dyDescent="0.35">
      <c r="AC327" s="902" t="s">
        <v>2372</v>
      </c>
      <c r="AD327" s="901" t="s">
        <v>2371</v>
      </c>
    </row>
    <row r="328" spans="29:30" ht="14.5" x14ac:dyDescent="0.35">
      <c r="AC328" s="900" t="s">
        <v>2374</v>
      </c>
      <c r="AD328" s="899" t="s">
        <v>2373</v>
      </c>
    </row>
    <row r="329" spans="29:30" ht="14.5" x14ac:dyDescent="0.35">
      <c r="AC329" s="902" t="s">
        <v>2376</v>
      </c>
      <c r="AD329" s="901" t="s">
        <v>2375</v>
      </c>
    </row>
    <row r="330" spans="29:30" ht="14.5" x14ac:dyDescent="0.35">
      <c r="AC330" s="900" t="s">
        <v>2378</v>
      </c>
      <c r="AD330" s="899" t="s">
        <v>2377</v>
      </c>
    </row>
    <row r="331" spans="29:30" ht="14.5" x14ac:dyDescent="0.35">
      <c r="AC331" s="902" t="s">
        <v>2380</v>
      </c>
      <c r="AD331" s="901" t="s">
        <v>2379</v>
      </c>
    </row>
    <row r="332" spans="29:30" ht="14.5" x14ac:dyDescent="0.35">
      <c r="AC332" s="900" t="s">
        <v>2382</v>
      </c>
      <c r="AD332" s="899" t="s">
        <v>2381</v>
      </c>
    </row>
    <row r="333" spans="29:30" ht="14.5" x14ac:dyDescent="0.35">
      <c r="AC333" s="902" t="s">
        <v>2384</v>
      </c>
      <c r="AD333" s="901" t="s">
        <v>2383</v>
      </c>
    </row>
    <row r="334" spans="29:30" ht="14.5" x14ac:dyDescent="0.35">
      <c r="AC334" s="900" t="s">
        <v>2386</v>
      </c>
      <c r="AD334" s="899" t="s">
        <v>2385</v>
      </c>
    </row>
    <row r="335" spans="29:30" ht="14.5" x14ac:dyDescent="0.35">
      <c r="AC335" s="902" t="s">
        <v>2388</v>
      </c>
      <c r="AD335" s="901" t="s">
        <v>2387</v>
      </c>
    </row>
    <row r="336" spans="29:30" ht="14.5" x14ac:dyDescent="0.35">
      <c r="AC336" s="900" t="s">
        <v>2390</v>
      </c>
      <c r="AD336" s="899" t="s">
        <v>2389</v>
      </c>
    </row>
    <row r="337" spans="29:30" ht="14.5" x14ac:dyDescent="0.35">
      <c r="AC337" s="902" t="s">
        <v>2392</v>
      </c>
      <c r="AD337" s="901" t="s">
        <v>2391</v>
      </c>
    </row>
    <row r="338" spans="29:30" ht="14.5" x14ac:dyDescent="0.35">
      <c r="AC338" s="900" t="s">
        <v>2394</v>
      </c>
      <c r="AD338" s="899" t="s">
        <v>2393</v>
      </c>
    </row>
    <row r="339" spans="29:30" ht="14.5" x14ac:dyDescent="0.35">
      <c r="AC339" s="902" t="s">
        <v>2396</v>
      </c>
      <c r="AD339" s="901" t="s">
        <v>2395</v>
      </c>
    </row>
    <row r="340" spans="29:30" ht="14.5" x14ac:dyDescent="0.35">
      <c r="AC340" s="900" t="s">
        <v>2398</v>
      </c>
      <c r="AD340" s="899" t="s">
        <v>2397</v>
      </c>
    </row>
    <row r="341" spans="29:30" ht="14.5" x14ac:dyDescent="0.35">
      <c r="AC341" s="902" t="s">
        <v>2400</v>
      </c>
      <c r="AD341" s="901" t="s">
        <v>2399</v>
      </c>
    </row>
    <row r="342" spans="29:30" ht="14.5" x14ac:dyDescent="0.35">
      <c r="AC342" s="900" t="s">
        <v>2402</v>
      </c>
      <c r="AD342" s="899" t="s">
        <v>2401</v>
      </c>
    </row>
    <row r="343" spans="29:30" ht="14.5" x14ac:dyDescent="0.35">
      <c r="AC343" s="902" t="s">
        <v>2404</v>
      </c>
      <c r="AD343" s="901" t="s">
        <v>2403</v>
      </c>
    </row>
    <row r="344" spans="29:30" ht="14.5" x14ac:dyDescent="0.35">
      <c r="AC344" s="900" t="s">
        <v>2406</v>
      </c>
      <c r="AD344" s="899" t="s">
        <v>2405</v>
      </c>
    </row>
    <row r="345" spans="29:30" ht="14.5" x14ac:dyDescent="0.35">
      <c r="AC345" s="902" t="s">
        <v>2408</v>
      </c>
      <c r="AD345" s="901" t="s">
        <v>2407</v>
      </c>
    </row>
    <row r="346" spans="29:30" ht="14.5" x14ac:dyDescent="0.35">
      <c r="AC346" s="900" t="s">
        <v>2410</v>
      </c>
      <c r="AD346" s="899" t="s">
        <v>2409</v>
      </c>
    </row>
    <row r="347" spans="29:30" ht="14.5" x14ac:dyDescent="0.35">
      <c r="AC347" s="902" t="s">
        <v>2412</v>
      </c>
      <c r="AD347" s="901" t="s">
        <v>2411</v>
      </c>
    </row>
    <row r="348" spans="29:30" ht="14.5" x14ac:dyDescent="0.35">
      <c r="AC348" s="900" t="s">
        <v>2414</v>
      </c>
      <c r="AD348" s="899" t="s">
        <v>2413</v>
      </c>
    </row>
    <row r="349" spans="29:30" ht="14.5" x14ac:dyDescent="0.35">
      <c r="AC349" s="902" t="s">
        <v>2416</v>
      </c>
      <c r="AD349" s="901" t="s">
        <v>2415</v>
      </c>
    </row>
    <row r="350" spans="29:30" ht="14.5" x14ac:dyDescent="0.35">
      <c r="AC350" s="900" t="s">
        <v>2418</v>
      </c>
      <c r="AD350" s="899" t="s">
        <v>2417</v>
      </c>
    </row>
    <row r="351" spans="29:30" ht="14.5" x14ac:dyDescent="0.35">
      <c r="AC351" s="902" t="s">
        <v>2420</v>
      </c>
      <c r="AD351" s="901" t="s">
        <v>2419</v>
      </c>
    </row>
    <row r="352" spans="29:30" ht="14.5" x14ac:dyDescent="0.35">
      <c r="AC352" s="900" t="s">
        <v>2422</v>
      </c>
      <c r="AD352" s="899" t="s">
        <v>2421</v>
      </c>
    </row>
    <row r="353" spans="29:30" ht="14.5" x14ac:dyDescent="0.35">
      <c r="AC353" s="902" t="s">
        <v>2424</v>
      </c>
      <c r="AD353" s="901" t="s">
        <v>2423</v>
      </c>
    </row>
    <row r="354" spans="29:30" ht="14.5" x14ac:dyDescent="0.35">
      <c r="AC354" s="900" t="s">
        <v>2426</v>
      </c>
      <c r="AD354" s="899" t="s">
        <v>2425</v>
      </c>
    </row>
    <row r="355" spans="29:30" ht="14.5" x14ac:dyDescent="0.35">
      <c r="AC355" s="902" t="s">
        <v>2428</v>
      </c>
      <c r="AD355" s="901" t="s">
        <v>2427</v>
      </c>
    </row>
    <row r="356" spans="29:30" ht="14.5" x14ac:dyDescent="0.35">
      <c r="AC356" s="900" t="s">
        <v>2430</v>
      </c>
      <c r="AD356" s="899" t="s">
        <v>2429</v>
      </c>
    </row>
    <row r="357" spans="29:30" ht="14.5" x14ac:dyDescent="0.35">
      <c r="AC357" s="902" t="s">
        <v>2432</v>
      </c>
      <c r="AD357" s="901" t="s">
        <v>2431</v>
      </c>
    </row>
    <row r="358" spans="29:30" ht="14.5" x14ac:dyDescent="0.35">
      <c r="AC358" s="900" t="s">
        <v>2434</v>
      </c>
      <c r="AD358" s="899" t="s">
        <v>2433</v>
      </c>
    </row>
    <row r="359" spans="29:30" ht="14.5" x14ac:dyDescent="0.35">
      <c r="AC359" s="902" t="s">
        <v>2436</v>
      </c>
      <c r="AD359" s="901" t="s">
        <v>2435</v>
      </c>
    </row>
    <row r="360" spans="29:30" ht="14.5" x14ac:dyDescent="0.35">
      <c r="AC360" s="900" t="s">
        <v>2438</v>
      </c>
      <c r="AD360" s="899" t="s">
        <v>2437</v>
      </c>
    </row>
    <row r="361" spans="29:30" ht="14.5" x14ac:dyDescent="0.35">
      <c r="AC361" s="902" t="s">
        <v>2440</v>
      </c>
      <c r="AD361" s="901" t="s">
        <v>2439</v>
      </c>
    </row>
    <row r="362" spans="29:30" ht="14.5" x14ac:dyDescent="0.35">
      <c r="AC362" s="900" t="s">
        <v>2442</v>
      </c>
      <c r="AD362" s="899" t="s">
        <v>2441</v>
      </c>
    </row>
    <row r="363" spans="29:30" ht="14.5" x14ac:dyDescent="0.35">
      <c r="AC363" s="902" t="s">
        <v>2444</v>
      </c>
      <c r="AD363" s="901" t="s">
        <v>2443</v>
      </c>
    </row>
    <row r="364" spans="29:30" ht="14.5" x14ac:dyDescent="0.35">
      <c r="AC364" s="900" t="s">
        <v>2446</v>
      </c>
      <c r="AD364" s="899" t="s">
        <v>2445</v>
      </c>
    </row>
    <row r="365" spans="29:30" ht="14.5" x14ac:dyDescent="0.35">
      <c r="AC365" s="902" t="s">
        <v>2448</v>
      </c>
      <c r="AD365" s="901" t="s">
        <v>2447</v>
      </c>
    </row>
    <row r="366" spans="29:30" ht="14.5" x14ac:dyDescent="0.35">
      <c r="AC366" s="900" t="s">
        <v>2450</v>
      </c>
      <c r="AD366" s="899" t="s">
        <v>2449</v>
      </c>
    </row>
    <row r="367" spans="29:30" ht="14.5" x14ac:dyDescent="0.35">
      <c r="AC367" s="902" t="s">
        <v>2452</v>
      </c>
      <c r="AD367" s="901" t="s">
        <v>2451</v>
      </c>
    </row>
    <row r="368" spans="29:30" ht="14.5" x14ac:dyDescent="0.35">
      <c r="AC368" s="900" t="s">
        <v>2454</v>
      </c>
      <c r="AD368" s="899" t="s">
        <v>2453</v>
      </c>
    </row>
    <row r="369" spans="29:30" ht="14.5" x14ac:dyDescent="0.35">
      <c r="AC369" s="902" t="s">
        <v>2456</v>
      </c>
      <c r="AD369" s="901" t="s">
        <v>2455</v>
      </c>
    </row>
    <row r="370" spans="29:30" ht="14.5" x14ac:dyDescent="0.35">
      <c r="AC370" s="900" t="s">
        <v>2458</v>
      </c>
      <c r="AD370" s="899" t="s">
        <v>2457</v>
      </c>
    </row>
    <row r="371" spans="29:30" ht="14.5" x14ac:dyDescent="0.35">
      <c r="AC371" s="902" t="s">
        <v>2460</v>
      </c>
      <c r="AD371" s="901" t="s">
        <v>2459</v>
      </c>
    </row>
    <row r="372" spans="29:30" ht="14.5" x14ac:dyDescent="0.35">
      <c r="AC372" s="900" t="s">
        <v>2462</v>
      </c>
      <c r="AD372" s="899" t="s">
        <v>2461</v>
      </c>
    </row>
    <row r="373" spans="29:30" ht="14.5" x14ac:dyDescent="0.35">
      <c r="AC373" s="902" t="s">
        <v>2464</v>
      </c>
      <c r="AD373" s="901" t="s">
        <v>2463</v>
      </c>
    </row>
    <row r="374" spans="29:30" ht="14.5" x14ac:dyDescent="0.35">
      <c r="AC374" s="900" t="s">
        <v>2466</v>
      </c>
      <c r="AD374" s="899" t="s">
        <v>2465</v>
      </c>
    </row>
    <row r="375" spans="29:30" ht="14.5" x14ac:dyDescent="0.35">
      <c r="AC375" s="902" t="s">
        <v>2468</v>
      </c>
      <c r="AD375" s="901" t="s">
        <v>2467</v>
      </c>
    </row>
    <row r="376" spans="29:30" ht="14.5" x14ac:dyDescent="0.35">
      <c r="AC376" s="900" t="s">
        <v>2470</v>
      </c>
      <c r="AD376" s="899" t="s">
        <v>2469</v>
      </c>
    </row>
    <row r="377" spans="29:30" ht="14.5" x14ac:dyDescent="0.35">
      <c r="AC377" s="902" t="s">
        <v>2472</v>
      </c>
      <c r="AD377" s="901" t="s">
        <v>2471</v>
      </c>
    </row>
    <row r="378" spans="29:30" ht="14.5" x14ac:dyDescent="0.35">
      <c r="AC378" s="900" t="s">
        <v>2474</v>
      </c>
      <c r="AD378" s="899" t="s">
        <v>2473</v>
      </c>
    </row>
    <row r="379" spans="29:30" ht="14.5" x14ac:dyDescent="0.35">
      <c r="AC379" s="902" t="s">
        <v>2476</v>
      </c>
      <c r="AD379" s="901" t="s">
        <v>2475</v>
      </c>
    </row>
    <row r="380" spans="29:30" ht="14.5" x14ac:dyDescent="0.35">
      <c r="AC380" s="900" t="s">
        <v>2478</v>
      </c>
      <c r="AD380" s="899" t="s">
        <v>2477</v>
      </c>
    </row>
    <row r="381" spans="29:30" ht="14.5" x14ac:dyDescent="0.35">
      <c r="AC381" s="902" t="s">
        <v>2480</v>
      </c>
      <c r="AD381" s="901" t="s">
        <v>2479</v>
      </c>
    </row>
    <row r="382" spans="29:30" ht="14.5" x14ac:dyDescent="0.35">
      <c r="AC382" s="900" t="s">
        <v>2482</v>
      </c>
      <c r="AD382" s="899" t="s">
        <v>2481</v>
      </c>
    </row>
    <row r="383" spans="29:30" ht="14.5" x14ac:dyDescent="0.35">
      <c r="AC383" s="902" t="s">
        <v>2484</v>
      </c>
      <c r="AD383" s="901" t="s">
        <v>2483</v>
      </c>
    </row>
    <row r="384" spans="29:30" ht="14.5" x14ac:dyDescent="0.35">
      <c r="AC384" s="900" t="s">
        <v>2486</v>
      </c>
      <c r="AD384" s="899" t="s">
        <v>2485</v>
      </c>
    </row>
    <row r="385" spans="29:30" ht="14.5" x14ac:dyDescent="0.35">
      <c r="AC385" s="902" t="s">
        <v>2488</v>
      </c>
      <c r="AD385" s="901" t="s">
        <v>2487</v>
      </c>
    </row>
    <row r="386" spans="29:30" ht="14.5" x14ac:dyDescent="0.35">
      <c r="AC386" s="900" t="s">
        <v>2490</v>
      </c>
      <c r="AD386" s="899" t="s">
        <v>2489</v>
      </c>
    </row>
    <row r="387" spans="29:30" ht="14.5" x14ac:dyDescent="0.35">
      <c r="AC387" s="902" t="s">
        <v>2492</v>
      </c>
      <c r="AD387" s="901" t="s">
        <v>2491</v>
      </c>
    </row>
    <row r="388" spans="29:30" ht="14.5" x14ac:dyDescent="0.35">
      <c r="AC388" s="900" t="s">
        <v>2494</v>
      </c>
      <c r="AD388" s="899" t="s">
        <v>2493</v>
      </c>
    </row>
    <row r="389" spans="29:30" ht="14.5" x14ac:dyDescent="0.35">
      <c r="AC389" s="902" t="s">
        <v>2496</v>
      </c>
      <c r="AD389" s="901" t="s">
        <v>2495</v>
      </c>
    </row>
    <row r="390" spans="29:30" ht="14.5" x14ac:dyDescent="0.35">
      <c r="AC390" s="900" t="s">
        <v>2498</v>
      </c>
      <c r="AD390" s="899" t="s">
        <v>2497</v>
      </c>
    </row>
    <row r="391" spans="29:30" ht="14.5" x14ac:dyDescent="0.35">
      <c r="AC391" s="902" t="s">
        <v>2500</v>
      </c>
      <c r="AD391" s="901" t="s">
        <v>2499</v>
      </c>
    </row>
    <row r="392" spans="29:30" ht="14.5" x14ac:dyDescent="0.35">
      <c r="AC392" s="900" t="s">
        <v>2502</v>
      </c>
      <c r="AD392" s="899" t="s">
        <v>2501</v>
      </c>
    </row>
    <row r="393" spans="29:30" ht="14.5" x14ac:dyDescent="0.35">
      <c r="AC393" s="902" t="s">
        <v>2504</v>
      </c>
      <c r="AD393" s="901" t="s">
        <v>2503</v>
      </c>
    </row>
    <row r="394" spans="29:30" ht="14.5" x14ac:dyDescent="0.35">
      <c r="AC394" s="900" t="s">
        <v>2506</v>
      </c>
      <c r="AD394" s="899" t="s">
        <v>2505</v>
      </c>
    </row>
    <row r="395" spans="29:30" ht="14.5" x14ac:dyDescent="0.35">
      <c r="AC395" s="902" t="s">
        <v>2508</v>
      </c>
      <c r="AD395" s="901" t="s">
        <v>2507</v>
      </c>
    </row>
    <row r="396" spans="29:30" ht="14.5" x14ac:dyDescent="0.35">
      <c r="AC396" s="900" t="s">
        <v>2510</v>
      </c>
      <c r="AD396" s="899" t="s">
        <v>2509</v>
      </c>
    </row>
    <row r="397" spans="29:30" ht="14.5" x14ac:dyDescent="0.35">
      <c r="AC397" s="902" t="s">
        <v>2512</v>
      </c>
      <c r="AD397" s="901" t="s">
        <v>2511</v>
      </c>
    </row>
    <row r="398" spans="29:30" ht="14.5" x14ac:dyDescent="0.35">
      <c r="AC398" s="900" t="s">
        <v>2514</v>
      </c>
      <c r="AD398" s="899" t="s">
        <v>2513</v>
      </c>
    </row>
    <row r="399" spans="29:30" ht="14.5" x14ac:dyDescent="0.35">
      <c r="AC399" s="902" t="s">
        <v>2516</v>
      </c>
      <c r="AD399" s="901" t="s">
        <v>2515</v>
      </c>
    </row>
    <row r="400" spans="29:30" ht="14.5" x14ac:dyDescent="0.35">
      <c r="AC400" s="900" t="s">
        <v>2518</v>
      </c>
      <c r="AD400" s="899" t="s">
        <v>2517</v>
      </c>
    </row>
    <row r="401" spans="29:30" ht="14.5" x14ac:dyDescent="0.35">
      <c r="AC401" s="902" t="s">
        <v>2520</v>
      </c>
      <c r="AD401" s="901" t="s">
        <v>2519</v>
      </c>
    </row>
    <row r="402" spans="29:30" ht="14.5" x14ac:dyDescent="0.35">
      <c r="AC402" s="900" t="s">
        <v>2522</v>
      </c>
      <c r="AD402" s="899" t="s">
        <v>2521</v>
      </c>
    </row>
    <row r="403" spans="29:30" ht="14.5" x14ac:dyDescent="0.35">
      <c r="AC403" s="902" t="s">
        <v>2524</v>
      </c>
      <c r="AD403" s="901" t="s">
        <v>2523</v>
      </c>
    </row>
    <row r="404" spans="29:30" ht="14.5" x14ac:dyDescent="0.35">
      <c r="AC404" s="900" t="s">
        <v>2526</v>
      </c>
      <c r="AD404" s="899" t="s">
        <v>2525</v>
      </c>
    </row>
    <row r="405" spans="29:30" ht="14.5" x14ac:dyDescent="0.35">
      <c r="AC405" s="902" t="s">
        <v>2528</v>
      </c>
      <c r="AD405" s="901" t="s">
        <v>2527</v>
      </c>
    </row>
    <row r="406" spans="29:30" ht="14.5" x14ac:dyDescent="0.35">
      <c r="AC406" s="900" t="s">
        <v>2530</v>
      </c>
      <c r="AD406" s="899" t="s">
        <v>2529</v>
      </c>
    </row>
    <row r="407" spans="29:30" ht="14.5" x14ac:dyDescent="0.35">
      <c r="AC407" s="902" t="s">
        <v>2532</v>
      </c>
      <c r="AD407" s="901" t="s">
        <v>2531</v>
      </c>
    </row>
    <row r="408" spans="29:30" ht="14.5" x14ac:dyDescent="0.35">
      <c r="AC408" s="900" t="s">
        <v>2534</v>
      </c>
      <c r="AD408" s="899" t="s">
        <v>2533</v>
      </c>
    </row>
    <row r="409" spans="29:30" ht="14.5" x14ac:dyDescent="0.35">
      <c r="AC409" s="902" t="s">
        <v>2536</v>
      </c>
      <c r="AD409" s="901" t="s">
        <v>2535</v>
      </c>
    </row>
    <row r="410" spans="29:30" ht="14.5" x14ac:dyDescent="0.35">
      <c r="AC410" s="900" t="s">
        <v>2538</v>
      </c>
      <c r="AD410" s="899" t="s">
        <v>2537</v>
      </c>
    </row>
    <row r="411" spans="29:30" ht="14.5" x14ac:dyDescent="0.35">
      <c r="AC411" s="902" t="s">
        <v>2540</v>
      </c>
      <c r="AD411" s="901" t="s">
        <v>2539</v>
      </c>
    </row>
    <row r="412" spans="29:30" ht="14.5" x14ac:dyDescent="0.35">
      <c r="AC412" s="900" t="s">
        <v>2542</v>
      </c>
      <c r="AD412" s="899" t="s">
        <v>2541</v>
      </c>
    </row>
    <row r="413" spans="29:30" ht="14.5" x14ac:dyDescent="0.35">
      <c r="AC413" s="902" t="s">
        <v>2544</v>
      </c>
      <c r="AD413" s="901" t="s">
        <v>2543</v>
      </c>
    </row>
    <row r="414" spans="29:30" ht="14.5" x14ac:dyDescent="0.35">
      <c r="AC414" s="900" t="s">
        <v>2546</v>
      </c>
      <c r="AD414" s="899" t="s">
        <v>2545</v>
      </c>
    </row>
    <row r="415" spans="29:30" ht="14.5" x14ac:dyDescent="0.35">
      <c r="AC415" s="902" t="s">
        <v>2548</v>
      </c>
      <c r="AD415" s="901" t="s">
        <v>2547</v>
      </c>
    </row>
    <row r="416" spans="29:30" ht="14.5" x14ac:dyDescent="0.35">
      <c r="AC416" s="900" t="s">
        <v>2550</v>
      </c>
      <c r="AD416" s="899" t="s">
        <v>2549</v>
      </c>
    </row>
    <row r="417" spans="29:30" ht="14.5" x14ac:dyDescent="0.35">
      <c r="AC417" s="902" t="s">
        <v>2552</v>
      </c>
      <c r="AD417" s="901" t="s">
        <v>2551</v>
      </c>
    </row>
    <row r="418" spans="29:30" ht="14.5" x14ac:dyDescent="0.35">
      <c r="AC418" s="900" t="s">
        <v>2554</v>
      </c>
      <c r="AD418" s="899" t="s">
        <v>2553</v>
      </c>
    </row>
    <row r="419" spans="29:30" ht="14.5" x14ac:dyDescent="0.35">
      <c r="AC419" s="902" t="s">
        <v>2556</v>
      </c>
      <c r="AD419" s="901" t="s">
        <v>2555</v>
      </c>
    </row>
    <row r="420" spans="29:30" ht="14.5" x14ac:dyDescent="0.35">
      <c r="AC420" s="900" t="s">
        <v>2558</v>
      </c>
      <c r="AD420" s="899" t="s">
        <v>2557</v>
      </c>
    </row>
    <row r="421" spans="29:30" ht="14.5" x14ac:dyDescent="0.35">
      <c r="AC421" s="902" t="s">
        <v>2560</v>
      </c>
      <c r="AD421" s="901" t="s">
        <v>2559</v>
      </c>
    </row>
    <row r="422" spans="29:30" ht="14.5" x14ac:dyDescent="0.35">
      <c r="AC422" s="900" t="s">
        <v>2562</v>
      </c>
      <c r="AD422" s="899" t="s">
        <v>2561</v>
      </c>
    </row>
    <row r="423" spans="29:30" ht="14.5" x14ac:dyDescent="0.35">
      <c r="AC423" s="902" t="s">
        <v>2564</v>
      </c>
      <c r="AD423" s="901" t="s">
        <v>2563</v>
      </c>
    </row>
    <row r="424" spans="29:30" ht="14.5" x14ac:dyDescent="0.35">
      <c r="AC424" s="900" t="s">
        <v>2566</v>
      </c>
      <c r="AD424" s="899" t="s">
        <v>2565</v>
      </c>
    </row>
    <row r="425" spans="29:30" ht="14.5" x14ac:dyDescent="0.35">
      <c r="AC425" s="902" t="s">
        <v>2568</v>
      </c>
      <c r="AD425" s="901" t="s">
        <v>2567</v>
      </c>
    </row>
    <row r="426" spans="29:30" ht="14.5" x14ac:dyDescent="0.35">
      <c r="AC426" s="900" t="s">
        <v>2570</v>
      </c>
      <c r="AD426" s="899" t="s">
        <v>2569</v>
      </c>
    </row>
    <row r="427" spans="29:30" ht="14.5" x14ac:dyDescent="0.35">
      <c r="AC427" s="902" t="s">
        <v>2572</v>
      </c>
      <c r="AD427" s="901" t="s">
        <v>2571</v>
      </c>
    </row>
    <row r="428" spans="29:30" ht="14.5" x14ac:dyDescent="0.35">
      <c r="AC428" s="900" t="s">
        <v>2574</v>
      </c>
      <c r="AD428" s="899" t="s">
        <v>2573</v>
      </c>
    </row>
    <row r="429" spans="29:30" ht="14.5" x14ac:dyDescent="0.35">
      <c r="AC429" s="902" t="s">
        <v>2576</v>
      </c>
      <c r="AD429" s="901" t="s">
        <v>2575</v>
      </c>
    </row>
    <row r="430" spans="29:30" ht="14.5" x14ac:dyDescent="0.35">
      <c r="AC430" s="900" t="s">
        <v>2578</v>
      </c>
      <c r="AD430" s="899" t="s">
        <v>2577</v>
      </c>
    </row>
    <row r="431" spans="29:30" ht="14.5" x14ac:dyDescent="0.35">
      <c r="AC431" s="902" t="s">
        <v>2580</v>
      </c>
      <c r="AD431" s="901" t="s">
        <v>2579</v>
      </c>
    </row>
    <row r="432" spans="29:30" ht="14.5" x14ac:dyDescent="0.35">
      <c r="AC432" s="900" t="s">
        <v>2582</v>
      </c>
      <c r="AD432" s="899" t="s">
        <v>2581</v>
      </c>
    </row>
    <row r="433" spans="29:30" ht="14.5" x14ac:dyDescent="0.35">
      <c r="AC433" s="902" t="s">
        <v>2584</v>
      </c>
      <c r="AD433" s="901" t="s">
        <v>2583</v>
      </c>
    </row>
    <row r="434" spans="29:30" ht="14.5" x14ac:dyDescent="0.35">
      <c r="AC434" s="900" t="s">
        <v>2586</v>
      </c>
      <c r="AD434" s="899" t="s">
        <v>2585</v>
      </c>
    </row>
    <row r="435" spans="29:30" ht="14.5" x14ac:dyDescent="0.35">
      <c r="AC435" s="902" t="s">
        <v>2588</v>
      </c>
      <c r="AD435" s="901" t="s">
        <v>2587</v>
      </c>
    </row>
    <row r="436" spans="29:30" ht="14.5" x14ac:dyDescent="0.35">
      <c r="AC436" s="900" t="s">
        <v>2590</v>
      </c>
      <c r="AD436" s="899" t="s">
        <v>2589</v>
      </c>
    </row>
    <row r="437" spans="29:30" ht="14.5" x14ac:dyDescent="0.35">
      <c r="AC437" s="902" t="s">
        <v>2592</v>
      </c>
      <c r="AD437" s="901" t="s">
        <v>2591</v>
      </c>
    </row>
    <row r="438" spans="29:30" ht="14.5" x14ac:dyDescent="0.35">
      <c r="AC438" s="900" t="s">
        <v>2594</v>
      </c>
      <c r="AD438" s="899" t="s">
        <v>2593</v>
      </c>
    </row>
    <row r="439" spans="29:30" ht="14.5" x14ac:dyDescent="0.35">
      <c r="AC439" s="902" t="s">
        <v>2596</v>
      </c>
      <c r="AD439" s="901" t="s">
        <v>2595</v>
      </c>
    </row>
    <row r="440" spans="29:30" ht="14.5" x14ac:dyDescent="0.35">
      <c r="AC440" s="900" t="s">
        <v>2598</v>
      </c>
      <c r="AD440" s="899" t="s">
        <v>2597</v>
      </c>
    </row>
    <row r="441" spans="29:30" ht="14.5" x14ac:dyDescent="0.35">
      <c r="AC441" s="902" t="s">
        <v>2600</v>
      </c>
      <c r="AD441" s="901" t="s">
        <v>2599</v>
      </c>
    </row>
    <row r="442" spans="29:30" ht="14.5" x14ac:dyDescent="0.35">
      <c r="AC442" s="900" t="s">
        <v>2602</v>
      </c>
      <c r="AD442" s="899" t="s">
        <v>2601</v>
      </c>
    </row>
    <row r="443" spans="29:30" ht="14.5" x14ac:dyDescent="0.35">
      <c r="AC443" s="902" t="s">
        <v>2604</v>
      </c>
      <c r="AD443" s="901" t="s">
        <v>2603</v>
      </c>
    </row>
    <row r="444" spans="29:30" ht="14.5" x14ac:dyDescent="0.35">
      <c r="AC444" s="900" t="s">
        <v>2606</v>
      </c>
      <c r="AD444" s="899" t="s">
        <v>2605</v>
      </c>
    </row>
    <row r="445" spans="29:30" ht="14.5" x14ac:dyDescent="0.35">
      <c r="AC445" s="902" t="s">
        <v>2608</v>
      </c>
      <c r="AD445" s="901" t="s">
        <v>2607</v>
      </c>
    </row>
    <row r="446" spans="29:30" ht="14.5" x14ac:dyDescent="0.35">
      <c r="AC446" s="900" t="s">
        <v>2610</v>
      </c>
      <c r="AD446" s="899" t="s">
        <v>2609</v>
      </c>
    </row>
    <row r="447" spans="29:30" ht="14.5" x14ac:dyDescent="0.35">
      <c r="AC447" s="902" t="s">
        <v>2612</v>
      </c>
      <c r="AD447" s="901" t="s">
        <v>2611</v>
      </c>
    </row>
    <row r="448" spans="29:30" ht="14.5" x14ac:dyDescent="0.35">
      <c r="AC448" s="900" t="s">
        <v>2614</v>
      </c>
      <c r="AD448" s="899" t="s">
        <v>2613</v>
      </c>
    </row>
    <row r="449" spans="29:30" ht="14.5" x14ac:dyDescent="0.35">
      <c r="AC449" s="902" t="s">
        <v>2616</v>
      </c>
      <c r="AD449" s="901" t="s">
        <v>2615</v>
      </c>
    </row>
    <row r="450" spans="29:30" ht="14.5" x14ac:dyDescent="0.35">
      <c r="AC450" s="900" t="s">
        <v>2618</v>
      </c>
      <c r="AD450" s="899" t="s">
        <v>2617</v>
      </c>
    </row>
    <row r="451" spans="29:30" ht="14.5" x14ac:dyDescent="0.35">
      <c r="AC451" s="902" t="s">
        <v>2620</v>
      </c>
      <c r="AD451" s="901" t="s">
        <v>2619</v>
      </c>
    </row>
    <row r="452" spans="29:30" ht="14.5" x14ac:dyDescent="0.35">
      <c r="AC452" s="900" t="s">
        <v>2622</v>
      </c>
      <c r="AD452" s="899" t="s">
        <v>2621</v>
      </c>
    </row>
    <row r="453" spans="29:30" ht="14.5" x14ac:dyDescent="0.35">
      <c r="AC453" s="902" t="s">
        <v>2624</v>
      </c>
      <c r="AD453" s="901" t="s">
        <v>2623</v>
      </c>
    </row>
    <row r="454" spans="29:30" ht="14.5" x14ac:dyDescent="0.35">
      <c r="AC454" s="900" t="s">
        <v>2626</v>
      </c>
      <c r="AD454" s="899" t="s">
        <v>2625</v>
      </c>
    </row>
    <row r="455" spans="29:30" ht="14.5" x14ac:dyDescent="0.35">
      <c r="AC455" s="902" t="s">
        <v>2628</v>
      </c>
      <c r="AD455" s="901" t="s">
        <v>2627</v>
      </c>
    </row>
    <row r="456" spans="29:30" ht="14.5" x14ac:dyDescent="0.35">
      <c r="AC456" s="900" t="s">
        <v>2630</v>
      </c>
      <c r="AD456" s="899" t="s">
        <v>2629</v>
      </c>
    </row>
    <row r="457" spans="29:30" ht="14.5" x14ac:dyDescent="0.35">
      <c r="AC457" s="902" t="s">
        <v>2632</v>
      </c>
      <c r="AD457" s="901" t="s">
        <v>2631</v>
      </c>
    </row>
    <row r="458" spans="29:30" ht="14.5" x14ac:dyDescent="0.35">
      <c r="AC458" s="900" t="s">
        <v>2634</v>
      </c>
      <c r="AD458" s="899" t="s">
        <v>2633</v>
      </c>
    </row>
    <row r="459" spans="29:30" ht="14.5" x14ac:dyDescent="0.35">
      <c r="AC459" s="902" t="s">
        <v>2636</v>
      </c>
      <c r="AD459" s="901" t="s">
        <v>2635</v>
      </c>
    </row>
    <row r="460" spans="29:30" ht="14.5" x14ac:dyDescent="0.35">
      <c r="AC460" s="900" t="s">
        <v>2638</v>
      </c>
      <c r="AD460" s="899" t="s">
        <v>2637</v>
      </c>
    </row>
    <row r="461" spans="29:30" ht="14.5" x14ac:dyDescent="0.35">
      <c r="AC461" s="902" t="s">
        <v>2640</v>
      </c>
      <c r="AD461" s="901" t="s">
        <v>2639</v>
      </c>
    </row>
    <row r="462" spans="29:30" ht="14.5" x14ac:dyDescent="0.35">
      <c r="AC462" s="900" t="s">
        <v>2642</v>
      </c>
      <c r="AD462" s="899" t="s">
        <v>2641</v>
      </c>
    </row>
    <row r="463" spans="29:30" ht="14.5" x14ac:dyDescent="0.35">
      <c r="AC463" s="902" t="s">
        <v>2644</v>
      </c>
      <c r="AD463" s="901" t="s">
        <v>2643</v>
      </c>
    </row>
    <row r="464" spans="29:30" ht="14.5" x14ac:dyDescent="0.35">
      <c r="AC464" s="900" t="s">
        <v>2646</v>
      </c>
      <c r="AD464" s="899" t="s">
        <v>2645</v>
      </c>
    </row>
    <row r="465" spans="29:30" ht="14.5" x14ac:dyDescent="0.35">
      <c r="AC465" s="902" t="s">
        <v>2648</v>
      </c>
      <c r="AD465" s="901" t="s">
        <v>2647</v>
      </c>
    </row>
    <row r="466" spans="29:30" ht="14.5" x14ac:dyDescent="0.35">
      <c r="AC466" s="900" t="s">
        <v>2650</v>
      </c>
      <c r="AD466" s="899" t="s">
        <v>2649</v>
      </c>
    </row>
    <row r="467" spans="29:30" ht="14.5" x14ac:dyDescent="0.35">
      <c r="AC467" s="902" t="s">
        <v>2652</v>
      </c>
      <c r="AD467" s="901" t="s">
        <v>2651</v>
      </c>
    </row>
    <row r="468" spans="29:30" ht="14.5" x14ac:dyDescent="0.35">
      <c r="AC468" s="900" t="s">
        <v>2654</v>
      </c>
      <c r="AD468" s="899" t="s">
        <v>2653</v>
      </c>
    </row>
    <row r="469" spans="29:30" ht="14.5" x14ac:dyDescent="0.35">
      <c r="AC469" s="902" t="s">
        <v>2656</v>
      </c>
      <c r="AD469" s="901" t="s">
        <v>2655</v>
      </c>
    </row>
    <row r="470" spans="29:30" ht="14.5" x14ac:dyDescent="0.35">
      <c r="AC470" s="900" t="s">
        <v>2658</v>
      </c>
      <c r="AD470" s="899" t="s">
        <v>2657</v>
      </c>
    </row>
    <row r="471" spans="29:30" ht="14.5" x14ac:dyDescent="0.35">
      <c r="AC471" s="902" t="s">
        <v>2660</v>
      </c>
      <c r="AD471" s="901" t="s">
        <v>2659</v>
      </c>
    </row>
    <row r="472" spans="29:30" ht="14.5" x14ac:dyDescent="0.35">
      <c r="AC472" s="900" t="s">
        <v>2662</v>
      </c>
      <c r="AD472" s="899" t="s">
        <v>2661</v>
      </c>
    </row>
    <row r="473" spans="29:30" ht="14.5" x14ac:dyDescent="0.35">
      <c r="AC473" s="902" t="s">
        <v>2664</v>
      </c>
      <c r="AD473" s="901" t="s">
        <v>2663</v>
      </c>
    </row>
    <row r="474" spans="29:30" ht="14.5" x14ac:dyDescent="0.35">
      <c r="AC474" s="900" t="s">
        <v>2666</v>
      </c>
      <c r="AD474" s="899" t="s">
        <v>2665</v>
      </c>
    </row>
    <row r="475" spans="29:30" ht="14.5" x14ac:dyDescent="0.35">
      <c r="AC475" s="902" t="s">
        <v>2668</v>
      </c>
      <c r="AD475" s="901" t="s">
        <v>2667</v>
      </c>
    </row>
    <row r="476" spans="29:30" ht="14.5" x14ac:dyDescent="0.35">
      <c r="AC476" s="900" t="s">
        <v>2670</v>
      </c>
      <c r="AD476" s="899" t="s">
        <v>2669</v>
      </c>
    </row>
    <row r="477" spans="29:30" ht="14.5" x14ac:dyDescent="0.35">
      <c r="AC477" s="902" t="s">
        <v>2672</v>
      </c>
      <c r="AD477" s="901" t="s">
        <v>2671</v>
      </c>
    </row>
    <row r="478" spans="29:30" ht="14.5" x14ac:dyDescent="0.35">
      <c r="AC478" s="900" t="s">
        <v>2674</v>
      </c>
      <c r="AD478" s="899" t="s">
        <v>2673</v>
      </c>
    </row>
    <row r="479" spans="29:30" ht="14.5" x14ac:dyDescent="0.35">
      <c r="AC479" s="902" t="s">
        <v>2676</v>
      </c>
      <c r="AD479" s="901" t="s">
        <v>2675</v>
      </c>
    </row>
    <row r="480" spans="29:30" ht="14.5" x14ac:dyDescent="0.35">
      <c r="AC480" s="900" t="s">
        <v>2678</v>
      </c>
      <c r="AD480" s="899" t="s">
        <v>2677</v>
      </c>
    </row>
    <row r="481" spans="29:30" ht="14.5" x14ac:dyDescent="0.35">
      <c r="AC481" s="902" t="s">
        <v>2680</v>
      </c>
      <c r="AD481" s="901" t="s">
        <v>2679</v>
      </c>
    </row>
    <row r="482" spans="29:30" ht="14.5" x14ac:dyDescent="0.35">
      <c r="AC482" s="900" t="s">
        <v>2682</v>
      </c>
      <c r="AD482" s="899" t="s">
        <v>2681</v>
      </c>
    </row>
    <row r="483" spans="29:30" ht="14.5" x14ac:dyDescent="0.35">
      <c r="AC483" s="902" t="s">
        <v>2684</v>
      </c>
      <c r="AD483" s="901" t="s">
        <v>2683</v>
      </c>
    </row>
    <row r="484" spans="29:30" ht="14.5" x14ac:dyDescent="0.35">
      <c r="AC484" s="900" t="s">
        <v>2686</v>
      </c>
      <c r="AD484" s="899" t="s">
        <v>2685</v>
      </c>
    </row>
    <row r="485" spans="29:30" ht="14.5" x14ac:dyDescent="0.35">
      <c r="AC485" s="902" t="s">
        <v>2688</v>
      </c>
      <c r="AD485" s="901" t="s">
        <v>2687</v>
      </c>
    </row>
    <row r="486" spans="29:30" ht="14.5" x14ac:dyDescent="0.35">
      <c r="AC486" s="900" t="s">
        <v>2690</v>
      </c>
      <c r="AD486" s="899" t="s">
        <v>2689</v>
      </c>
    </row>
    <row r="487" spans="29:30" ht="14.5" x14ac:dyDescent="0.35">
      <c r="AC487" s="902" t="s">
        <v>2692</v>
      </c>
      <c r="AD487" s="901" t="s">
        <v>2691</v>
      </c>
    </row>
    <row r="488" spans="29:30" ht="14.5" x14ac:dyDescent="0.35">
      <c r="AC488" s="900" t="s">
        <v>2694</v>
      </c>
      <c r="AD488" s="899" t="s">
        <v>2693</v>
      </c>
    </row>
    <row r="489" spans="29:30" ht="14.5" x14ac:dyDescent="0.35">
      <c r="AC489" s="902" t="s">
        <v>2696</v>
      </c>
      <c r="AD489" s="901" t="s">
        <v>2695</v>
      </c>
    </row>
    <row r="490" spans="29:30" ht="14.5" x14ac:dyDescent="0.35">
      <c r="AC490" s="900" t="s">
        <v>2698</v>
      </c>
      <c r="AD490" s="899" t="s">
        <v>2697</v>
      </c>
    </row>
    <row r="491" spans="29:30" ht="14.5" x14ac:dyDescent="0.35">
      <c r="AC491" s="902" t="s">
        <v>2700</v>
      </c>
      <c r="AD491" s="901" t="s">
        <v>2699</v>
      </c>
    </row>
    <row r="492" spans="29:30" ht="14.5" x14ac:dyDescent="0.35">
      <c r="AC492" s="900" t="s">
        <v>2702</v>
      </c>
      <c r="AD492" s="899" t="s">
        <v>2701</v>
      </c>
    </row>
    <row r="493" spans="29:30" ht="14.5" x14ac:dyDescent="0.35">
      <c r="AC493" s="902" t="s">
        <v>2704</v>
      </c>
      <c r="AD493" s="901" t="s">
        <v>2703</v>
      </c>
    </row>
    <row r="494" spans="29:30" ht="14.5" x14ac:dyDescent="0.35">
      <c r="AC494" s="900" t="s">
        <v>2706</v>
      </c>
      <c r="AD494" s="899" t="s">
        <v>2705</v>
      </c>
    </row>
    <row r="495" spans="29:30" ht="14.5" x14ac:dyDescent="0.35">
      <c r="AC495" s="902" t="s">
        <v>2708</v>
      </c>
      <c r="AD495" s="901" t="s">
        <v>2707</v>
      </c>
    </row>
    <row r="496" spans="29:30" ht="14.5" x14ac:dyDescent="0.35">
      <c r="AC496" s="900" t="s">
        <v>2710</v>
      </c>
      <c r="AD496" s="899" t="s">
        <v>2709</v>
      </c>
    </row>
    <row r="497" spans="29:30" ht="14.5" x14ac:dyDescent="0.35">
      <c r="AC497" s="902" t="s">
        <v>2712</v>
      </c>
      <c r="AD497" s="901" t="s">
        <v>2711</v>
      </c>
    </row>
    <row r="498" spans="29:30" ht="14.5" x14ac:dyDescent="0.35">
      <c r="AC498" s="900" t="s">
        <v>2714</v>
      </c>
      <c r="AD498" s="899" t="s">
        <v>2713</v>
      </c>
    </row>
    <row r="499" spans="29:30" ht="14.5" x14ac:dyDescent="0.35">
      <c r="AC499" s="902" t="s">
        <v>2716</v>
      </c>
      <c r="AD499" s="901" t="s">
        <v>2715</v>
      </c>
    </row>
    <row r="500" spans="29:30" ht="14.5" x14ac:dyDescent="0.35">
      <c r="AC500" s="900" t="s">
        <v>2718</v>
      </c>
      <c r="AD500" s="899" t="s">
        <v>2717</v>
      </c>
    </row>
    <row r="501" spans="29:30" ht="14.5" x14ac:dyDescent="0.35">
      <c r="AC501" s="902" t="s">
        <v>2720</v>
      </c>
      <c r="AD501" s="901" t="s">
        <v>2719</v>
      </c>
    </row>
    <row r="502" spans="29:30" ht="14.5" x14ac:dyDescent="0.35">
      <c r="AC502" s="900" t="s">
        <v>2722</v>
      </c>
      <c r="AD502" s="899" t="s">
        <v>2721</v>
      </c>
    </row>
    <row r="503" spans="29:30" ht="14.5" x14ac:dyDescent="0.35">
      <c r="AC503" s="902" t="s">
        <v>2724</v>
      </c>
      <c r="AD503" s="901" t="s">
        <v>2723</v>
      </c>
    </row>
    <row r="504" spans="29:30" ht="14.5" x14ac:dyDescent="0.35">
      <c r="AC504" s="900" t="s">
        <v>2726</v>
      </c>
      <c r="AD504" s="899" t="s">
        <v>2725</v>
      </c>
    </row>
    <row r="505" spans="29:30" ht="14.5" x14ac:dyDescent="0.35">
      <c r="AC505" s="902" t="s">
        <v>2728</v>
      </c>
      <c r="AD505" s="901" t="s">
        <v>2727</v>
      </c>
    </row>
    <row r="506" spans="29:30" ht="14.5" x14ac:dyDescent="0.35">
      <c r="AC506" s="900" t="s">
        <v>2730</v>
      </c>
      <c r="AD506" s="899" t="s">
        <v>2729</v>
      </c>
    </row>
    <row r="507" spans="29:30" ht="14.5" x14ac:dyDescent="0.35">
      <c r="AC507" s="902" t="s">
        <v>2732</v>
      </c>
      <c r="AD507" s="901" t="s">
        <v>2731</v>
      </c>
    </row>
    <row r="508" spans="29:30" ht="14.5" x14ac:dyDescent="0.35">
      <c r="AC508" s="900" t="s">
        <v>2734</v>
      </c>
      <c r="AD508" s="899" t="s">
        <v>2733</v>
      </c>
    </row>
    <row r="509" spans="29:30" ht="14.5" x14ac:dyDescent="0.35">
      <c r="AC509" s="902" t="s">
        <v>2736</v>
      </c>
      <c r="AD509" s="901" t="s">
        <v>2735</v>
      </c>
    </row>
    <row r="510" spans="29:30" ht="14.5" x14ac:dyDescent="0.35">
      <c r="AC510" s="900" t="s">
        <v>2738</v>
      </c>
      <c r="AD510" s="899" t="s">
        <v>2737</v>
      </c>
    </row>
    <row r="511" spans="29:30" ht="14.5" x14ac:dyDescent="0.35">
      <c r="AC511" s="902" t="s">
        <v>2740</v>
      </c>
      <c r="AD511" s="901" t="s">
        <v>2739</v>
      </c>
    </row>
    <row r="512" spans="29:30" ht="14.5" x14ac:dyDescent="0.35">
      <c r="AC512" s="900" t="s">
        <v>2742</v>
      </c>
      <c r="AD512" s="899" t="s">
        <v>2741</v>
      </c>
    </row>
    <row r="513" spans="29:30" ht="14.5" x14ac:dyDescent="0.35">
      <c r="AC513" s="902" t="s">
        <v>2744</v>
      </c>
      <c r="AD513" s="901" t="s">
        <v>2743</v>
      </c>
    </row>
    <row r="514" spans="29:30" ht="14.5" x14ac:dyDescent="0.35">
      <c r="AC514" s="900" t="s">
        <v>2746</v>
      </c>
      <c r="AD514" s="899" t="s">
        <v>2745</v>
      </c>
    </row>
    <row r="515" spans="29:30" ht="14.5" x14ac:dyDescent="0.35">
      <c r="AC515" s="902" t="s">
        <v>2748</v>
      </c>
      <c r="AD515" s="901" t="s">
        <v>2747</v>
      </c>
    </row>
    <row r="516" spans="29:30" ht="14.5" x14ac:dyDescent="0.35">
      <c r="AC516" s="900" t="s">
        <v>2750</v>
      </c>
      <c r="AD516" s="899" t="s">
        <v>2749</v>
      </c>
    </row>
    <row r="517" spans="29:30" ht="14.5" x14ac:dyDescent="0.35">
      <c r="AC517" s="902" t="s">
        <v>2752</v>
      </c>
      <c r="AD517" s="901" t="s">
        <v>2751</v>
      </c>
    </row>
    <row r="518" spans="29:30" ht="14.5" x14ac:dyDescent="0.35">
      <c r="AC518" s="900" t="s">
        <v>2754</v>
      </c>
      <c r="AD518" s="899" t="s">
        <v>2753</v>
      </c>
    </row>
    <row r="519" spans="29:30" ht="14.5" x14ac:dyDescent="0.35">
      <c r="AC519" s="902" t="s">
        <v>2756</v>
      </c>
      <c r="AD519" s="901" t="s">
        <v>2755</v>
      </c>
    </row>
    <row r="520" spans="29:30" ht="14.5" x14ac:dyDescent="0.35">
      <c r="AC520" s="900" t="s">
        <v>2758</v>
      </c>
      <c r="AD520" s="899" t="s">
        <v>2757</v>
      </c>
    </row>
    <row r="521" spans="29:30" ht="14.5" x14ac:dyDescent="0.35">
      <c r="AC521" s="902" t="s">
        <v>2760</v>
      </c>
      <c r="AD521" s="901" t="s">
        <v>2759</v>
      </c>
    </row>
    <row r="522" spans="29:30" ht="14.5" x14ac:dyDescent="0.35">
      <c r="AC522" s="900" t="s">
        <v>2762</v>
      </c>
      <c r="AD522" s="899" t="s">
        <v>2761</v>
      </c>
    </row>
    <row r="523" spans="29:30" ht="14.5" x14ac:dyDescent="0.35">
      <c r="AC523" s="902" t="s">
        <v>2764</v>
      </c>
      <c r="AD523" s="901" t="s">
        <v>2763</v>
      </c>
    </row>
    <row r="524" spans="29:30" ht="14.5" x14ac:dyDescent="0.35">
      <c r="AC524" s="900" t="s">
        <v>2766</v>
      </c>
      <c r="AD524" s="899" t="s">
        <v>2765</v>
      </c>
    </row>
    <row r="525" spans="29:30" ht="14.5" x14ac:dyDescent="0.35">
      <c r="AC525" s="902" t="s">
        <v>2768</v>
      </c>
      <c r="AD525" s="901" t="s">
        <v>2767</v>
      </c>
    </row>
    <row r="526" spans="29:30" ht="14.5" x14ac:dyDescent="0.35">
      <c r="AC526" s="900" t="s">
        <v>2770</v>
      </c>
      <c r="AD526" s="899" t="s">
        <v>2769</v>
      </c>
    </row>
    <row r="527" spans="29:30" ht="14.5" x14ac:dyDescent="0.35">
      <c r="AC527" s="902" t="s">
        <v>2772</v>
      </c>
      <c r="AD527" s="901" t="s">
        <v>2771</v>
      </c>
    </row>
    <row r="528" spans="29:30" ht="14.5" x14ac:dyDescent="0.35">
      <c r="AC528" s="900" t="s">
        <v>2774</v>
      </c>
      <c r="AD528" s="899" t="s">
        <v>2773</v>
      </c>
    </row>
    <row r="529" spans="29:30" ht="14.5" x14ac:dyDescent="0.35">
      <c r="AC529" s="902" t="s">
        <v>2776</v>
      </c>
      <c r="AD529" s="901" t="s">
        <v>2775</v>
      </c>
    </row>
    <row r="530" spans="29:30" ht="14.5" x14ac:dyDescent="0.35">
      <c r="AC530" s="900" t="s">
        <v>2778</v>
      </c>
      <c r="AD530" s="899" t="s">
        <v>2777</v>
      </c>
    </row>
    <row r="531" spans="29:30" ht="14.5" x14ac:dyDescent="0.35">
      <c r="AC531" s="902" t="s">
        <v>2780</v>
      </c>
      <c r="AD531" s="901" t="s">
        <v>2779</v>
      </c>
    </row>
    <row r="532" spans="29:30" ht="14.5" x14ac:dyDescent="0.35">
      <c r="AC532" s="900" t="s">
        <v>2782</v>
      </c>
      <c r="AD532" s="899" t="s">
        <v>2781</v>
      </c>
    </row>
    <row r="533" spans="29:30" ht="14.5" x14ac:dyDescent="0.35">
      <c r="AC533" s="902" t="s">
        <v>2784</v>
      </c>
      <c r="AD533" s="901" t="s">
        <v>2783</v>
      </c>
    </row>
    <row r="534" spans="29:30" ht="14.5" x14ac:dyDescent="0.35">
      <c r="AC534" s="900" t="s">
        <v>2786</v>
      </c>
      <c r="AD534" s="899" t="s">
        <v>2785</v>
      </c>
    </row>
    <row r="535" spans="29:30" ht="14.5" x14ac:dyDescent="0.35">
      <c r="AC535" s="902" t="s">
        <v>2788</v>
      </c>
      <c r="AD535" s="901" t="s">
        <v>2787</v>
      </c>
    </row>
    <row r="536" spans="29:30" ht="14.5" x14ac:dyDescent="0.35">
      <c r="AC536" s="900" t="s">
        <v>2790</v>
      </c>
      <c r="AD536" s="899" t="s">
        <v>2789</v>
      </c>
    </row>
    <row r="537" spans="29:30" ht="14.5" x14ac:dyDescent="0.35">
      <c r="AC537" s="902" t="s">
        <v>2792</v>
      </c>
      <c r="AD537" s="901" t="s">
        <v>2791</v>
      </c>
    </row>
    <row r="538" spans="29:30" ht="14.5" x14ac:dyDescent="0.35">
      <c r="AC538" s="900" t="s">
        <v>2794</v>
      </c>
      <c r="AD538" s="899" t="s">
        <v>2793</v>
      </c>
    </row>
    <row r="539" spans="29:30" ht="14.5" x14ac:dyDescent="0.35">
      <c r="AC539" s="902" t="s">
        <v>2796</v>
      </c>
      <c r="AD539" s="901" t="s">
        <v>2795</v>
      </c>
    </row>
    <row r="540" spans="29:30" ht="14.5" x14ac:dyDescent="0.35">
      <c r="AC540" s="900" t="s">
        <v>2798</v>
      </c>
      <c r="AD540" s="899" t="s">
        <v>2797</v>
      </c>
    </row>
    <row r="541" spans="29:30" ht="14.5" x14ac:dyDescent="0.35">
      <c r="AC541" s="902" t="s">
        <v>2800</v>
      </c>
      <c r="AD541" s="901" t="s">
        <v>2799</v>
      </c>
    </row>
    <row r="542" spans="29:30" ht="14.5" x14ac:dyDescent="0.35">
      <c r="AC542" s="900" t="s">
        <v>2802</v>
      </c>
      <c r="AD542" s="899" t="s">
        <v>2801</v>
      </c>
    </row>
    <row r="543" spans="29:30" ht="14.5" x14ac:dyDescent="0.35">
      <c r="AC543" s="902" t="s">
        <v>2804</v>
      </c>
      <c r="AD543" s="901" t="s">
        <v>2803</v>
      </c>
    </row>
    <row r="544" spans="29:30" ht="14.5" x14ac:dyDescent="0.35">
      <c r="AC544" s="900" t="s">
        <v>2806</v>
      </c>
      <c r="AD544" s="899" t="s">
        <v>2805</v>
      </c>
    </row>
    <row r="545" spans="29:30" ht="14.5" x14ac:dyDescent="0.35">
      <c r="AC545" s="902" t="s">
        <v>2808</v>
      </c>
      <c r="AD545" s="901" t="s">
        <v>2807</v>
      </c>
    </row>
    <row r="546" spans="29:30" ht="14.5" x14ac:dyDescent="0.35">
      <c r="AC546" s="900" t="s">
        <v>2810</v>
      </c>
      <c r="AD546" s="899" t="s">
        <v>2809</v>
      </c>
    </row>
    <row r="547" spans="29:30" ht="14.5" x14ac:dyDescent="0.35">
      <c r="AC547" s="902" t="s">
        <v>2812</v>
      </c>
      <c r="AD547" s="901" t="s">
        <v>2811</v>
      </c>
    </row>
    <row r="548" spans="29:30" ht="14.5" x14ac:dyDescent="0.35">
      <c r="AC548" s="900" t="s">
        <v>2814</v>
      </c>
      <c r="AD548" s="899" t="s">
        <v>2813</v>
      </c>
    </row>
    <row r="549" spans="29:30" ht="14.5" x14ac:dyDescent="0.35">
      <c r="AC549" s="902" t="s">
        <v>2816</v>
      </c>
      <c r="AD549" s="901" t="s">
        <v>2815</v>
      </c>
    </row>
    <row r="550" spans="29:30" ht="14.5" x14ac:dyDescent="0.35">
      <c r="AC550" s="900" t="s">
        <v>2818</v>
      </c>
      <c r="AD550" s="899" t="s">
        <v>2817</v>
      </c>
    </row>
    <row r="551" spans="29:30" ht="14.5" x14ac:dyDescent="0.35">
      <c r="AC551" s="902" t="s">
        <v>2820</v>
      </c>
      <c r="AD551" s="901" t="s">
        <v>2819</v>
      </c>
    </row>
    <row r="552" spans="29:30" ht="14.5" x14ac:dyDescent="0.35">
      <c r="AC552" s="900" t="s">
        <v>2822</v>
      </c>
      <c r="AD552" s="899" t="s">
        <v>2821</v>
      </c>
    </row>
    <row r="553" spans="29:30" ht="14.5" x14ac:dyDescent="0.35">
      <c r="AC553" s="902" t="s">
        <v>2824</v>
      </c>
      <c r="AD553" s="901" t="s">
        <v>2823</v>
      </c>
    </row>
    <row r="554" spans="29:30" ht="14.5" x14ac:dyDescent="0.35">
      <c r="AC554" s="900" t="s">
        <v>2826</v>
      </c>
      <c r="AD554" s="899" t="s">
        <v>2825</v>
      </c>
    </row>
    <row r="555" spans="29:30" ht="14.5" x14ac:dyDescent="0.35">
      <c r="AC555" s="902" t="s">
        <v>2828</v>
      </c>
      <c r="AD555" s="901" t="s">
        <v>2827</v>
      </c>
    </row>
    <row r="556" spans="29:30" ht="14.5" x14ac:dyDescent="0.35">
      <c r="AC556" s="900" t="s">
        <v>2830</v>
      </c>
      <c r="AD556" s="899" t="s">
        <v>2829</v>
      </c>
    </row>
    <row r="557" spans="29:30" ht="14.5" x14ac:dyDescent="0.35">
      <c r="AC557" s="902" t="s">
        <v>2832</v>
      </c>
      <c r="AD557" s="901" t="s">
        <v>2831</v>
      </c>
    </row>
    <row r="558" spans="29:30" ht="14.5" x14ac:dyDescent="0.35">
      <c r="AC558" s="900" t="s">
        <v>2834</v>
      </c>
      <c r="AD558" s="899" t="s">
        <v>2833</v>
      </c>
    </row>
    <row r="559" spans="29:30" ht="14.5" x14ac:dyDescent="0.35">
      <c r="AC559" s="902" t="s">
        <v>2836</v>
      </c>
      <c r="AD559" s="901" t="s">
        <v>2835</v>
      </c>
    </row>
    <row r="560" spans="29:30" ht="14.5" x14ac:dyDescent="0.35">
      <c r="AC560" s="900" t="s">
        <v>2838</v>
      </c>
      <c r="AD560" s="899" t="s">
        <v>2837</v>
      </c>
    </row>
    <row r="561" spans="29:30" ht="14.5" x14ac:dyDescent="0.35">
      <c r="AC561" s="902" t="s">
        <v>2840</v>
      </c>
      <c r="AD561" s="901" t="s">
        <v>2839</v>
      </c>
    </row>
    <row r="562" spans="29:30" ht="14.5" x14ac:dyDescent="0.35">
      <c r="AC562" s="900" t="s">
        <v>2842</v>
      </c>
      <c r="AD562" s="899" t="s">
        <v>2841</v>
      </c>
    </row>
    <row r="563" spans="29:30" ht="14.5" x14ac:dyDescent="0.35">
      <c r="AC563" s="902" t="s">
        <v>2844</v>
      </c>
      <c r="AD563" s="901" t="s">
        <v>2843</v>
      </c>
    </row>
    <row r="564" spans="29:30" ht="14.5" x14ac:dyDescent="0.35">
      <c r="AC564" s="900" t="s">
        <v>2846</v>
      </c>
      <c r="AD564" s="899" t="s">
        <v>2845</v>
      </c>
    </row>
    <row r="565" spans="29:30" ht="14.5" x14ac:dyDescent="0.35">
      <c r="AC565" s="902" t="s">
        <v>2848</v>
      </c>
      <c r="AD565" s="901" t="s">
        <v>2847</v>
      </c>
    </row>
    <row r="566" spans="29:30" ht="14.5" x14ac:dyDescent="0.35">
      <c r="AC566" s="900" t="s">
        <v>2850</v>
      </c>
      <c r="AD566" s="899" t="s">
        <v>2849</v>
      </c>
    </row>
    <row r="567" spans="29:30" ht="14.5" x14ac:dyDescent="0.35">
      <c r="AC567" s="902" t="s">
        <v>2852</v>
      </c>
      <c r="AD567" s="901" t="s">
        <v>2851</v>
      </c>
    </row>
    <row r="568" spans="29:30" ht="14.5" x14ac:dyDescent="0.35">
      <c r="AC568" s="900" t="s">
        <v>2854</v>
      </c>
      <c r="AD568" s="899" t="s">
        <v>2853</v>
      </c>
    </row>
    <row r="569" spans="29:30" ht="14.5" x14ac:dyDescent="0.35">
      <c r="AC569" s="902" t="s">
        <v>2856</v>
      </c>
      <c r="AD569" s="901" t="s">
        <v>2855</v>
      </c>
    </row>
    <row r="570" spans="29:30" ht="14.5" x14ac:dyDescent="0.35">
      <c r="AC570" s="900" t="s">
        <v>2858</v>
      </c>
      <c r="AD570" s="899" t="s">
        <v>2857</v>
      </c>
    </row>
    <row r="571" spans="29:30" ht="14.5" x14ac:dyDescent="0.35">
      <c r="AC571" s="902" t="s">
        <v>2860</v>
      </c>
      <c r="AD571" s="901" t="s">
        <v>2859</v>
      </c>
    </row>
    <row r="572" spans="29:30" ht="14.5" x14ac:dyDescent="0.35">
      <c r="AC572" s="900" t="s">
        <v>2862</v>
      </c>
      <c r="AD572" s="899" t="s">
        <v>2861</v>
      </c>
    </row>
    <row r="573" spans="29:30" ht="14.5" x14ac:dyDescent="0.35">
      <c r="AC573" s="902" t="s">
        <v>2864</v>
      </c>
      <c r="AD573" s="901" t="s">
        <v>2863</v>
      </c>
    </row>
    <row r="574" spans="29:30" ht="14.5" x14ac:dyDescent="0.35">
      <c r="AC574" s="900" t="s">
        <v>2866</v>
      </c>
      <c r="AD574" s="899" t="s">
        <v>2865</v>
      </c>
    </row>
    <row r="575" spans="29:30" ht="14.5" x14ac:dyDescent="0.35">
      <c r="AC575" s="902" t="s">
        <v>2868</v>
      </c>
      <c r="AD575" s="901" t="s">
        <v>2867</v>
      </c>
    </row>
    <row r="576" spans="29:30" ht="14.5" x14ac:dyDescent="0.35">
      <c r="AC576" s="900" t="s">
        <v>2870</v>
      </c>
      <c r="AD576" s="899" t="s">
        <v>2869</v>
      </c>
    </row>
    <row r="577" spans="29:30" ht="14.5" x14ac:dyDescent="0.35">
      <c r="AC577" s="902" t="s">
        <v>2872</v>
      </c>
      <c r="AD577" s="901" t="s">
        <v>2871</v>
      </c>
    </row>
    <row r="578" spans="29:30" ht="14.5" x14ac:dyDescent="0.35">
      <c r="AC578" s="900" t="s">
        <v>2874</v>
      </c>
      <c r="AD578" s="899" t="s">
        <v>2873</v>
      </c>
    </row>
    <row r="579" spans="29:30" ht="14.5" x14ac:dyDescent="0.35">
      <c r="AC579" s="902" t="s">
        <v>2876</v>
      </c>
      <c r="AD579" s="901" t="s">
        <v>2875</v>
      </c>
    </row>
    <row r="580" spans="29:30" ht="14.5" x14ac:dyDescent="0.35">
      <c r="AC580" s="900" t="s">
        <v>2878</v>
      </c>
      <c r="AD580" s="899" t="s">
        <v>2877</v>
      </c>
    </row>
    <row r="581" spans="29:30" ht="14.5" x14ac:dyDescent="0.35">
      <c r="AC581" s="902" t="s">
        <v>2880</v>
      </c>
      <c r="AD581" s="901" t="s">
        <v>2879</v>
      </c>
    </row>
    <row r="582" spans="29:30" ht="14.5" x14ac:dyDescent="0.35">
      <c r="AC582" s="900" t="s">
        <v>2882</v>
      </c>
      <c r="AD582" s="899" t="s">
        <v>2881</v>
      </c>
    </row>
    <row r="583" spans="29:30" ht="14.5" x14ac:dyDescent="0.35">
      <c r="AC583" s="902" t="s">
        <v>2884</v>
      </c>
      <c r="AD583" s="901" t="s">
        <v>2883</v>
      </c>
    </row>
    <row r="584" spans="29:30" ht="14.5" x14ac:dyDescent="0.35">
      <c r="AC584" s="900" t="s">
        <v>2886</v>
      </c>
      <c r="AD584" s="899" t="s">
        <v>2885</v>
      </c>
    </row>
    <row r="585" spans="29:30" ht="14.5" x14ac:dyDescent="0.35">
      <c r="AC585" s="902" t="s">
        <v>2888</v>
      </c>
      <c r="AD585" s="901" t="s">
        <v>2887</v>
      </c>
    </row>
    <row r="586" spans="29:30" ht="14.5" x14ac:dyDescent="0.35">
      <c r="AC586" s="900" t="s">
        <v>2890</v>
      </c>
      <c r="AD586" s="899" t="s">
        <v>2889</v>
      </c>
    </row>
    <row r="587" spans="29:30" ht="14.5" x14ac:dyDescent="0.35">
      <c r="AC587" s="902" t="s">
        <v>2892</v>
      </c>
      <c r="AD587" s="901" t="s">
        <v>2891</v>
      </c>
    </row>
    <row r="588" spans="29:30" ht="14.5" x14ac:dyDescent="0.35">
      <c r="AC588" s="900" t="s">
        <v>2894</v>
      </c>
      <c r="AD588" s="899" t="s">
        <v>2893</v>
      </c>
    </row>
    <row r="589" spans="29:30" ht="14.5" x14ac:dyDescent="0.35">
      <c r="AC589" s="902" t="s">
        <v>2896</v>
      </c>
      <c r="AD589" s="901" t="s">
        <v>2895</v>
      </c>
    </row>
    <row r="590" spans="29:30" ht="14.5" x14ac:dyDescent="0.35">
      <c r="AC590" s="900" t="s">
        <v>2898</v>
      </c>
      <c r="AD590" s="899" t="s">
        <v>2897</v>
      </c>
    </row>
    <row r="591" spans="29:30" ht="14.5" x14ac:dyDescent="0.35">
      <c r="AC591" s="902" t="s">
        <v>2900</v>
      </c>
      <c r="AD591" s="901" t="s">
        <v>2899</v>
      </c>
    </row>
    <row r="592" spans="29:30" ht="14.5" x14ac:dyDescent="0.35">
      <c r="AC592" s="900" t="s">
        <v>2902</v>
      </c>
      <c r="AD592" s="899" t="s">
        <v>2901</v>
      </c>
    </row>
    <row r="593" spans="29:30" ht="14.5" x14ac:dyDescent="0.35">
      <c r="AC593" s="902" t="s">
        <v>2904</v>
      </c>
      <c r="AD593" s="901" t="s">
        <v>2903</v>
      </c>
    </row>
    <row r="594" spans="29:30" ht="14.5" x14ac:dyDescent="0.35">
      <c r="AC594" s="900" t="s">
        <v>2906</v>
      </c>
      <c r="AD594" s="899" t="s">
        <v>2905</v>
      </c>
    </row>
    <row r="595" spans="29:30" ht="14.5" x14ac:dyDescent="0.35">
      <c r="AC595" s="902" t="s">
        <v>2908</v>
      </c>
      <c r="AD595" s="901" t="s">
        <v>2907</v>
      </c>
    </row>
    <row r="596" spans="29:30" ht="14.5" x14ac:dyDescent="0.35">
      <c r="AC596" s="900" t="s">
        <v>2910</v>
      </c>
      <c r="AD596" s="899" t="s">
        <v>2909</v>
      </c>
    </row>
    <row r="597" spans="29:30" ht="14.5" x14ac:dyDescent="0.35">
      <c r="AC597" s="902" t="s">
        <v>2912</v>
      </c>
      <c r="AD597" s="901" t="s">
        <v>2911</v>
      </c>
    </row>
    <row r="598" spans="29:30" ht="14.5" x14ac:dyDescent="0.35">
      <c r="AC598" s="900" t="s">
        <v>2914</v>
      </c>
      <c r="AD598" s="899" t="s">
        <v>2913</v>
      </c>
    </row>
    <row r="599" spans="29:30" ht="14.5" x14ac:dyDescent="0.35">
      <c r="AC599" s="902" t="s">
        <v>2916</v>
      </c>
      <c r="AD599" s="901" t="s">
        <v>2915</v>
      </c>
    </row>
    <row r="600" spans="29:30" ht="14.5" x14ac:dyDescent="0.35">
      <c r="AC600" s="900" t="s">
        <v>2918</v>
      </c>
      <c r="AD600" s="899" t="s">
        <v>2917</v>
      </c>
    </row>
    <row r="601" spans="29:30" ht="14.5" x14ac:dyDescent="0.35">
      <c r="AC601" s="902" t="s">
        <v>2920</v>
      </c>
      <c r="AD601" s="901" t="s">
        <v>2919</v>
      </c>
    </row>
    <row r="602" spans="29:30" ht="14.5" x14ac:dyDescent="0.35">
      <c r="AC602" s="900" t="s">
        <v>2922</v>
      </c>
      <c r="AD602" s="899" t="s">
        <v>2921</v>
      </c>
    </row>
    <row r="603" spans="29:30" ht="14.5" x14ac:dyDescent="0.35">
      <c r="AC603" s="902" t="s">
        <v>2924</v>
      </c>
      <c r="AD603" s="901" t="s">
        <v>2923</v>
      </c>
    </row>
    <row r="604" spans="29:30" ht="14.5" x14ac:dyDescent="0.35">
      <c r="AC604" s="900" t="s">
        <v>2926</v>
      </c>
      <c r="AD604" s="899" t="s">
        <v>2925</v>
      </c>
    </row>
    <row r="605" spans="29:30" ht="14.5" x14ac:dyDescent="0.35">
      <c r="AC605" s="902" t="s">
        <v>2928</v>
      </c>
      <c r="AD605" s="901" t="s">
        <v>2927</v>
      </c>
    </row>
    <row r="606" spans="29:30" ht="14.5" x14ac:dyDescent="0.35">
      <c r="AC606" s="900" t="s">
        <v>2930</v>
      </c>
      <c r="AD606" s="899" t="s">
        <v>2929</v>
      </c>
    </row>
    <row r="607" spans="29:30" ht="14.5" x14ac:dyDescent="0.35">
      <c r="AC607" s="902" t="s">
        <v>2932</v>
      </c>
      <c r="AD607" s="901" t="s">
        <v>2931</v>
      </c>
    </row>
    <row r="608" spans="29:30" ht="14.5" x14ac:dyDescent="0.35">
      <c r="AC608" s="900" t="s">
        <v>2934</v>
      </c>
      <c r="AD608" s="899" t="s">
        <v>2933</v>
      </c>
    </row>
    <row r="609" spans="29:30" ht="14.5" x14ac:dyDescent="0.35">
      <c r="AC609" s="902" t="s">
        <v>2936</v>
      </c>
      <c r="AD609" s="901" t="s">
        <v>2935</v>
      </c>
    </row>
    <row r="610" spans="29:30" ht="14.5" x14ac:dyDescent="0.35">
      <c r="AC610" s="900" t="s">
        <v>2938</v>
      </c>
      <c r="AD610" s="899" t="s">
        <v>2937</v>
      </c>
    </row>
    <row r="611" spans="29:30" ht="14.5" x14ac:dyDescent="0.35">
      <c r="AC611" s="902" t="s">
        <v>2940</v>
      </c>
      <c r="AD611" s="901" t="s">
        <v>2939</v>
      </c>
    </row>
    <row r="612" spans="29:30" ht="14.5" x14ac:dyDescent="0.35">
      <c r="AC612" s="900">
        <v>260</v>
      </c>
      <c r="AD612" s="899" t="s">
        <v>2941</v>
      </c>
    </row>
    <row r="613" spans="29:30" ht="14.5" x14ac:dyDescent="0.35">
      <c r="AC613" s="902" t="s">
        <v>2943</v>
      </c>
      <c r="AD613" s="901" t="s">
        <v>2942</v>
      </c>
    </row>
    <row r="614" spans="29:30" ht="14.5" x14ac:dyDescent="0.35">
      <c r="AC614" s="900" t="s">
        <v>2945</v>
      </c>
      <c r="AD614" s="899" t="s">
        <v>2944</v>
      </c>
    </row>
    <row r="615" spans="29:30" ht="14.5" x14ac:dyDescent="0.35">
      <c r="AC615" s="902" t="s">
        <v>2947</v>
      </c>
      <c r="AD615" s="901" t="s">
        <v>2946</v>
      </c>
    </row>
    <row r="616" spans="29:30" ht="14.5" x14ac:dyDescent="0.35">
      <c r="AC616" s="900" t="s">
        <v>2949</v>
      </c>
      <c r="AD616" s="899" t="s">
        <v>2948</v>
      </c>
    </row>
    <row r="617" spans="29:30" ht="14.5" x14ac:dyDescent="0.35">
      <c r="AC617" s="902" t="s">
        <v>2951</v>
      </c>
      <c r="AD617" s="901" t="s">
        <v>2950</v>
      </c>
    </row>
    <row r="618" spans="29:30" ht="14.5" x14ac:dyDescent="0.35">
      <c r="AC618" s="900" t="s">
        <v>2953</v>
      </c>
      <c r="AD618" s="899" t="s">
        <v>2952</v>
      </c>
    </row>
    <row r="619" spans="29:30" ht="14.5" x14ac:dyDescent="0.35">
      <c r="AC619" s="902" t="s">
        <v>2955</v>
      </c>
      <c r="AD619" s="901" t="s">
        <v>2954</v>
      </c>
    </row>
    <row r="620" spans="29:30" ht="14.5" x14ac:dyDescent="0.35">
      <c r="AC620" s="900" t="s">
        <v>2957</v>
      </c>
      <c r="AD620" s="899" t="s">
        <v>2956</v>
      </c>
    </row>
    <row r="621" spans="29:30" ht="14.5" x14ac:dyDescent="0.35">
      <c r="AC621" s="902" t="s">
        <v>2959</v>
      </c>
      <c r="AD621" s="901" t="s">
        <v>2958</v>
      </c>
    </row>
    <row r="622" spans="29:30" ht="14.5" x14ac:dyDescent="0.35">
      <c r="AC622" s="900" t="s">
        <v>2961</v>
      </c>
      <c r="AD622" s="899" t="s">
        <v>2960</v>
      </c>
    </row>
    <row r="623" spans="29:30" ht="14.5" x14ac:dyDescent="0.35">
      <c r="AC623" s="902" t="s">
        <v>2963</v>
      </c>
      <c r="AD623" s="901" t="s">
        <v>2962</v>
      </c>
    </row>
    <row r="624" spans="29:30" ht="14.5" x14ac:dyDescent="0.35">
      <c r="AC624" s="900" t="s">
        <v>2965</v>
      </c>
      <c r="AD624" s="899" t="s">
        <v>2964</v>
      </c>
    </row>
    <row r="625" spans="29:30" ht="14.5" x14ac:dyDescent="0.35">
      <c r="AC625" s="902" t="s">
        <v>2967</v>
      </c>
      <c r="AD625" s="901" t="s">
        <v>2966</v>
      </c>
    </row>
    <row r="626" spans="29:30" ht="14.5" x14ac:dyDescent="0.35">
      <c r="AC626" s="900" t="s">
        <v>2969</v>
      </c>
      <c r="AD626" s="899" t="s">
        <v>2968</v>
      </c>
    </row>
    <row r="627" spans="29:30" ht="14.5" x14ac:dyDescent="0.35">
      <c r="AC627" s="902" t="s">
        <v>2971</v>
      </c>
      <c r="AD627" s="901" t="s">
        <v>2970</v>
      </c>
    </row>
    <row r="628" spans="29:30" ht="14.5" x14ac:dyDescent="0.35">
      <c r="AC628" s="900" t="s">
        <v>2973</v>
      </c>
      <c r="AD628" s="899" t="s">
        <v>2972</v>
      </c>
    </row>
    <row r="629" spans="29:30" ht="14.5" x14ac:dyDescent="0.35">
      <c r="AC629" s="902" t="s">
        <v>2975</v>
      </c>
      <c r="AD629" s="901" t="s">
        <v>2974</v>
      </c>
    </row>
    <row r="630" spans="29:30" ht="14.5" x14ac:dyDescent="0.35">
      <c r="AC630" s="900" t="s">
        <v>2977</v>
      </c>
      <c r="AD630" s="899" t="s">
        <v>2976</v>
      </c>
    </row>
    <row r="631" spans="29:30" ht="14.5" x14ac:dyDescent="0.35">
      <c r="AC631" s="902" t="s">
        <v>2979</v>
      </c>
      <c r="AD631" s="901" t="s">
        <v>2978</v>
      </c>
    </row>
    <row r="632" spans="29:30" ht="14.5" x14ac:dyDescent="0.35">
      <c r="AC632" s="900" t="s">
        <v>2981</v>
      </c>
      <c r="AD632" s="899" t="s">
        <v>2980</v>
      </c>
    </row>
    <row r="633" spans="29:30" ht="14.5" x14ac:dyDescent="0.35">
      <c r="AC633" s="902" t="s">
        <v>2983</v>
      </c>
      <c r="AD633" s="901" t="s">
        <v>2982</v>
      </c>
    </row>
    <row r="634" spans="29:30" ht="14.5" x14ac:dyDescent="0.35">
      <c r="AC634" s="900" t="s">
        <v>2985</v>
      </c>
      <c r="AD634" s="899" t="s">
        <v>2984</v>
      </c>
    </row>
    <row r="635" spans="29:30" ht="14.5" x14ac:dyDescent="0.35">
      <c r="AC635" s="902" t="s">
        <v>2987</v>
      </c>
      <c r="AD635" s="901" t="s">
        <v>2986</v>
      </c>
    </row>
    <row r="636" spans="29:30" ht="14.5" x14ac:dyDescent="0.35">
      <c r="AC636" s="900" t="s">
        <v>2989</v>
      </c>
      <c r="AD636" s="899" t="s">
        <v>2988</v>
      </c>
    </row>
    <row r="637" spans="29:30" ht="14.5" x14ac:dyDescent="0.35">
      <c r="AC637" s="902" t="s">
        <v>2991</v>
      </c>
      <c r="AD637" s="901" t="s">
        <v>2990</v>
      </c>
    </row>
    <row r="638" spans="29:30" ht="14.5" x14ac:dyDescent="0.35">
      <c r="AC638" s="900" t="s">
        <v>2993</v>
      </c>
      <c r="AD638" s="899" t="s">
        <v>2992</v>
      </c>
    </row>
    <row r="639" spans="29:30" ht="14.5" x14ac:dyDescent="0.35">
      <c r="AC639" s="902" t="s">
        <v>2995</v>
      </c>
      <c r="AD639" s="901" t="s">
        <v>2994</v>
      </c>
    </row>
    <row r="640" spans="29:30" ht="14.5" x14ac:dyDescent="0.35">
      <c r="AC640" s="900" t="s">
        <v>2997</v>
      </c>
      <c r="AD640" s="899" t="s">
        <v>2996</v>
      </c>
    </row>
    <row r="641" spans="29:30" ht="14.5" x14ac:dyDescent="0.35">
      <c r="AC641" s="902" t="s">
        <v>2999</v>
      </c>
      <c r="AD641" s="901" t="s">
        <v>2998</v>
      </c>
    </row>
    <row r="642" spans="29:30" ht="14.5" x14ac:dyDescent="0.35">
      <c r="AC642" s="900" t="s">
        <v>3001</v>
      </c>
      <c r="AD642" s="899" t="s">
        <v>3000</v>
      </c>
    </row>
    <row r="643" spans="29:30" ht="14.5" x14ac:dyDescent="0.35">
      <c r="AC643" s="902" t="s">
        <v>3003</v>
      </c>
      <c r="AD643" s="901" t="s">
        <v>3002</v>
      </c>
    </row>
    <row r="644" spans="29:30" ht="14.5" x14ac:dyDescent="0.35">
      <c r="AC644" s="900" t="s">
        <v>3005</v>
      </c>
      <c r="AD644" s="899" t="s">
        <v>3004</v>
      </c>
    </row>
    <row r="645" spans="29:30" ht="14.5" x14ac:dyDescent="0.35">
      <c r="AC645" s="902" t="s">
        <v>3007</v>
      </c>
      <c r="AD645" s="901" t="s">
        <v>3006</v>
      </c>
    </row>
    <row r="646" spans="29:30" ht="14.5" x14ac:dyDescent="0.35">
      <c r="AC646" s="900" t="s">
        <v>3009</v>
      </c>
      <c r="AD646" s="899" t="s">
        <v>3008</v>
      </c>
    </row>
    <row r="647" spans="29:30" ht="14.5" x14ac:dyDescent="0.35">
      <c r="AC647" s="902" t="s">
        <v>3011</v>
      </c>
      <c r="AD647" s="901" t="s">
        <v>3010</v>
      </c>
    </row>
    <row r="648" spans="29:30" ht="14.5" x14ac:dyDescent="0.35">
      <c r="AC648" s="900" t="s">
        <v>3013</v>
      </c>
      <c r="AD648" s="899" t="s">
        <v>3012</v>
      </c>
    </row>
    <row r="649" spans="29:30" ht="14.5" x14ac:dyDescent="0.35">
      <c r="AC649" s="902" t="s">
        <v>3015</v>
      </c>
      <c r="AD649" s="901" t="s">
        <v>3014</v>
      </c>
    </row>
    <row r="650" spans="29:30" ht="14.5" x14ac:dyDescent="0.35">
      <c r="AC650" s="900" t="s">
        <v>3017</v>
      </c>
      <c r="AD650" s="899" t="s">
        <v>3016</v>
      </c>
    </row>
    <row r="651" spans="29:30" ht="14.5" x14ac:dyDescent="0.35">
      <c r="AC651" s="902" t="s">
        <v>3019</v>
      </c>
      <c r="AD651" s="901" t="s">
        <v>3018</v>
      </c>
    </row>
    <row r="652" spans="29:30" ht="14.5" x14ac:dyDescent="0.35">
      <c r="AC652" s="900" t="s">
        <v>3021</v>
      </c>
      <c r="AD652" s="899" t="s">
        <v>3020</v>
      </c>
    </row>
    <row r="653" spans="29:30" ht="14.5" x14ac:dyDescent="0.35">
      <c r="AC653" s="902" t="s">
        <v>3023</v>
      </c>
      <c r="AD653" s="901" t="s">
        <v>3022</v>
      </c>
    </row>
    <row r="654" spans="29:30" ht="14.5" x14ac:dyDescent="0.35">
      <c r="AC654" s="900" t="s">
        <v>3025</v>
      </c>
      <c r="AD654" s="899" t="s">
        <v>3024</v>
      </c>
    </row>
    <row r="655" spans="29:30" ht="14.5" x14ac:dyDescent="0.35">
      <c r="AC655" s="902" t="s">
        <v>3027</v>
      </c>
      <c r="AD655" s="901" t="s">
        <v>3026</v>
      </c>
    </row>
    <row r="656" spans="29:30" ht="14.5" x14ac:dyDescent="0.35">
      <c r="AC656" s="900" t="s">
        <v>3029</v>
      </c>
      <c r="AD656" s="899" t="s">
        <v>3028</v>
      </c>
    </row>
    <row r="657" spans="29:30" ht="14.5" x14ac:dyDescent="0.35">
      <c r="AC657" s="902" t="s">
        <v>3031</v>
      </c>
      <c r="AD657" s="901" t="s">
        <v>3030</v>
      </c>
    </row>
    <row r="658" spans="29:30" ht="14.5" x14ac:dyDescent="0.35">
      <c r="AC658" s="900" t="s">
        <v>3033</v>
      </c>
      <c r="AD658" s="899" t="s">
        <v>3032</v>
      </c>
    </row>
    <row r="659" spans="29:30" ht="14.5" x14ac:dyDescent="0.35">
      <c r="AC659" s="902" t="s">
        <v>3035</v>
      </c>
      <c r="AD659" s="901" t="s">
        <v>3034</v>
      </c>
    </row>
    <row r="660" spans="29:30" ht="14.5" x14ac:dyDescent="0.35">
      <c r="AC660" s="900" t="s">
        <v>3037</v>
      </c>
      <c r="AD660" s="899" t="s">
        <v>3036</v>
      </c>
    </row>
    <row r="661" spans="29:30" ht="14.5" x14ac:dyDescent="0.35">
      <c r="AC661" s="902" t="s">
        <v>3039</v>
      </c>
      <c r="AD661" s="901" t="s">
        <v>3038</v>
      </c>
    </row>
    <row r="662" spans="29:30" ht="14.5" x14ac:dyDescent="0.35">
      <c r="AC662" s="900" t="s">
        <v>3041</v>
      </c>
      <c r="AD662" s="899" t="s">
        <v>3040</v>
      </c>
    </row>
    <row r="663" spans="29:30" ht="14.5" x14ac:dyDescent="0.35">
      <c r="AC663" s="902" t="s">
        <v>3043</v>
      </c>
      <c r="AD663" s="901" t="s">
        <v>3042</v>
      </c>
    </row>
    <row r="664" spans="29:30" ht="14.5" x14ac:dyDescent="0.35">
      <c r="AC664" s="900" t="s">
        <v>3045</v>
      </c>
      <c r="AD664" s="899" t="s">
        <v>3044</v>
      </c>
    </row>
    <row r="665" spans="29:30" ht="14.5" x14ac:dyDescent="0.35">
      <c r="AC665" s="902" t="s">
        <v>3047</v>
      </c>
      <c r="AD665" s="901" t="s">
        <v>3046</v>
      </c>
    </row>
    <row r="666" spans="29:30" ht="14.5" x14ac:dyDescent="0.35">
      <c r="AC666" s="900" t="s">
        <v>3049</v>
      </c>
      <c r="AD666" s="899" t="s">
        <v>3048</v>
      </c>
    </row>
    <row r="667" spans="29:30" ht="14.5" x14ac:dyDescent="0.35">
      <c r="AC667" s="902" t="s">
        <v>3051</v>
      </c>
      <c r="AD667" s="901" t="s">
        <v>3050</v>
      </c>
    </row>
    <row r="668" spans="29:30" ht="14.5" x14ac:dyDescent="0.35">
      <c r="AC668" s="900" t="s">
        <v>3053</v>
      </c>
      <c r="AD668" s="899" t="s">
        <v>3052</v>
      </c>
    </row>
    <row r="669" spans="29:30" ht="14.5" x14ac:dyDescent="0.35">
      <c r="AC669" s="902" t="s">
        <v>3055</v>
      </c>
      <c r="AD669" s="901" t="s">
        <v>3054</v>
      </c>
    </row>
    <row r="670" spans="29:30" ht="14.5" x14ac:dyDescent="0.35">
      <c r="AC670" s="900" t="s">
        <v>3057</v>
      </c>
      <c r="AD670" s="899" t="s">
        <v>3056</v>
      </c>
    </row>
    <row r="671" spans="29:30" ht="14.5" x14ac:dyDescent="0.35">
      <c r="AC671" s="902" t="s">
        <v>3059</v>
      </c>
      <c r="AD671" s="901" t="s">
        <v>3058</v>
      </c>
    </row>
    <row r="672" spans="29:30" ht="14.5" x14ac:dyDescent="0.35">
      <c r="AC672" s="900" t="s">
        <v>3061</v>
      </c>
      <c r="AD672" s="899" t="s">
        <v>3060</v>
      </c>
    </row>
    <row r="673" spans="29:30" ht="14.5" x14ac:dyDescent="0.35">
      <c r="AC673" s="902" t="s">
        <v>3063</v>
      </c>
      <c r="AD673" s="901" t="s">
        <v>3062</v>
      </c>
    </row>
    <row r="674" spans="29:30" ht="14.5" x14ac:dyDescent="0.35">
      <c r="AC674" s="900" t="s">
        <v>3065</v>
      </c>
      <c r="AD674" s="899" t="s">
        <v>3064</v>
      </c>
    </row>
    <row r="675" spans="29:30" ht="14.5" x14ac:dyDescent="0.35">
      <c r="AC675" s="902" t="s">
        <v>3067</v>
      </c>
      <c r="AD675" s="901" t="s">
        <v>3066</v>
      </c>
    </row>
    <row r="676" spans="29:30" ht="14.5" x14ac:dyDescent="0.35">
      <c r="AC676" s="900" t="s">
        <v>3069</v>
      </c>
      <c r="AD676" s="899" t="s">
        <v>3068</v>
      </c>
    </row>
    <row r="677" spans="29:30" ht="14.5" x14ac:dyDescent="0.35">
      <c r="AC677" s="902" t="s">
        <v>3071</v>
      </c>
      <c r="AD677" s="901" t="s">
        <v>3070</v>
      </c>
    </row>
    <row r="678" spans="29:30" ht="14.5" x14ac:dyDescent="0.35">
      <c r="AC678" s="900" t="s">
        <v>3073</v>
      </c>
      <c r="AD678" s="899" t="s">
        <v>3072</v>
      </c>
    </row>
    <row r="679" spans="29:30" ht="14.5" x14ac:dyDescent="0.35">
      <c r="AC679" s="902" t="s">
        <v>3075</v>
      </c>
      <c r="AD679" s="901" t="s">
        <v>3074</v>
      </c>
    </row>
    <row r="680" spans="29:30" ht="14.5" x14ac:dyDescent="0.35">
      <c r="AC680" s="900" t="s">
        <v>3077</v>
      </c>
      <c r="AD680" s="899" t="s">
        <v>3076</v>
      </c>
    </row>
    <row r="681" spans="29:30" ht="14.5" x14ac:dyDescent="0.35">
      <c r="AC681" s="902" t="s">
        <v>3079</v>
      </c>
      <c r="AD681" s="901" t="s">
        <v>3078</v>
      </c>
    </row>
    <row r="682" spans="29:30" ht="14.5" x14ac:dyDescent="0.35">
      <c r="AC682" s="900" t="s">
        <v>3081</v>
      </c>
      <c r="AD682" s="899" t="s">
        <v>3080</v>
      </c>
    </row>
    <row r="683" spans="29:30" ht="14.5" x14ac:dyDescent="0.35">
      <c r="AC683" s="902" t="s">
        <v>3083</v>
      </c>
      <c r="AD683" s="901" t="s">
        <v>3082</v>
      </c>
    </row>
    <row r="684" spans="29:30" ht="14.5" x14ac:dyDescent="0.35">
      <c r="AC684" s="900" t="s">
        <v>3085</v>
      </c>
      <c r="AD684" s="899" t="s">
        <v>3084</v>
      </c>
    </row>
    <row r="685" spans="29:30" ht="14.5" x14ac:dyDescent="0.35">
      <c r="AC685" s="902" t="s">
        <v>3087</v>
      </c>
      <c r="AD685" s="901" t="s">
        <v>3086</v>
      </c>
    </row>
    <row r="686" spans="29:30" ht="14.5" x14ac:dyDescent="0.35">
      <c r="AC686" s="900" t="s">
        <v>3089</v>
      </c>
      <c r="AD686" s="899" t="s">
        <v>3088</v>
      </c>
    </row>
    <row r="687" spans="29:30" ht="14.5" x14ac:dyDescent="0.35">
      <c r="AC687" s="902" t="s">
        <v>3091</v>
      </c>
      <c r="AD687" s="901" t="s">
        <v>3090</v>
      </c>
    </row>
    <row r="688" spans="29:30" ht="14.5" x14ac:dyDescent="0.35">
      <c r="AC688" s="900" t="s">
        <v>3093</v>
      </c>
      <c r="AD688" s="899" t="s">
        <v>3092</v>
      </c>
    </row>
    <row r="689" spans="29:30" ht="14.5" x14ac:dyDescent="0.35">
      <c r="AC689" s="902" t="s">
        <v>3095</v>
      </c>
      <c r="AD689" s="901" t="s">
        <v>3094</v>
      </c>
    </row>
    <row r="690" spans="29:30" ht="14.5" x14ac:dyDescent="0.35">
      <c r="AC690" s="900" t="s">
        <v>3097</v>
      </c>
      <c r="AD690" s="899" t="s">
        <v>3096</v>
      </c>
    </row>
    <row r="691" spans="29:30" ht="14.5" x14ac:dyDescent="0.35">
      <c r="AC691" s="902" t="s">
        <v>3099</v>
      </c>
      <c r="AD691" s="901" t="s">
        <v>3098</v>
      </c>
    </row>
    <row r="692" spans="29:30" ht="14.5" x14ac:dyDescent="0.35">
      <c r="AC692" s="900" t="s">
        <v>3101</v>
      </c>
      <c r="AD692" s="899" t="s">
        <v>3100</v>
      </c>
    </row>
    <row r="693" spans="29:30" ht="14.5" x14ac:dyDescent="0.35">
      <c r="AC693" s="902" t="s">
        <v>3103</v>
      </c>
      <c r="AD693" s="901" t="s">
        <v>3102</v>
      </c>
    </row>
    <row r="694" spans="29:30" ht="14.5" x14ac:dyDescent="0.35">
      <c r="AC694" s="900" t="s">
        <v>3105</v>
      </c>
      <c r="AD694" s="899" t="s">
        <v>3104</v>
      </c>
    </row>
    <row r="695" spans="29:30" ht="14.5" x14ac:dyDescent="0.35">
      <c r="AC695" s="902" t="s">
        <v>3107</v>
      </c>
      <c r="AD695" s="901" t="s">
        <v>3106</v>
      </c>
    </row>
    <row r="696" spans="29:30" ht="14.5" x14ac:dyDescent="0.35">
      <c r="AC696" s="900" t="s">
        <v>3109</v>
      </c>
      <c r="AD696" s="899" t="s">
        <v>3108</v>
      </c>
    </row>
    <row r="697" spans="29:30" ht="14.5" x14ac:dyDescent="0.35">
      <c r="AC697" s="902" t="s">
        <v>3111</v>
      </c>
      <c r="AD697" s="901" t="s">
        <v>3110</v>
      </c>
    </row>
    <row r="698" spans="29:30" ht="14.5" x14ac:dyDescent="0.35">
      <c r="AC698" s="900" t="s">
        <v>3113</v>
      </c>
      <c r="AD698" s="899" t="s">
        <v>3112</v>
      </c>
    </row>
    <row r="699" spans="29:30" ht="14.5" x14ac:dyDescent="0.35">
      <c r="AC699" s="902" t="s">
        <v>3115</v>
      </c>
      <c r="AD699" s="901" t="s">
        <v>3114</v>
      </c>
    </row>
    <row r="700" spans="29:30" ht="14.5" x14ac:dyDescent="0.35">
      <c r="AC700" s="900" t="s">
        <v>3117</v>
      </c>
      <c r="AD700" s="899" t="s">
        <v>3116</v>
      </c>
    </row>
    <row r="701" spans="29:30" ht="14.5" x14ac:dyDescent="0.35">
      <c r="AC701" s="902" t="s">
        <v>3119</v>
      </c>
      <c r="AD701" s="901" t="s">
        <v>3118</v>
      </c>
    </row>
    <row r="702" spans="29:30" ht="14.5" x14ac:dyDescent="0.35">
      <c r="AC702" s="900" t="s">
        <v>3121</v>
      </c>
      <c r="AD702" s="899" t="s">
        <v>3120</v>
      </c>
    </row>
    <row r="703" spans="29:30" ht="14.5" x14ac:dyDescent="0.35">
      <c r="AC703" s="902" t="s">
        <v>3123</v>
      </c>
      <c r="AD703" s="901" t="s">
        <v>3122</v>
      </c>
    </row>
    <row r="704" spans="29:30" ht="14.5" x14ac:dyDescent="0.35">
      <c r="AC704" s="900" t="s">
        <v>3125</v>
      </c>
      <c r="AD704" s="899" t="s">
        <v>3124</v>
      </c>
    </row>
    <row r="705" spans="29:30" ht="14.5" x14ac:dyDescent="0.35">
      <c r="AC705" s="902" t="s">
        <v>3127</v>
      </c>
      <c r="AD705" s="901" t="s">
        <v>3126</v>
      </c>
    </row>
    <row r="706" spans="29:30" ht="14.5" x14ac:dyDescent="0.35">
      <c r="AC706" s="900" t="s">
        <v>3129</v>
      </c>
      <c r="AD706" s="899" t="s">
        <v>3128</v>
      </c>
    </row>
    <row r="707" spans="29:30" ht="14.5" x14ac:dyDescent="0.35">
      <c r="AC707" s="902" t="s">
        <v>3131</v>
      </c>
      <c r="AD707" s="901" t="s">
        <v>3130</v>
      </c>
    </row>
    <row r="708" spans="29:30" ht="14.5" x14ac:dyDescent="0.35">
      <c r="AC708" s="900" t="s">
        <v>3133</v>
      </c>
      <c r="AD708" s="899" t="s">
        <v>3132</v>
      </c>
    </row>
    <row r="709" spans="29:30" ht="14.5" x14ac:dyDescent="0.35">
      <c r="AC709" s="902" t="s">
        <v>3135</v>
      </c>
      <c r="AD709" s="901" t="s">
        <v>3134</v>
      </c>
    </row>
    <row r="710" spans="29:30" ht="14.5" x14ac:dyDescent="0.35">
      <c r="AC710" s="900" t="s">
        <v>3137</v>
      </c>
      <c r="AD710" s="899" t="s">
        <v>3136</v>
      </c>
    </row>
    <row r="711" spans="29:30" ht="14.5" x14ac:dyDescent="0.35">
      <c r="AC711" s="902" t="s">
        <v>3139</v>
      </c>
      <c r="AD711" s="901" t="s">
        <v>3138</v>
      </c>
    </row>
    <row r="712" spans="29:30" ht="14.5" x14ac:dyDescent="0.35">
      <c r="AC712" s="900" t="s">
        <v>3141</v>
      </c>
      <c r="AD712" s="899" t="s">
        <v>3140</v>
      </c>
    </row>
    <row r="713" spans="29:30" ht="14.5" x14ac:dyDescent="0.35">
      <c r="AC713" s="902" t="s">
        <v>3143</v>
      </c>
      <c r="AD713" s="901" t="s">
        <v>3142</v>
      </c>
    </row>
    <row r="714" spans="29:30" ht="14.5" x14ac:dyDescent="0.35">
      <c r="AC714" s="900" t="s">
        <v>3145</v>
      </c>
      <c r="AD714" s="899" t="s">
        <v>3144</v>
      </c>
    </row>
    <row r="715" spans="29:30" ht="14.5" x14ac:dyDescent="0.35">
      <c r="AC715" s="902" t="s">
        <v>3147</v>
      </c>
      <c r="AD715" s="901" t="s">
        <v>3146</v>
      </c>
    </row>
    <row r="716" spans="29:30" ht="14.5" x14ac:dyDescent="0.35">
      <c r="AC716" s="900" t="s">
        <v>3149</v>
      </c>
      <c r="AD716" s="899" t="s">
        <v>3148</v>
      </c>
    </row>
    <row r="717" spans="29:30" ht="14.5" x14ac:dyDescent="0.35">
      <c r="AC717" s="902" t="s">
        <v>3151</v>
      </c>
      <c r="AD717" s="901" t="s">
        <v>3150</v>
      </c>
    </row>
    <row r="718" spans="29:30" ht="14.5" x14ac:dyDescent="0.35">
      <c r="AC718" s="900" t="s">
        <v>3153</v>
      </c>
      <c r="AD718" s="899" t="s">
        <v>3152</v>
      </c>
    </row>
    <row r="719" spans="29:30" ht="14.5" x14ac:dyDescent="0.35">
      <c r="AC719" s="902" t="s">
        <v>3155</v>
      </c>
      <c r="AD719" s="901" t="s">
        <v>3154</v>
      </c>
    </row>
    <row r="720" spans="29:30" ht="14.5" x14ac:dyDescent="0.35">
      <c r="AC720" s="900" t="s">
        <v>3157</v>
      </c>
      <c r="AD720" s="899" t="s">
        <v>3156</v>
      </c>
    </row>
    <row r="721" spans="29:30" ht="14.5" x14ac:dyDescent="0.35">
      <c r="AC721" s="902" t="s">
        <v>3159</v>
      </c>
      <c r="AD721" s="901" t="s">
        <v>3158</v>
      </c>
    </row>
    <row r="722" spans="29:30" ht="14.5" x14ac:dyDescent="0.35">
      <c r="AC722" s="900" t="s">
        <v>3161</v>
      </c>
      <c r="AD722" s="899" t="s">
        <v>3160</v>
      </c>
    </row>
    <row r="723" spans="29:30" ht="14.5" x14ac:dyDescent="0.35">
      <c r="AC723" s="902" t="s">
        <v>3163</v>
      </c>
      <c r="AD723" s="901" t="s">
        <v>3162</v>
      </c>
    </row>
    <row r="724" spans="29:30" ht="14.5" x14ac:dyDescent="0.35">
      <c r="AC724" s="900" t="s">
        <v>3165</v>
      </c>
      <c r="AD724" s="899" t="s">
        <v>3164</v>
      </c>
    </row>
    <row r="725" spans="29:30" ht="14.5" x14ac:dyDescent="0.35">
      <c r="AC725" s="902" t="s">
        <v>3167</v>
      </c>
      <c r="AD725" s="901" t="s">
        <v>3166</v>
      </c>
    </row>
    <row r="726" spans="29:30" ht="14.5" x14ac:dyDescent="0.35">
      <c r="AC726" s="900" t="s">
        <v>3169</v>
      </c>
      <c r="AD726" s="899" t="s">
        <v>3168</v>
      </c>
    </row>
    <row r="727" spans="29:30" ht="14.5" x14ac:dyDescent="0.35">
      <c r="AC727" s="902" t="s">
        <v>3171</v>
      </c>
      <c r="AD727" s="901" t="s">
        <v>3170</v>
      </c>
    </row>
    <row r="728" spans="29:30" ht="14.5" x14ac:dyDescent="0.35">
      <c r="AC728" s="900" t="s">
        <v>3173</v>
      </c>
      <c r="AD728" s="899" t="s">
        <v>3172</v>
      </c>
    </row>
    <row r="729" spans="29:30" ht="14.5" x14ac:dyDescent="0.35">
      <c r="AC729" s="902" t="s">
        <v>3175</v>
      </c>
      <c r="AD729" s="901" t="s">
        <v>3174</v>
      </c>
    </row>
    <row r="730" spans="29:30" ht="14.5" x14ac:dyDescent="0.35">
      <c r="AC730" s="900" t="s">
        <v>3177</v>
      </c>
      <c r="AD730" s="899" t="s">
        <v>3176</v>
      </c>
    </row>
    <row r="731" spans="29:30" ht="14.5" x14ac:dyDescent="0.35">
      <c r="AC731" s="902" t="s">
        <v>3179</v>
      </c>
      <c r="AD731" s="901" t="s">
        <v>3178</v>
      </c>
    </row>
    <row r="732" spans="29:30" ht="14.5" x14ac:dyDescent="0.35">
      <c r="AC732" s="900" t="s">
        <v>3181</v>
      </c>
      <c r="AD732" s="899" t="s">
        <v>3180</v>
      </c>
    </row>
    <row r="733" spans="29:30" ht="14.5" x14ac:dyDescent="0.35">
      <c r="AC733" s="902" t="s">
        <v>3183</v>
      </c>
      <c r="AD733" s="901" t="s">
        <v>3182</v>
      </c>
    </row>
    <row r="734" spans="29:30" ht="14.5" x14ac:dyDescent="0.35">
      <c r="AC734" s="900" t="s">
        <v>3185</v>
      </c>
      <c r="AD734" s="899" t="s">
        <v>3184</v>
      </c>
    </row>
    <row r="735" spans="29:30" ht="14.5" x14ac:dyDescent="0.35">
      <c r="AC735" s="902" t="s">
        <v>3187</v>
      </c>
      <c r="AD735" s="901" t="s">
        <v>3186</v>
      </c>
    </row>
    <row r="736" spans="29:30" ht="14.5" x14ac:dyDescent="0.35">
      <c r="AC736" s="900" t="s">
        <v>3189</v>
      </c>
      <c r="AD736" s="899" t="s">
        <v>3188</v>
      </c>
    </row>
    <row r="737" spans="29:30" ht="14.5" x14ac:dyDescent="0.35">
      <c r="AC737" s="902" t="s">
        <v>3191</v>
      </c>
      <c r="AD737" s="901" t="s">
        <v>3190</v>
      </c>
    </row>
    <row r="738" spans="29:30" ht="14.5" x14ac:dyDescent="0.35">
      <c r="AC738" s="900" t="s">
        <v>3193</v>
      </c>
      <c r="AD738" s="899" t="s">
        <v>3192</v>
      </c>
    </row>
    <row r="739" spans="29:30" ht="14.5" x14ac:dyDescent="0.35">
      <c r="AC739" s="902" t="s">
        <v>3195</v>
      </c>
      <c r="AD739" s="901" t="s">
        <v>3194</v>
      </c>
    </row>
    <row r="740" spans="29:30" ht="14.5" x14ac:dyDescent="0.35">
      <c r="AC740" s="900" t="s">
        <v>3197</v>
      </c>
      <c r="AD740" s="899" t="s">
        <v>3196</v>
      </c>
    </row>
    <row r="741" spans="29:30" ht="14.5" x14ac:dyDescent="0.35">
      <c r="AC741" s="902" t="s">
        <v>3199</v>
      </c>
      <c r="AD741" s="901" t="s">
        <v>3198</v>
      </c>
    </row>
    <row r="742" spans="29:30" ht="14.5" x14ac:dyDescent="0.35">
      <c r="AC742" s="900" t="s">
        <v>3201</v>
      </c>
      <c r="AD742" s="899" t="s">
        <v>3200</v>
      </c>
    </row>
    <row r="743" spans="29:30" ht="14.5" x14ac:dyDescent="0.35">
      <c r="AC743" s="902" t="s">
        <v>3203</v>
      </c>
      <c r="AD743" s="901" t="s">
        <v>3202</v>
      </c>
    </row>
    <row r="744" spans="29:30" ht="14.5" x14ac:dyDescent="0.35">
      <c r="AC744" s="900" t="s">
        <v>3205</v>
      </c>
      <c r="AD744" s="899" t="s">
        <v>3204</v>
      </c>
    </row>
    <row r="745" spans="29:30" ht="14.5" x14ac:dyDescent="0.35">
      <c r="AC745" s="902" t="s">
        <v>3207</v>
      </c>
      <c r="AD745" s="901" t="s">
        <v>3206</v>
      </c>
    </row>
    <row r="746" spans="29:30" ht="14.5" x14ac:dyDescent="0.35">
      <c r="AC746" s="900" t="s">
        <v>3209</v>
      </c>
      <c r="AD746" s="899" t="s">
        <v>3208</v>
      </c>
    </row>
    <row r="747" spans="29:30" ht="14.5" x14ac:dyDescent="0.35">
      <c r="AC747" s="902" t="s">
        <v>3211</v>
      </c>
      <c r="AD747" s="901" t="s">
        <v>3210</v>
      </c>
    </row>
    <row r="748" spans="29:30" ht="14.5" x14ac:dyDescent="0.35">
      <c r="AC748" s="900" t="s">
        <v>3213</v>
      </c>
      <c r="AD748" s="899" t="s">
        <v>3212</v>
      </c>
    </row>
    <row r="749" spans="29:30" ht="14.5" x14ac:dyDescent="0.35">
      <c r="AC749" s="902" t="s">
        <v>3215</v>
      </c>
      <c r="AD749" s="901" t="s">
        <v>3214</v>
      </c>
    </row>
    <row r="750" spans="29:30" ht="14.5" x14ac:dyDescent="0.35">
      <c r="AC750" s="900" t="s">
        <v>3217</v>
      </c>
      <c r="AD750" s="899" t="s">
        <v>3216</v>
      </c>
    </row>
    <row r="751" spans="29:30" ht="14.5" x14ac:dyDescent="0.35">
      <c r="AC751" s="902" t="s">
        <v>3219</v>
      </c>
      <c r="AD751" s="901" t="s">
        <v>3218</v>
      </c>
    </row>
    <row r="752" spans="29:30" ht="14.5" x14ac:dyDescent="0.35">
      <c r="AC752" s="900" t="s">
        <v>3221</v>
      </c>
      <c r="AD752" s="899" t="s">
        <v>3220</v>
      </c>
    </row>
    <row r="753" spans="29:30" ht="14.5" x14ac:dyDescent="0.35">
      <c r="AC753" s="902" t="s">
        <v>3223</v>
      </c>
      <c r="AD753" s="901" t="s">
        <v>3222</v>
      </c>
    </row>
    <row r="754" spans="29:30" ht="14.5" x14ac:dyDescent="0.35">
      <c r="AC754" s="900" t="s">
        <v>3225</v>
      </c>
      <c r="AD754" s="899" t="s">
        <v>3224</v>
      </c>
    </row>
    <row r="755" spans="29:30" ht="14.5" x14ac:dyDescent="0.35">
      <c r="AC755" s="902" t="s">
        <v>3227</v>
      </c>
      <c r="AD755" s="901" t="s">
        <v>3226</v>
      </c>
    </row>
    <row r="756" spans="29:30" ht="14.5" x14ac:dyDescent="0.35">
      <c r="AC756" s="900" t="s">
        <v>3229</v>
      </c>
      <c r="AD756" s="899" t="s">
        <v>3228</v>
      </c>
    </row>
    <row r="757" spans="29:30" ht="14.5" x14ac:dyDescent="0.35">
      <c r="AC757" s="902" t="s">
        <v>3231</v>
      </c>
      <c r="AD757" s="901" t="s">
        <v>3230</v>
      </c>
    </row>
    <row r="758" spans="29:30" ht="14.5" x14ac:dyDescent="0.35">
      <c r="AC758" s="900" t="s">
        <v>3233</v>
      </c>
      <c r="AD758" s="899" t="s">
        <v>3232</v>
      </c>
    </row>
    <row r="759" spans="29:30" ht="14.5" x14ac:dyDescent="0.35">
      <c r="AC759" s="902" t="s">
        <v>3235</v>
      </c>
      <c r="AD759" s="901" t="s">
        <v>3234</v>
      </c>
    </row>
    <row r="760" spans="29:30" ht="14.5" x14ac:dyDescent="0.35">
      <c r="AC760" s="900" t="s">
        <v>3237</v>
      </c>
      <c r="AD760" s="899" t="s">
        <v>3236</v>
      </c>
    </row>
    <row r="761" spans="29:30" ht="14.5" x14ac:dyDescent="0.35">
      <c r="AC761" s="902" t="s">
        <v>3239</v>
      </c>
      <c r="AD761" s="901" t="s">
        <v>3238</v>
      </c>
    </row>
    <row r="762" spans="29:30" ht="14.5" x14ac:dyDescent="0.35">
      <c r="AC762" s="900" t="s">
        <v>3241</v>
      </c>
      <c r="AD762" s="899" t="s">
        <v>3240</v>
      </c>
    </row>
    <row r="763" spans="29:30" ht="14.5" x14ac:dyDescent="0.35">
      <c r="AC763" s="902" t="s">
        <v>3243</v>
      </c>
      <c r="AD763" s="901" t="s">
        <v>3242</v>
      </c>
    </row>
    <row r="764" spans="29:30" ht="14.5" x14ac:dyDescent="0.35">
      <c r="AC764" s="900" t="s">
        <v>3245</v>
      </c>
      <c r="AD764" s="899" t="s">
        <v>3244</v>
      </c>
    </row>
    <row r="765" spans="29:30" ht="14.5" x14ac:dyDescent="0.35">
      <c r="AC765" s="902" t="s">
        <v>3247</v>
      </c>
      <c r="AD765" s="901" t="s">
        <v>3246</v>
      </c>
    </row>
    <row r="766" spans="29:30" ht="14.5" x14ac:dyDescent="0.35">
      <c r="AC766" s="900" t="s">
        <v>3249</v>
      </c>
      <c r="AD766" s="899" t="s">
        <v>3248</v>
      </c>
    </row>
    <row r="767" spans="29:30" ht="14.5" x14ac:dyDescent="0.35">
      <c r="AC767" s="902" t="s">
        <v>3251</v>
      </c>
      <c r="AD767" s="901" t="s">
        <v>3250</v>
      </c>
    </row>
    <row r="768" spans="29:30" ht="14.5" x14ac:dyDescent="0.35">
      <c r="AC768" s="900" t="s">
        <v>3253</v>
      </c>
      <c r="AD768" s="899" t="s">
        <v>3252</v>
      </c>
    </row>
    <row r="769" spans="29:30" ht="14.5" x14ac:dyDescent="0.35">
      <c r="AC769" s="902" t="s">
        <v>3255</v>
      </c>
      <c r="AD769" s="901" t="s">
        <v>3254</v>
      </c>
    </row>
    <row r="770" spans="29:30" ht="14.5" x14ac:dyDescent="0.35">
      <c r="AC770" s="900" t="s">
        <v>3257</v>
      </c>
      <c r="AD770" s="899" t="s">
        <v>3256</v>
      </c>
    </row>
    <row r="771" spans="29:30" ht="14.5" x14ac:dyDescent="0.35">
      <c r="AC771" s="902" t="s">
        <v>3259</v>
      </c>
      <c r="AD771" s="901" t="s">
        <v>3258</v>
      </c>
    </row>
    <row r="772" spans="29:30" ht="14.5" x14ac:dyDescent="0.35">
      <c r="AC772" s="900" t="s">
        <v>3261</v>
      </c>
      <c r="AD772" s="899" t="s">
        <v>3260</v>
      </c>
    </row>
    <row r="773" spans="29:30" ht="14.5" x14ac:dyDescent="0.35">
      <c r="AC773" s="902" t="s">
        <v>3263</v>
      </c>
      <c r="AD773" s="901" t="s">
        <v>3262</v>
      </c>
    </row>
    <row r="774" spans="29:30" ht="14.5" x14ac:dyDescent="0.35">
      <c r="AC774" s="900" t="s">
        <v>3265</v>
      </c>
      <c r="AD774" s="899" t="s">
        <v>3264</v>
      </c>
    </row>
    <row r="775" spans="29:30" ht="14.5" x14ac:dyDescent="0.35">
      <c r="AC775" s="902" t="s">
        <v>3267</v>
      </c>
      <c r="AD775" s="901" t="s">
        <v>3266</v>
      </c>
    </row>
    <row r="776" spans="29:30" ht="14.5" x14ac:dyDescent="0.35">
      <c r="AC776" s="900" t="s">
        <v>3269</v>
      </c>
      <c r="AD776" s="899" t="s">
        <v>3268</v>
      </c>
    </row>
    <row r="777" spans="29:30" ht="14.5" x14ac:dyDescent="0.35">
      <c r="AC777" s="902" t="s">
        <v>3271</v>
      </c>
      <c r="AD777" s="901" t="s">
        <v>3270</v>
      </c>
    </row>
    <row r="778" spans="29:30" ht="14.5" x14ac:dyDescent="0.35">
      <c r="AC778" s="900" t="s">
        <v>3273</v>
      </c>
      <c r="AD778" s="899" t="s">
        <v>3272</v>
      </c>
    </row>
    <row r="779" spans="29:30" ht="14.5" x14ac:dyDescent="0.35">
      <c r="AC779" s="902" t="s">
        <v>3275</v>
      </c>
      <c r="AD779" s="901" t="s">
        <v>3274</v>
      </c>
    </row>
    <row r="780" spans="29:30" ht="14.5" x14ac:dyDescent="0.35">
      <c r="AC780" s="900" t="s">
        <v>3277</v>
      </c>
      <c r="AD780" s="899" t="s">
        <v>3276</v>
      </c>
    </row>
    <row r="781" spans="29:30" ht="14.5" x14ac:dyDescent="0.35">
      <c r="AC781" s="902" t="s">
        <v>3279</v>
      </c>
      <c r="AD781" s="901" t="s">
        <v>3278</v>
      </c>
    </row>
    <row r="782" spans="29:30" ht="14.5" x14ac:dyDescent="0.35">
      <c r="AC782" s="900" t="s">
        <v>3281</v>
      </c>
      <c r="AD782" s="899" t="s">
        <v>3280</v>
      </c>
    </row>
    <row r="783" spans="29:30" ht="14.5" x14ac:dyDescent="0.35">
      <c r="AC783" s="902" t="s">
        <v>3283</v>
      </c>
      <c r="AD783" s="901" t="s">
        <v>3282</v>
      </c>
    </row>
    <row r="784" spans="29:30" ht="14.5" x14ac:dyDescent="0.35">
      <c r="AC784" s="900" t="s">
        <v>3285</v>
      </c>
      <c r="AD784" s="899" t="s">
        <v>3284</v>
      </c>
    </row>
    <row r="785" spans="29:30" ht="14.5" x14ac:dyDescent="0.35">
      <c r="AC785" s="902" t="s">
        <v>3287</v>
      </c>
      <c r="AD785" s="901" t="s">
        <v>3286</v>
      </c>
    </row>
    <row r="786" spans="29:30" ht="14.5" x14ac:dyDescent="0.35">
      <c r="AC786" s="900" t="s">
        <v>3289</v>
      </c>
      <c r="AD786" s="899" t="s">
        <v>3288</v>
      </c>
    </row>
    <row r="787" spans="29:30" ht="14.5" x14ac:dyDescent="0.35">
      <c r="AC787" s="902" t="s">
        <v>3291</v>
      </c>
      <c r="AD787" s="901" t="s">
        <v>3290</v>
      </c>
    </row>
    <row r="788" spans="29:30" ht="14.5" x14ac:dyDescent="0.35">
      <c r="AC788" s="900" t="s">
        <v>3293</v>
      </c>
      <c r="AD788" s="899" t="s">
        <v>3292</v>
      </c>
    </row>
    <row r="789" spans="29:30" ht="14.5" x14ac:dyDescent="0.35">
      <c r="AC789" s="902" t="s">
        <v>3295</v>
      </c>
      <c r="AD789" s="901" t="s">
        <v>3294</v>
      </c>
    </row>
    <row r="790" spans="29:30" ht="14.5" x14ac:dyDescent="0.35">
      <c r="AC790" s="900" t="s">
        <v>3297</v>
      </c>
      <c r="AD790" s="899" t="s">
        <v>3296</v>
      </c>
    </row>
    <row r="791" spans="29:30" ht="14.5" x14ac:dyDescent="0.35">
      <c r="AC791" s="902" t="s">
        <v>3299</v>
      </c>
      <c r="AD791" s="901" t="s">
        <v>3298</v>
      </c>
    </row>
    <row r="792" spans="29:30" ht="14.5" x14ac:dyDescent="0.35">
      <c r="AC792" s="900" t="s">
        <v>3301</v>
      </c>
      <c r="AD792" s="899" t="s">
        <v>3300</v>
      </c>
    </row>
    <row r="793" spans="29:30" ht="14.5" x14ac:dyDescent="0.35">
      <c r="AC793" s="902" t="s">
        <v>3303</v>
      </c>
      <c r="AD793" s="901" t="s">
        <v>3302</v>
      </c>
    </row>
    <row r="794" spans="29:30" ht="14.5" x14ac:dyDescent="0.35">
      <c r="AC794" s="900" t="s">
        <v>3305</v>
      </c>
      <c r="AD794" s="899" t="s">
        <v>3304</v>
      </c>
    </row>
    <row r="795" spans="29:30" ht="14.5" x14ac:dyDescent="0.35">
      <c r="AC795" s="902" t="s">
        <v>3307</v>
      </c>
      <c r="AD795" s="901" t="s">
        <v>3306</v>
      </c>
    </row>
    <row r="796" spans="29:30" ht="14.5" x14ac:dyDescent="0.35">
      <c r="AC796" s="900" t="s">
        <v>3309</v>
      </c>
      <c r="AD796" s="899" t="s">
        <v>3308</v>
      </c>
    </row>
    <row r="797" spans="29:30" ht="14.5" x14ac:dyDescent="0.35">
      <c r="AC797" s="902" t="s">
        <v>3311</v>
      </c>
      <c r="AD797" s="901" t="s">
        <v>3310</v>
      </c>
    </row>
    <row r="798" spans="29:30" ht="14.5" x14ac:dyDescent="0.35">
      <c r="AC798" s="900" t="s">
        <v>3313</v>
      </c>
      <c r="AD798" s="899" t="s">
        <v>3312</v>
      </c>
    </row>
    <row r="799" spans="29:30" ht="14.5" x14ac:dyDescent="0.35">
      <c r="AC799" s="902" t="s">
        <v>3315</v>
      </c>
      <c r="AD799" s="901" t="s">
        <v>3314</v>
      </c>
    </row>
    <row r="800" spans="29:30" ht="14.5" x14ac:dyDescent="0.35">
      <c r="AC800" s="900" t="s">
        <v>3317</v>
      </c>
      <c r="AD800" s="899" t="s">
        <v>3316</v>
      </c>
    </row>
    <row r="801" spans="29:30" ht="14.5" x14ac:dyDescent="0.35">
      <c r="AC801" s="902" t="s">
        <v>3319</v>
      </c>
      <c r="AD801" s="901" t="s">
        <v>3318</v>
      </c>
    </row>
    <row r="802" spans="29:30" ht="14.5" x14ac:dyDescent="0.35">
      <c r="AC802" s="900" t="s">
        <v>3321</v>
      </c>
      <c r="AD802" s="899" t="s">
        <v>3320</v>
      </c>
    </row>
    <row r="803" spans="29:30" ht="14.5" x14ac:dyDescent="0.35">
      <c r="AC803" s="902" t="s">
        <v>3323</v>
      </c>
      <c r="AD803" s="901" t="s">
        <v>3322</v>
      </c>
    </row>
    <row r="804" spans="29:30" ht="14.5" x14ac:dyDescent="0.35">
      <c r="AC804" s="900" t="s">
        <v>3325</v>
      </c>
      <c r="AD804" s="899" t="s">
        <v>3324</v>
      </c>
    </row>
    <row r="805" spans="29:30" ht="14.5" x14ac:dyDescent="0.35">
      <c r="AC805" s="902" t="s">
        <v>3327</v>
      </c>
      <c r="AD805" s="901" t="s">
        <v>3326</v>
      </c>
    </row>
    <row r="806" spans="29:30" ht="14.5" x14ac:dyDescent="0.35">
      <c r="AC806" s="900" t="s">
        <v>3329</v>
      </c>
      <c r="AD806" s="899" t="s">
        <v>3328</v>
      </c>
    </row>
    <row r="807" spans="29:30" ht="14.5" x14ac:dyDescent="0.35">
      <c r="AC807" s="902" t="s">
        <v>3331</v>
      </c>
      <c r="AD807" s="901" t="s">
        <v>3330</v>
      </c>
    </row>
    <row r="808" spans="29:30" ht="14.5" x14ac:dyDescent="0.35">
      <c r="AC808" s="900" t="s">
        <v>3333</v>
      </c>
      <c r="AD808" s="899" t="s">
        <v>3332</v>
      </c>
    </row>
    <row r="809" spans="29:30" ht="14.5" x14ac:dyDescent="0.35">
      <c r="AC809" s="902" t="s">
        <v>3335</v>
      </c>
      <c r="AD809" s="901" t="s">
        <v>3334</v>
      </c>
    </row>
    <row r="810" spans="29:30" ht="14.5" x14ac:dyDescent="0.35">
      <c r="AC810" s="900" t="s">
        <v>3337</v>
      </c>
      <c r="AD810" s="899" t="s">
        <v>3336</v>
      </c>
    </row>
    <row r="811" spans="29:30" ht="14.5" x14ac:dyDescent="0.35">
      <c r="AC811" s="902" t="s">
        <v>3339</v>
      </c>
      <c r="AD811" s="901" t="s">
        <v>3338</v>
      </c>
    </row>
    <row r="812" spans="29:30" ht="14.5" x14ac:dyDescent="0.35">
      <c r="AC812" s="900" t="s">
        <v>3341</v>
      </c>
      <c r="AD812" s="899" t="s">
        <v>3340</v>
      </c>
    </row>
    <row r="813" spans="29:30" ht="14.5" x14ac:dyDescent="0.35">
      <c r="AC813" s="902" t="s">
        <v>3343</v>
      </c>
      <c r="AD813" s="901" t="s">
        <v>3342</v>
      </c>
    </row>
    <row r="814" spans="29:30" ht="14.5" x14ac:dyDescent="0.35">
      <c r="AC814" s="900" t="s">
        <v>3345</v>
      </c>
      <c r="AD814" s="899" t="s">
        <v>3344</v>
      </c>
    </row>
    <row r="815" spans="29:30" ht="14.5" x14ac:dyDescent="0.35">
      <c r="AC815" s="902" t="s">
        <v>3347</v>
      </c>
      <c r="AD815" s="901" t="s">
        <v>3346</v>
      </c>
    </row>
    <row r="816" spans="29:30" ht="14.5" x14ac:dyDescent="0.35">
      <c r="AC816" s="900" t="s">
        <v>3349</v>
      </c>
      <c r="AD816" s="899" t="s">
        <v>3348</v>
      </c>
    </row>
    <row r="817" spans="29:30" ht="14.5" x14ac:dyDescent="0.35">
      <c r="AC817" s="902" t="s">
        <v>3351</v>
      </c>
      <c r="AD817" s="901" t="s">
        <v>3350</v>
      </c>
    </row>
    <row r="818" spans="29:30" ht="14.5" x14ac:dyDescent="0.35">
      <c r="AC818" s="900" t="s">
        <v>3353</v>
      </c>
      <c r="AD818" s="899" t="s">
        <v>3352</v>
      </c>
    </row>
    <row r="819" spans="29:30" ht="14.5" x14ac:dyDescent="0.35">
      <c r="AC819" s="902" t="s">
        <v>3355</v>
      </c>
      <c r="AD819" s="901" t="s">
        <v>3354</v>
      </c>
    </row>
    <row r="820" spans="29:30" ht="14.5" x14ac:dyDescent="0.35">
      <c r="AC820" s="900" t="s">
        <v>3357</v>
      </c>
      <c r="AD820" s="899" t="s">
        <v>3356</v>
      </c>
    </row>
    <row r="821" spans="29:30" ht="14.5" x14ac:dyDescent="0.35">
      <c r="AC821" s="902" t="s">
        <v>3359</v>
      </c>
      <c r="AD821" s="901" t="s">
        <v>3358</v>
      </c>
    </row>
    <row r="822" spans="29:30" ht="14.5" x14ac:dyDescent="0.35">
      <c r="AC822" s="900" t="s">
        <v>3361</v>
      </c>
      <c r="AD822" s="899" t="s">
        <v>3360</v>
      </c>
    </row>
    <row r="823" spans="29:30" ht="14.5" x14ac:dyDescent="0.35">
      <c r="AC823" s="902" t="s">
        <v>3363</v>
      </c>
      <c r="AD823" s="901" t="s">
        <v>3362</v>
      </c>
    </row>
    <row r="824" spans="29:30" ht="14.5" x14ac:dyDescent="0.35">
      <c r="AC824" s="900" t="s">
        <v>3365</v>
      </c>
      <c r="AD824" s="899" t="s">
        <v>3364</v>
      </c>
    </row>
    <row r="825" spans="29:30" ht="14.5" x14ac:dyDescent="0.35">
      <c r="AC825" s="902" t="s">
        <v>3367</v>
      </c>
      <c r="AD825" s="901" t="s">
        <v>3366</v>
      </c>
    </row>
    <row r="826" spans="29:30" ht="14.5" x14ac:dyDescent="0.35">
      <c r="AC826" s="900" t="s">
        <v>3369</v>
      </c>
      <c r="AD826" s="899" t="s">
        <v>3368</v>
      </c>
    </row>
    <row r="827" spans="29:30" ht="14.5" x14ac:dyDescent="0.35">
      <c r="AC827" s="902" t="s">
        <v>3371</v>
      </c>
      <c r="AD827" s="901" t="s">
        <v>3370</v>
      </c>
    </row>
    <row r="828" spans="29:30" ht="14.5" x14ac:dyDescent="0.35">
      <c r="AC828" s="900" t="s">
        <v>3373</v>
      </c>
      <c r="AD828" s="899" t="s">
        <v>3372</v>
      </c>
    </row>
    <row r="829" spans="29:30" ht="14.5" x14ac:dyDescent="0.35">
      <c r="AC829" s="902" t="s">
        <v>3375</v>
      </c>
      <c r="AD829" s="901" t="s">
        <v>3374</v>
      </c>
    </row>
    <row r="830" spans="29:30" ht="14.5" x14ac:dyDescent="0.35">
      <c r="AC830" s="900" t="s">
        <v>3377</v>
      </c>
      <c r="AD830" s="899" t="s">
        <v>3376</v>
      </c>
    </row>
    <row r="831" spans="29:30" ht="14.5" x14ac:dyDescent="0.35">
      <c r="AC831" s="902" t="s">
        <v>3379</v>
      </c>
      <c r="AD831" s="901" t="s">
        <v>3378</v>
      </c>
    </row>
    <row r="832" spans="29:30" ht="14.5" x14ac:dyDescent="0.35">
      <c r="AC832" s="900" t="s">
        <v>3381</v>
      </c>
      <c r="AD832" s="899" t="s">
        <v>3380</v>
      </c>
    </row>
    <row r="833" spans="29:30" ht="14.5" x14ac:dyDescent="0.35">
      <c r="AC833" s="902" t="s">
        <v>3383</v>
      </c>
      <c r="AD833" s="901" t="s">
        <v>3382</v>
      </c>
    </row>
    <row r="834" spans="29:30" ht="14.5" x14ac:dyDescent="0.35">
      <c r="AC834" s="900" t="s">
        <v>3385</v>
      </c>
      <c r="AD834" s="899" t="s">
        <v>3384</v>
      </c>
    </row>
    <row r="835" spans="29:30" ht="14.5" x14ac:dyDescent="0.35">
      <c r="AC835" s="902" t="s">
        <v>3387</v>
      </c>
      <c r="AD835" s="901" t="s">
        <v>3386</v>
      </c>
    </row>
    <row r="836" spans="29:30" ht="14.5" x14ac:dyDescent="0.35">
      <c r="AC836" s="900" t="s">
        <v>3389</v>
      </c>
      <c r="AD836" s="899" t="s">
        <v>3388</v>
      </c>
    </row>
    <row r="837" spans="29:30" ht="14.5" x14ac:dyDescent="0.35">
      <c r="AC837" s="902" t="s">
        <v>3391</v>
      </c>
      <c r="AD837" s="901" t="s">
        <v>3390</v>
      </c>
    </row>
    <row r="838" spans="29:30" ht="14.5" x14ac:dyDescent="0.35">
      <c r="AC838" s="900" t="s">
        <v>3393</v>
      </c>
      <c r="AD838" s="899" t="s">
        <v>3392</v>
      </c>
    </row>
    <row r="839" spans="29:30" ht="14.5" x14ac:dyDescent="0.35">
      <c r="AC839" s="902" t="s">
        <v>3395</v>
      </c>
      <c r="AD839" s="901" t="s">
        <v>3394</v>
      </c>
    </row>
    <row r="840" spans="29:30" ht="14.5" x14ac:dyDescent="0.35">
      <c r="AC840" s="900" t="s">
        <v>3397</v>
      </c>
      <c r="AD840" s="899" t="s">
        <v>3396</v>
      </c>
    </row>
    <row r="841" spans="29:30" ht="14.5" x14ac:dyDescent="0.35">
      <c r="AC841" s="902" t="s">
        <v>3399</v>
      </c>
      <c r="AD841" s="901" t="s">
        <v>3398</v>
      </c>
    </row>
    <row r="842" spans="29:30" ht="14.5" x14ac:dyDescent="0.35">
      <c r="AC842" s="900" t="s">
        <v>3401</v>
      </c>
      <c r="AD842" s="899" t="s">
        <v>3400</v>
      </c>
    </row>
    <row r="843" spans="29:30" ht="14.5" x14ac:dyDescent="0.35">
      <c r="AC843" s="902" t="s">
        <v>3403</v>
      </c>
      <c r="AD843" s="901" t="s">
        <v>3402</v>
      </c>
    </row>
    <row r="844" spans="29:30" ht="14.5" x14ac:dyDescent="0.35">
      <c r="AC844" s="900" t="s">
        <v>3405</v>
      </c>
      <c r="AD844" s="899" t="s">
        <v>3404</v>
      </c>
    </row>
    <row r="845" spans="29:30" ht="14.5" x14ac:dyDescent="0.35">
      <c r="AC845" s="902" t="s">
        <v>3407</v>
      </c>
      <c r="AD845" s="901" t="s">
        <v>3406</v>
      </c>
    </row>
    <row r="846" spans="29:30" ht="14.5" x14ac:dyDescent="0.35">
      <c r="AC846" s="900" t="s">
        <v>3409</v>
      </c>
      <c r="AD846" s="899" t="s">
        <v>3408</v>
      </c>
    </row>
    <row r="847" spans="29:30" ht="14.5" x14ac:dyDescent="0.35">
      <c r="AC847" s="902" t="s">
        <v>3411</v>
      </c>
      <c r="AD847" s="901" t="s">
        <v>3410</v>
      </c>
    </row>
    <row r="848" spans="29:30" ht="14.5" x14ac:dyDescent="0.35">
      <c r="AC848" s="900" t="s">
        <v>3413</v>
      </c>
      <c r="AD848" s="899" t="s">
        <v>3412</v>
      </c>
    </row>
    <row r="849" spans="29:30" ht="14.5" x14ac:dyDescent="0.35">
      <c r="AC849" s="902" t="s">
        <v>3415</v>
      </c>
      <c r="AD849" s="901" t="s">
        <v>3414</v>
      </c>
    </row>
    <row r="850" spans="29:30" ht="14.5" x14ac:dyDescent="0.35">
      <c r="AC850" s="900" t="s">
        <v>3417</v>
      </c>
      <c r="AD850" s="899" t="s">
        <v>3416</v>
      </c>
    </row>
    <row r="851" spans="29:30" ht="14.5" x14ac:dyDescent="0.35">
      <c r="AC851" s="902" t="s">
        <v>3419</v>
      </c>
      <c r="AD851" s="901" t="s">
        <v>3418</v>
      </c>
    </row>
    <row r="852" spans="29:30" ht="14.5" x14ac:dyDescent="0.35">
      <c r="AC852" s="900" t="s">
        <v>3421</v>
      </c>
      <c r="AD852" s="899" t="s">
        <v>3420</v>
      </c>
    </row>
    <row r="853" spans="29:30" ht="14.5" x14ac:dyDescent="0.35">
      <c r="AC853" s="902" t="s">
        <v>3423</v>
      </c>
      <c r="AD853" s="901" t="s">
        <v>3422</v>
      </c>
    </row>
    <row r="854" spans="29:30" ht="14.5" x14ac:dyDescent="0.35">
      <c r="AC854" s="900" t="s">
        <v>3425</v>
      </c>
      <c r="AD854" s="899" t="s">
        <v>3424</v>
      </c>
    </row>
    <row r="855" spans="29:30" ht="14.5" x14ac:dyDescent="0.35">
      <c r="AC855" s="902" t="s">
        <v>3427</v>
      </c>
      <c r="AD855" s="901" t="s">
        <v>3426</v>
      </c>
    </row>
    <row r="856" spans="29:30" ht="14.5" x14ac:dyDescent="0.35">
      <c r="AC856" s="900" t="s">
        <v>3429</v>
      </c>
      <c r="AD856" s="899" t="s">
        <v>3428</v>
      </c>
    </row>
    <row r="857" spans="29:30" ht="14.5" x14ac:dyDescent="0.35">
      <c r="AC857" s="902" t="s">
        <v>3431</v>
      </c>
      <c r="AD857" s="901" t="s">
        <v>3430</v>
      </c>
    </row>
    <row r="858" spans="29:30" ht="14.5" x14ac:dyDescent="0.35">
      <c r="AC858" s="900" t="s">
        <v>3433</v>
      </c>
      <c r="AD858" s="899" t="s">
        <v>3432</v>
      </c>
    </row>
    <row r="859" spans="29:30" ht="14.5" x14ac:dyDescent="0.35">
      <c r="AC859" s="902" t="s">
        <v>3435</v>
      </c>
      <c r="AD859" s="901" t="s">
        <v>3434</v>
      </c>
    </row>
    <row r="860" spans="29:30" ht="14.5" x14ac:dyDescent="0.35">
      <c r="AC860" s="900" t="s">
        <v>3437</v>
      </c>
      <c r="AD860" s="899" t="s">
        <v>3436</v>
      </c>
    </row>
    <row r="861" spans="29:30" ht="14.5" x14ac:dyDescent="0.35">
      <c r="AC861" s="902" t="s">
        <v>3439</v>
      </c>
      <c r="AD861" s="901" t="s">
        <v>3438</v>
      </c>
    </row>
    <row r="862" spans="29:30" ht="14.5" x14ac:dyDescent="0.35">
      <c r="AC862" s="900" t="s">
        <v>3441</v>
      </c>
      <c r="AD862" s="899" t="s">
        <v>3440</v>
      </c>
    </row>
    <row r="863" spans="29:30" ht="14.5" x14ac:dyDescent="0.35">
      <c r="AC863" s="902" t="s">
        <v>3443</v>
      </c>
      <c r="AD863" s="901" t="s">
        <v>3442</v>
      </c>
    </row>
    <row r="864" spans="29:30" ht="14.5" x14ac:dyDescent="0.35">
      <c r="AC864" s="900" t="s">
        <v>3445</v>
      </c>
      <c r="AD864" s="899" t="s">
        <v>3444</v>
      </c>
    </row>
    <row r="865" spans="29:30" ht="14.5" x14ac:dyDescent="0.35">
      <c r="AC865" s="902" t="s">
        <v>3447</v>
      </c>
      <c r="AD865" s="901" t="s">
        <v>3446</v>
      </c>
    </row>
    <row r="866" spans="29:30" ht="14.5" x14ac:dyDescent="0.35">
      <c r="AC866" s="900" t="s">
        <v>3449</v>
      </c>
      <c r="AD866" s="899" t="s">
        <v>3448</v>
      </c>
    </row>
    <row r="867" spans="29:30" ht="14.5" x14ac:dyDescent="0.35">
      <c r="AC867" s="902" t="s">
        <v>3451</v>
      </c>
      <c r="AD867" s="901" t="s">
        <v>3450</v>
      </c>
    </row>
    <row r="868" spans="29:30" ht="14.5" x14ac:dyDescent="0.35">
      <c r="AC868" s="900" t="s">
        <v>3453</v>
      </c>
      <c r="AD868" s="899" t="s">
        <v>3452</v>
      </c>
    </row>
    <row r="869" spans="29:30" ht="14.5" x14ac:dyDescent="0.35">
      <c r="AC869" s="902" t="s">
        <v>3455</v>
      </c>
      <c r="AD869" s="901" t="s">
        <v>3454</v>
      </c>
    </row>
    <row r="870" spans="29:30" ht="14.5" x14ac:dyDescent="0.35">
      <c r="AC870" s="900" t="s">
        <v>3457</v>
      </c>
      <c r="AD870" s="899" t="s">
        <v>3456</v>
      </c>
    </row>
    <row r="871" spans="29:30" ht="14.5" x14ac:dyDescent="0.35">
      <c r="AC871" s="902" t="s">
        <v>3459</v>
      </c>
      <c r="AD871" s="901" t="s">
        <v>3458</v>
      </c>
    </row>
    <row r="872" spans="29:30" ht="14.5" x14ac:dyDescent="0.35">
      <c r="AC872" s="900" t="s">
        <v>3461</v>
      </c>
      <c r="AD872" s="899" t="s">
        <v>3460</v>
      </c>
    </row>
    <row r="873" spans="29:30" ht="14.5" x14ac:dyDescent="0.35">
      <c r="AC873" s="902" t="s">
        <v>3463</v>
      </c>
      <c r="AD873" s="901" t="s">
        <v>3462</v>
      </c>
    </row>
    <row r="874" spans="29:30" ht="14.5" x14ac:dyDescent="0.35">
      <c r="AC874" s="900" t="s">
        <v>3465</v>
      </c>
      <c r="AD874" s="899" t="s">
        <v>3464</v>
      </c>
    </row>
    <row r="875" spans="29:30" ht="14.5" x14ac:dyDescent="0.35">
      <c r="AC875" s="902" t="s">
        <v>3467</v>
      </c>
      <c r="AD875" s="901" t="s">
        <v>3466</v>
      </c>
    </row>
    <row r="876" spans="29:30" ht="14.5" x14ac:dyDescent="0.35">
      <c r="AC876" s="900" t="s">
        <v>3469</v>
      </c>
      <c r="AD876" s="899" t="s">
        <v>3468</v>
      </c>
    </row>
    <row r="877" spans="29:30" ht="14.5" x14ac:dyDescent="0.35">
      <c r="AC877" s="902" t="s">
        <v>3471</v>
      </c>
      <c r="AD877" s="901" t="s">
        <v>3470</v>
      </c>
    </row>
    <row r="878" spans="29:30" ht="14.5" x14ac:dyDescent="0.35">
      <c r="AC878" s="900" t="s">
        <v>3473</v>
      </c>
      <c r="AD878" s="899" t="s">
        <v>3472</v>
      </c>
    </row>
    <row r="879" spans="29:30" ht="14.5" x14ac:dyDescent="0.35">
      <c r="AC879" s="902" t="s">
        <v>3475</v>
      </c>
      <c r="AD879" s="901" t="s">
        <v>3474</v>
      </c>
    </row>
    <row r="880" spans="29:30" ht="14.5" x14ac:dyDescent="0.35">
      <c r="AC880" s="900" t="s">
        <v>3477</v>
      </c>
      <c r="AD880" s="899" t="s">
        <v>3476</v>
      </c>
    </row>
    <row r="881" spans="29:30" ht="14.5" x14ac:dyDescent="0.35">
      <c r="AC881" s="902" t="s">
        <v>3479</v>
      </c>
      <c r="AD881" s="901" t="s">
        <v>3478</v>
      </c>
    </row>
    <row r="882" spans="29:30" ht="14.5" x14ac:dyDescent="0.35">
      <c r="AC882" s="900" t="s">
        <v>3481</v>
      </c>
      <c r="AD882" s="899" t="s">
        <v>3480</v>
      </c>
    </row>
    <row r="883" spans="29:30" ht="14.5" x14ac:dyDescent="0.35">
      <c r="AC883" s="902" t="s">
        <v>3483</v>
      </c>
      <c r="AD883" s="901" t="s">
        <v>3482</v>
      </c>
    </row>
    <row r="884" spans="29:30" ht="14.5" x14ac:dyDescent="0.35">
      <c r="AC884" s="900" t="s">
        <v>3485</v>
      </c>
      <c r="AD884" s="899" t="s">
        <v>3484</v>
      </c>
    </row>
    <row r="885" spans="29:30" ht="14.5" x14ac:dyDescent="0.35">
      <c r="AC885" s="902" t="s">
        <v>3487</v>
      </c>
      <c r="AD885" s="901" t="s">
        <v>3486</v>
      </c>
    </row>
    <row r="886" spans="29:30" ht="14.5" x14ac:dyDescent="0.35">
      <c r="AC886" s="900" t="s">
        <v>3489</v>
      </c>
      <c r="AD886" s="899" t="s">
        <v>3488</v>
      </c>
    </row>
    <row r="887" spans="29:30" ht="14.5" x14ac:dyDescent="0.35">
      <c r="AC887" s="902" t="s">
        <v>3491</v>
      </c>
      <c r="AD887" s="901" t="s">
        <v>3490</v>
      </c>
    </row>
    <row r="888" spans="29:30" ht="14.5" x14ac:dyDescent="0.35">
      <c r="AC888" s="900" t="s">
        <v>3493</v>
      </c>
      <c r="AD888" s="899" t="s">
        <v>3492</v>
      </c>
    </row>
    <row r="889" spans="29:30" ht="14.5" x14ac:dyDescent="0.35">
      <c r="AC889" s="902" t="s">
        <v>3495</v>
      </c>
      <c r="AD889" s="901" t="s">
        <v>3494</v>
      </c>
    </row>
    <row r="890" spans="29:30" ht="14.5" x14ac:dyDescent="0.35">
      <c r="AC890" s="900" t="s">
        <v>3497</v>
      </c>
      <c r="AD890" s="899" t="s">
        <v>3496</v>
      </c>
    </row>
    <row r="891" spans="29:30" ht="14.5" x14ac:dyDescent="0.35">
      <c r="AC891" s="902" t="s">
        <v>3499</v>
      </c>
      <c r="AD891" s="901" t="s">
        <v>3498</v>
      </c>
    </row>
    <row r="892" spans="29:30" ht="14.5" x14ac:dyDescent="0.35">
      <c r="AC892" s="900" t="s">
        <v>3501</v>
      </c>
      <c r="AD892" s="899" t="s">
        <v>3500</v>
      </c>
    </row>
    <row r="893" spans="29:30" ht="14.5" x14ac:dyDescent="0.35">
      <c r="AC893" s="902" t="s">
        <v>3503</v>
      </c>
      <c r="AD893" s="901" t="s">
        <v>3502</v>
      </c>
    </row>
    <row r="894" spans="29:30" ht="14.5" x14ac:dyDescent="0.35">
      <c r="AC894" s="900" t="s">
        <v>3505</v>
      </c>
      <c r="AD894" s="899" t="s">
        <v>3504</v>
      </c>
    </row>
    <row r="895" spans="29:30" ht="14.5" x14ac:dyDescent="0.35">
      <c r="AC895" s="902" t="s">
        <v>3507</v>
      </c>
      <c r="AD895" s="901" t="s">
        <v>3506</v>
      </c>
    </row>
    <row r="896" spans="29:30" ht="14.5" x14ac:dyDescent="0.35">
      <c r="AC896" s="900" t="s">
        <v>3509</v>
      </c>
      <c r="AD896" s="899" t="s">
        <v>3508</v>
      </c>
    </row>
    <row r="897" spans="29:30" ht="14.5" x14ac:dyDescent="0.35">
      <c r="AC897" s="902" t="s">
        <v>3511</v>
      </c>
      <c r="AD897" s="901" t="s">
        <v>3510</v>
      </c>
    </row>
    <row r="898" spans="29:30" ht="14.5" x14ac:dyDescent="0.35">
      <c r="AC898" s="900" t="s">
        <v>3513</v>
      </c>
      <c r="AD898" s="899" t="s">
        <v>3512</v>
      </c>
    </row>
    <row r="899" spans="29:30" ht="14.5" x14ac:dyDescent="0.35">
      <c r="AC899" s="902" t="s">
        <v>3515</v>
      </c>
      <c r="AD899" s="901" t="s">
        <v>3514</v>
      </c>
    </row>
    <row r="900" spans="29:30" ht="14.5" x14ac:dyDescent="0.35">
      <c r="AC900" s="900" t="s">
        <v>3517</v>
      </c>
      <c r="AD900" s="899" t="s">
        <v>3516</v>
      </c>
    </row>
    <row r="901" spans="29:30" ht="14.5" x14ac:dyDescent="0.35">
      <c r="AC901" s="902" t="s">
        <v>3519</v>
      </c>
      <c r="AD901" s="901" t="s">
        <v>3518</v>
      </c>
    </row>
    <row r="902" spans="29:30" ht="14.5" x14ac:dyDescent="0.35">
      <c r="AC902" s="900" t="s">
        <v>3521</v>
      </c>
      <c r="AD902" s="899" t="s">
        <v>3520</v>
      </c>
    </row>
    <row r="903" spans="29:30" ht="14.5" x14ac:dyDescent="0.35">
      <c r="AC903" s="902" t="s">
        <v>3523</v>
      </c>
      <c r="AD903" s="901" t="s">
        <v>3522</v>
      </c>
    </row>
    <row r="904" spans="29:30" ht="14.5" x14ac:dyDescent="0.35">
      <c r="AC904" s="900" t="s">
        <v>3525</v>
      </c>
      <c r="AD904" s="899" t="s">
        <v>3524</v>
      </c>
    </row>
    <row r="905" spans="29:30" ht="14.5" x14ac:dyDescent="0.35">
      <c r="AC905" s="902" t="s">
        <v>3527</v>
      </c>
      <c r="AD905" s="901" t="s">
        <v>3526</v>
      </c>
    </row>
    <row r="906" spans="29:30" ht="14.5" x14ac:dyDescent="0.35">
      <c r="AC906" s="900" t="s">
        <v>3529</v>
      </c>
      <c r="AD906" s="899" t="s">
        <v>3528</v>
      </c>
    </row>
    <row r="907" spans="29:30" ht="14.5" x14ac:dyDescent="0.35">
      <c r="AC907" s="902" t="s">
        <v>3531</v>
      </c>
      <c r="AD907" s="901" t="s">
        <v>3530</v>
      </c>
    </row>
    <row r="908" spans="29:30" ht="14.5" x14ac:dyDescent="0.35">
      <c r="AC908" s="900" t="s">
        <v>3533</v>
      </c>
      <c r="AD908" s="899" t="s">
        <v>3532</v>
      </c>
    </row>
    <row r="909" spans="29:30" ht="14.5" x14ac:dyDescent="0.35">
      <c r="AC909" s="902" t="s">
        <v>3535</v>
      </c>
      <c r="AD909" s="901" t="s">
        <v>3534</v>
      </c>
    </row>
    <row r="910" spans="29:30" ht="14.5" x14ac:dyDescent="0.35">
      <c r="AC910" s="900" t="s">
        <v>3537</v>
      </c>
      <c r="AD910" s="899" t="s">
        <v>3536</v>
      </c>
    </row>
    <row r="911" spans="29:30" ht="14.5" x14ac:dyDescent="0.35">
      <c r="AC911" s="902" t="s">
        <v>3539</v>
      </c>
      <c r="AD911" s="901" t="s">
        <v>3538</v>
      </c>
    </row>
    <row r="912" spans="29:30" ht="14.5" x14ac:dyDescent="0.35">
      <c r="AC912" s="900" t="s">
        <v>3541</v>
      </c>
      <c r="AD912" s="899" t="s">
        <v>3540</v>
      </c>
    </row>
    <row r="913" spans="29:30" ht="14.5" x14ac:dyDescent="0.35">
      <c r="AC913" s="902" t="s">
        <v>3543</v>
      </c>
      <c r="AD913" s="901" t="s">
        <v>3542</v>
      </c>
    </row>
    <row r="914" spans="29:30" ht="14.5" x14ac:dyDescent="0.35">
      <c r="AC914" s="900" t="s">
        <v>3545</v>
      </c>
      <c r="AD914" s="899" t="s">
        <v>3544</v>
      </c>
    </row>
    <row r="915" spans="29:30" ht="14.5" x14ac:dyDescent="0.35">
      <c r="AC915" s="902" t="s">
        <v>3547</v>
      </c>
      <c r="AD915" s="901" t="s">
        <v>3546</v>
      </c>
    </row>
    <row r="916" spans="29:30" ht="14.5" x14ac:dyDescent="0.35">
      <c r="AC916" s="900" t="s">
        <v>3549</v>
      </c>
      <c r="AD916" s="899" t="s">
        <v>3548</v>
      </c>
    </row>
    <row r="917" spans="29:30" ht="14.5" x14ac:dyDescent="0.35">
      <c r="AC917" s="902" t="s">
        <v>3551</v>
      </c>
      <c r="AD917" s="901" t="s">
        <v>3550</v>
      </c>
    </row>
    <row r="918" spans="29:30" ht="14.5" x14ac:dyDescent="0.35">
      <c r="AC918" s="900" t="s">
        <v>3553</v>
      </c>
      <c r="AD918" s="899" t="s">
        <v>3552</v>
      </c>
    </row>
    <row r="919" spans="29:30" ht="14.5" x14ac:dyDescent="0.35">
      <c r="AC919" s="902" t="s">
        <v>3555</v>
      </c>
      <c r="AD919" s="901" t="s">
        <v>3554</v>
      </c>
    </row>
    <row r="920" spans="29:30" ht="14.5" x14ac:dyDescent="0.35">
      <c r="AC920" s="900" t="s">
        <v>3557</v>
      </c>
      <c r="AD920" s="899" t="s">
        <v>3556</v>
      </c>
    </row>
    <row r="921" spans="29:30" ht="14.5" x14ac:dyDescent="0.35">
      <c r="AC921" s="902" t="s">
        <v>3559</v>
      </c>
      <c r="AD921" s="901" t="s">
        <v>3558</v>
      </c>
    </row>
    <row r="922" spans="29:30" ht="14.5" x14ac:dyDescent="0.35">
      <c r="AC922" s="900" t="s">
        <v>3561</v>
      </c>
      <c r="AD922" s="899" t="s">
        <v>3560</v>
      </c>
    </row>
    <row r="923" spans="29:30" ht="14.5" x14ac:dyDescent="0.35">
      <c r="AC923" s="902" t="s">
        <v>3563</v>
      </c>
      <c r="AD923" s="901" t="s">
        <v>3562</v>
      </c>
    </row>
    <row r="924" spans="29:30" ht="14.5" x14ac:dyDescent="0.35">
      <c r="AC924" s="900" t="s">
        <v>3565</v>
      </c>
      <c r="AD924" s="899" t="s">
        <v>3564</v>
      </c>
    </row>
    <row r="925" spans="29:30" ht="14.5" x14ac:dyDescent="0.35">
      <c r="AC925" s="902" t="s">
        <v>3567</v>
      </c>
      <c r="AD925" s="901" t="s">
        <v>3566</v>
      </c>
    </row>
    <row r="926" spans="29:30" ht="14.5" x14ac:dyDescent="0.35">
      <c r="AC926" s="900" t="s">
        <v>3569</v>
      </c>
      <c r="AD926" s="899" t="s">
        <v>3568</v>
      </c>
    </row>
    <row r="927" spans="29:30" ht="14.5" x14ac:dyDescent="0.35">
      <c r="AC927" s="902" t="s">
        <v>3571</v>
      </c>
      <c r="AD927" s="901" t="s">
        <v>3570</v>
      </c>
    </row>
    <row r="928" spans="29:30" ht="14.5" x14ac:dyDescent="0.35">
      <c r="AC928" s="900" t="s">
        <v>3573</v>
      </c>
      <c r="AD928" s="899" t="s">
        <v>3572</v>
      </c>
    </row>
    <row r="929" spans="29:30" ht="14.5" x14ac:dyDescent="0.35">
      <c r="AC929" s="902" t="s">
        <v>3575</v>
      </c>
      <c r="AD929" s="901" t="s">
        <v>3574</v>
      </c>
    </row>
    <row r="930" spans="29:30" ht="14.5" x14ac:dyDescent="0.35">
      <c r="AC930" s="900" t="s">
        <v>3577</v>
      </c>
      <c r="AD930" s="899" t="s">
        <v>3576</v>
      </c>
    </row>
    <row r="931" spans="29:30" ht="14.5" x14ac:dyDescent="0.35">
      <c r="AC931" s="902" t="s">
        <v>3579</v>
      </c>
      <c r="AD931" s="901" t="s">
        <v>3578</v>
      </c>
    </row>
    <row r="932" spans="29:30" ht="14.5" x14ac:dyDescent="0.35">
      <c r="AC932" s="900" t="s">
        <v>3581</v>
      </c>
      <c r="AD932" s="899" t="s">
        <v>3580</v>
      </c>
    </row>
    <row r="933" spans="29:30" ht="14.5" x14ac:dyDescent="0.35">
      <c r="AC933" s="902" t="s">
        <v>3583</v>
      </c>
      <c r="AD933" s="901" t="s">
        <v>3582</v>
      </c>
    </row>
    <row r="934" spans="29:30" ht="14.5" x14ac:dyDescent="0.35">
      <c r="AC934" s="900" t="s">
        <v>3585</v>
      </c>
      <c r="AD934" s="899" t="s">
        <v>3584</v>
      </c>
    </row>
    <row r="935" spans="29:30" ht="14.5" x14ac:dyDescent="0.35">
      <c r="AC935" s="902" t="s">
        <v>3587</v>
      </c>
      <c r="AD935" s="901" t="s">
        <v>3586</v>
      </c>
    </row>
    <row r="936" spans="29:30" ht="14.5" x14ac:dyDescent="0.35">
      <c r="AC936" s="900" t="s">
        <v>3589</v>
      </c>
      <c r="AD936" s="899" t="s">
        <v>3588</v>
      </c>
    </row>
    <row r="937" spans="29:30" ht="14.5" x14ac:dyDescent="0.35">
      <c r="AC937" s="902" t="s">
        <v>3591</v>
      </c>
      <c r="AD937" s="901" t="s">
        <v>3590</v>
      </c>
    </row>
    <row r="938" spans="29:30" ht="14.5" x14ac:dyDescent="0.35">
      <c r="AC938" s="900" t="s">
        <v>3593</v>
      </c>
      <c r="AD938" s="899" t="s">
        <v>3592</v>
      </c>
    </row>
    <row r="939" spans="29:30" ht="14.5" x14ac:dyDescent="0.35">
      <c r="AC939" s="902" t="s">
        <v>3595</v>
      </c>
      <c r="AD939" s="901" t="s">
        <v>3594</v>
      </c>
    </row>
    <row r="940" spans="29:30" ht="14.5" x14ac:dyDescent="0.35">
      <c r="AC940" s="900" t="s">
        <v>3597</v>
      </c>
      <c r="AD940" s="899" t="s">
        <v>3596</v>
      </c>
    </row>
    <row r="941" spans="29:30" ht="14.5" x14ac:dyDescent="0.35">
      <c r="AC941" s="902" t="s">
        <v>3599</v>
      </c>
      <c r="AD941" s="901" t="s">
        <v>3598</v>
      </c>
    </row>
    <row r="942" spans="29:30" ht="14.5" x14ac:dyDescent="0.35">
      <c r="AC942" s="900" t="s">
        <v>3601</v>
      </c>
      <c r="AD942" s="899" t="s">
        <v>3600</v>
      </c>
    </row>
    <row r="943" spans="29:30" ht="14.5" x14ac:dyDescent="0.35">
      <c r="AC943" s="902" t="s">
        <v>3603</v>
      </c>
      <c r="AD943" s="901" t="s">
        <v>3602</v>
      </c>
    </row>
    <row r="944" spans="29:30" ht="14.5" x14ac:dyDescent="0.35">
      <c r="AC944" s="900" t="s">
        <v>3605</v>
      </c>
      <c r="AD944" s="899" t="s">
        <v>3604</v>
      </c>
    </row>
    <row r="945" spans="29:30" ht="14.5" x14ac:dyDescent="0.35">
      <c r="AC945" s="902" t="s">
        <v>3607</v>
      </c>
      <c r="AD945" s="901" t="s">
        <v>3606</v>
      </c>
    </row>
    <row r="946" spans="29:30" ht="14.5" x14ac:dyDescent="0.35">
      <c r="AC946" s="900" t="s">
        <v>3609</v>
      </c>
      <c r="AD946" s="899" t="s">
        <v>3608</v>
      </c>
    </row>
    <row r="947" spans="29:30" ht="14.5" x14ac:dyDescent="0.35">
      <c r="AC947" s="902" t="s">
        <v>3611</v>
      </c>
      <c r="AD947" s="901" t="s">
        <v>3610</v>
      </c>
    </row>
    <row r="948" spans="29:30" ht="14.5" x14ac:dyDescent="0.35">
      <c r="AC948" s="900" t="s">
        <v>3613</v>
      </c>
      <c r="AD948" s="899" t="s">
        <v>3612</v>
      </c>
    </row>
    <row r="949" spans="29:30" ht="14.5" x14ac:dyDescent="0.35">
      <c r="AC949" s="902" t="s">
        <v>3615</v>
      </c>
      <c r="AD949" s="901" t="s">
        <v>3614</v>
      </c>
    </row>
    <row r="950" spans="29:30" ht="14.5" x14ac:dyDescent="0.35">
      <c r="AC950" s="900" t="s">
        <v>3617</v>
      </c>
      <c r="AD950" s="899" t="s">
        <v>3616</v>
      </c>
    </row>
    <row r="951" spans="29:30" ht="14.5" x14ac:dyDescent="0.35">
      <c r="AC951" s="902" t="s">
        <v>3619</v>
      </c>
      <c r="AD951" s="901" t="s">
        <v>3618</v>
      </c>
    </row>
    <row r="952" spans="29:30" ht="14.5" x14ac:dyDescent="0.35">
      <c r="AC952" s="900" t="s">
        <v>3621</v>
      </c>
      <c r="AD952" s="899" t="s">
        <v>3620</v>
      </c>
    </row>
    <row r="953" spans="29:30" ht="14.5" x14ac:dyDescent="0.35">
      <c r="AC953" s="902" t="s">
        <v>3623</v>
      </c>
      <c r="AD953" s="901" t="s">
        <v>3622</v>
      </c>
    </row>
    <row r="954" spans="29:30" ht="14.5" x14ac:dyDescent="0.35">
      <c r="AC954" s="900" t="s">
        <v>3625</v>
      </c>
      <c r="AD954" s="899" t="s">
        <v>3624</v>
      </c>
    </row>
    <row r="955" spans="29:30" ht="14.5" x14ac:dyDescent="0.35">
      <c r="AC955" s="902" t="s">
        <v>3627</v>
      </c>
      <c r="AD955" s="901" t="s">
        <v>3626</v>
      </c>
    </row>
    <row r="956" spans="29:30" ht="14.5" x14ac:dyDescent="0.35">
      <c r="AC956" s="900" t="s">
        <v>3629</v>
      </c>
      <c r="AD956" s="899" t="s">
        <v>3628</v>
      </c>
    </row>
    <row r="957" spans="29:30" ht="14.5" x14ac:dyDescent="0.35">
      <c r="AC957" s="902" t="s">
        <v>3631</v>
      </c>
      <c r="AD957" s="901" t="s">
        <v>3630</v>
      </c>
    </row>
    <row r="958" spans="29:30" ht="14.5" x14ac:dyDescent="0.35">
      <c r="AC958" s="900" t="s">
        <v>3633</v>
      </c>
      <c r="AD958" s="899" t="s">
        <v>3632</v>
      </c>
    </row>
    <row r="959" spans="29:30" ht="14.5" x14ac:dyDescent="0.35">
      <c r="AC959" s="902" t="s">
        <v>3635</v>
      </c>
      <c r="AD959" s="901" t="s">
        <v>3634</v>
      </c>
    </row>
    <row r="960" spans="29:30" ht="14.5" x14ac:dyDescent="0.35">
      <c r="AC960" s="900" t="s">
        <v>3637</v>
      </c>
      <c r="AD960" s="899" t="s">
        <v>3636</v>
      </c>
    </row>
    <row r="961" spans="29:30" ht="14.5" x14ac:dyDescent="0.35">
      <c r="AC961" s="902" t="s">
        <v>3639</v>
      </c>
      <c r="AD961" s="901" t="s">
        <v>3638</v>
      </c>
    </row>
    <row r="962" spans="29:30" ht="14.5" x14ac:dyDescent="0.35">
      <c r="AC962" s="900" t="s">
        <v>3641</v>
      </c>
      <c r="AD962" s="899" t="s">
        <v>3640</v>
      </c>
    </row>
    <row r="963" spans="29:30" ht="14.5" x14ac:dyDescent="0.35">
      <c r="AC963" s="902" t="s">
        <v>3643</v>
      </c>
      <c r="AD963" s="901" t="s">
        <v>3642</v>
      </c>
    </row>
    <row r="964" spans="29:30" ht="14.5" x14ac:dyDescent="0.35">
      <c r="AC964" s="900" t="s">
        <v>3645</v>
      </c>
      <c r="AD964" s="899" t="s">
        <v>3644</v>
      </c>
    </row>
    <row r="965" spans="29:30" ht="14.5" x14ac:dyDescent="0.35">
      <c r="AC965" s="902" t="s">
        <v>3647</v>
      </c>
      <c r="AD965" s="901" t="s">
        <v>3646</v>
      </c>
    </row>
    <row r="966" spans="29:30" ht="14.5" x14ac:dyDescent="0.35">
      <c r="AC966" s="900" t="s">
        <v>3649</v>
      </c>
      <c r="AD966" s="899" t="s">
        <v>3648</v>
      </c>
    </row>
    <row r="967" spans="29:30" ht="14.5" x14ac:dyDescent="0.35">
      <c r="AC967" s="902" t="s">
        <v>3651</v>
      </c>
      <c r="AD967" s="901" t="s">
        <v>3650</v>
      </c>
    </row>
    <row r="968" spans="29:30" ht="14.5" x14ac:dyDescent="0.35">
      <c r="AC968" s="900" t="s">
        <v>3653</v>
      </c>
      <c r="AD968" s="899" t="s">
        <v>3652</v>
      </c>
    </row>
    <row r="969" spans="29:30" ht="14.5" x14ac:dyDescent="0.35">
      <c r="AC969" s="902" t="s">
        <v>3655</v>
      </c>
      <c r="AD969" s="901" t="s">
        <v>3654</v>
      </c>
    </row>
    <row r="970" spans="29:30" ht="14.5" x14ac:dyDescent="0.35">
      <c r="AC970" s="900" t="s">
        <v>3657</v>
      </c>
      <c r="AD970" s="899" t="s">
        <v>3656</v>
      </c>
    </row>
    <row r="971" spans="29:30" ht="14.5" x14ac:dyDescent="0.35">
      <c r="AC971" s="902" t="s">
        <v>3659</v>
      </c>
      <c r="AD971" s="901" t="s">
        <v>3658</v>
      </c>
    </row>
    <row r="972" spans="29:30" ht="14.5" x14ac:dyDescent="0.35">
      <c r="AC972" s="900" t="s">
        <v>3661</v>
      </c>
      <c r="AD972" s="899" t="s">
        <v>3660</v>
      </c>
    </row>
    <row r="973" spans="29:30" ht="14.5" x14ac:dyDescent="0.35">
      <c r="AC973" s="902" t="s">
        <v>3663</v>
      </c>
      <c r="AD973" s="901" t="s">
        <v>3662</v>
      </c>
    </row>
    <row r="974" spans="29:30" ht="14.5" x14ac:dyDescent="0.35">
      <c r="AC974" s="900" t="s">
        <v>3665</v>
      </c>
      <c r="AD974" s="899" t="s">
        <v>3664</v>
      </c>
    </row>
    <row r="975" spans="29:30" ht="14.5" x14ac:dyDescent="0.35">
      <c r="AC975" s="902" t="s">
        <v>3667</v>
      </c>
      <c r="AD975" s="901" t="s">
        <v>3666</v>
      </c>
    </row>
    <row r="976" spans="29:30" ht="14.5" x14ac:dyDescent="0.35">
      <c r="AC976" s="900" t="s">
        <v>3669</v>
      </c>
      <c r="AD976" s="899" t="s">
        <v>3668</v>
      </c>
    </row>
    <row r="977" spans="29:30" ht="14.5" x14ac:dyDescent="0.35">
      <c r="AC977" s="902" t="s">
        <v>3671</v>
      </c>
      <c r="AD977" s="901" t="s">
        <v>3670</v>
      </c>
    </row>
    <row r="978" spans="29:30" ht="14.5" x14ac:dyDescent="0.35">
      <c r="AC978" s="900" t="s">
        <v>3673</v>
      </c>
      <c r="AD978" s="899" t="s">
        <v>3672</v>
      </c>
    </row>
    <row r="979" spans="29:30" ht="14.5" x14ac:dyDescent="0.35">
      <c r="AC979" s="902" t="s">
        <v>3675</v>
      </c>
      <c r="AD979" s="901" t="s">
        <v>3674</v>
      </c>
    </row>
    <row r="980" spans="29:30" ht="14.5" x14ac:dyDescent="0.35">
      <c r="AC980" s="900" t="s">
        <v>3677</v>
      </c>
      <c r="AD980" s="899" t="s">
        <v>3676</v>
      </c>
    </row>
    <row r="981" spans="29:30" ht="14.5" x14ac:dyDescent="0.35">
      <c r="AC981" s="902" t="s">
        <v>3679</v>
      </c>
      <c r="AD981" s="901" t="s">
        <v>3678</v>
      </c>
    </row>
    <row r="982" spans="29:30" ht="14.5" x14ac:dyDescent="0.35">
      <c r="AC982" s="900" t="s">
        <v>3681</v>
      </c>
      <c r="AD982" s="899" t="s">
        <v>3680</v>
      </c>
    </row>
    <row r="983" spans="29:30" ht="14.5" x14ac:dyDescent="0.35">
      <c r="AC983" s="902" t="s">
        <v>3683</v>
      </c>
      <c r="AD983" s="901" t="s">
        <v>3682</v>
      </c>
    </row>
    <row r="984" spans="29:30" ht="14.5" x14ac:dyDescent="0.35">
      <c r="AC984" s="900" t="s">
        <v>3685</v>
      </c>
      <c r="AD984" s="899" t="s">
        <v>3684</v>
      </c>
    </row>
    <row r="985" spans="29:30" ht="14.5" x14ac:dyDescent="0.35">
      <c r="AC985" s="902" t="s">
        <v>3687</v>
      </c>
      <c r="AD985" s="901" t="s">
        <v>3686</v>
      </c>
    </row>
    <row r="986" spans="29:30" ht="14.5" x14ac:dyDescent="0.35">
      <c r="AC986" s="900" t="s">
        <v>3689</v>
      </c>
      <c r="AD986" s="899" t="s">
        <v>3688</v>
      </c>
    </row>
    <row r="987" spans="29:30" ht="14.5" x14ac:dyDescent="0.35">
      <c r="AC987" s="902" t="s">
        <v>3691</v>
      </c>
      <c r="AD987" s="901" t="s">
        <v>3690</v>
      </c>
    </row>
    <row r="988" spans="29:30" ht="14.5" x14ac:dyDescent="0.35">
      <c r="AC988" s="900" t="s">
        <v>3693</v>
      </c>
      <c r="AD988" s="899" t="s">
        <v>3692</v>
      </c>
    </row>
    <row r="989" spans="29:30" ht="14.5" x14ac:dyDescent="0.35">
      <c r="AC989" s="902" t="s">
        <v>3695</v>
      </c>
      <c r="AD989" s="901" t="s">
        <v>3694</v>
      </c>
    </row>
    <row r="990" spans="29:30" ht="14.5" x14ac:dyDescent="0.35">
      <c r="AC990" s="900" t="s">
        <v>3697</v>
      </c>
      <c r="AD990" s="899" t="s">
        <v>3696</v>
      </c>
    </row>
    <row r="991" spans="29:30" ht="14.5" x14ac:dyDescent="0.35">
      <c r="AC991" s="902" t="s">
        <v>3699</v>
      </c>
      <c r="AD991" s="901" t="s">
        <v>3698</v>
      </c>
    </row>
    <row r="992" spans="29:30" ht="14.5" x14ac:dyDescent="0.35">
      <c r="AC992" s="900" t="s">
        <v>3701</v>
      </c>
      <c r="AD992" s="899" t="s">
        <v>3700</v>
      </c>
    </row>
    <row r="993" spans="29:30" ht="14.5" x14ac:dyDescent="0.35">
      <c r="AC993" s="902" t="s">
        <v>3703</v>
      </c>
      <c r="AD993" s="901" t="s">
        <v>3702</v>
      </c>
    </row>
    <row r="994" spans="29:30" ht="14.5" x14ac:dyDescent="0.35">
      <c r="AC994" s="900" t="s">
        <v>3705</v>
      </c>
      <c r="AD994" s="899" t="s">
        <v>3704</v>
      </c>
    </row>
    <row r="995" spans="29:30" ht="14.5" x14ac:dyDescent="0.35">
      <c r="AC995" s="902" t="s">
        <v>3707</v>
      </c>
      <c r="AD995" s="901" t="s">
        <v>3706</v>
      </c>
    </row>
    <row r="996" spans="29:30" ht="14.5" x14ac:dyDescent="0.35">
      <c r="AC996" s="900" t="s">
        <v>3709</v>
      </c>
      <c r="AD996" s="899" t="s">
        <v>3708</v>
      </c>
    </row>
    <row r="997" spans="29:30" ht="14.5" x14ac:dyDescent="0.35">
      <c r="AC997" s="902" t="s">
        <v>3711</v>
      </c>
      <c r="AD997" s="901" t="s">
        <v>3710</v>
      </c>
    </row>
    <row r="998" spans="29:30" ht="14.5" x14ac:dyDescent="0.35">
      <c r="AC998" s="900" t="s">
        <v>3713</v>
      </c>
      <c r="AD998" s="899" t="s">
        <v>3712</v>
      </c>
    </row>
    <row r="999" spans="29:30" ht="14.5" x14ac:dyDescent="0.35">
      <c r="AC999" s="902" t="s">
        <v>3715</v>
      </c>
      <c r="AD999" s="901" t="s">
        <v>3714</v>
      </c>
    </row>
    <row r="1000" spans="29:30" ht="14.5" x14ac:dyDescent="0.35">
      <c r="AC1000" s="900" t="s">
        <v>3717</v>
      </c>
      <c r="AD1000" s="899" t="s">
        <v>3716</v>
      </c>
    </row>
    <row r="1001" spans="29:30" ht="14.5" x14ac:dyDescent="0.35">
      <c r="AC1001" s="902" t="s">
        <v>3719</v>
      </c>
      <c r="AD1001" s="901" t="s">
        <v>3718</v>
      </c>
    </row>
    <row r="1002" spans="29:30" ht="14.5" x14ac:dyDescent="0.35">
      <c r="AC1002" s="900" t="s">
        <v>3721</v>
      </c>
      <c r="AD1002" s="899" t="s">
        <v>3720</v>
      </c>
    </row>
    <row r="1003" spans="29:30" ht="14.5" x14ac:dyDescent="0.35">
      <c r="AC1003" s="902" t="s">
        <v>3723</v>
      </c>
      <c r="AD1003" s="901" t="s">
        <v>3722</v>
      </c>
    </row>
    <row r="1004" spans="29:30" ht="14.5" x14ac:dyDescent="0.35">
      <c r="AC1004" s="900" t="s">
        <v>3725</v>
      </c>
      <c r="AD1004" s="899" t="s">
        <v>3724</v>
      </c>
    </row>
    <row r="1005" spans="29:30" ht="14.5" x14ac:dyDescent="0.35">
      <c r="AC1005" s="902" t="s">
        <v>3727</v>
      </c>
      <c r="AD1005" s="901" t="s">
        <v>3726</v>
      </c>
    </row>
    <row r="1006" spans="29:30" ht="14.5" x14ac:dyDescent="0.35">
      <c r="AC1006" s="900" t="s">
        <v>3729</v>
      </c>
      <c r="AD1006" s="899" t="s">
        <v>3728</v>
      </c>
    </row>
    <row r="1007" spans="29:30" ht="14.5" x14ac:dyDescent="0.35">
      <c r="AC1007" s="902" t="s">
        <v>3731</v>
      </c>
      <c r="AD1007" s="901" t="s">
        <v>3730</v>
      </c>
    </row>
    <row r="1008" spans="29:30" ht="14.5" x14ac:dyDescent="0.35">
      <c r="AC1008" s="900" t="s">
        <v>3733</v>
      </c>
      <c r="AD1008" s="899" t="s">
        <v>3732</v>
      </c>
    </row>
    <row r="1009" spans="29:30" ht="14.5" x14ac:dyDescent="0.35">
      <c r="AC1009" s="902" t="s">
        <v>3735</v>
      </c>
      <c r="AD1009" s="901" t="s">
        <v>3734</v>
      </c>
    </row>
    <row r="1010" spans="29:30" ht="14.5" x14ac:dyDescent="0.35">
      <c r="AC1010" s="900" t="s">
        <v>3737</v>
      </c>
      <c r="AD1010" s="899" t="s">
        <v>3736</v>
      </c>
    </row>
    <row r="1011" spans="29:30" ht="14.5" x14ac:dyDescent="0.35">
      <c r="AC1011" s="902" t="s">
        <v>3739</v>
      </c>
      <c r="AD1011" s="901" t="s">
        <v>3738</v>
      </c>
    </row>
    <row r="1012" spans="29:30" ht="14.5" x14ac:dyDescent="0.35">
      <c r="AC1012" s="900" t="s">
        <v>3741</v>
      </c>
      <c r="AD1012" s="899" t="s">
        <v>3740</v>
      </c>
    </row>
    <row r="1013" spans="29:30" ht="14.5" x14ac:dyDescent="0.35">
      <c r="AC1013" s="902" t="s">
        <v>3743</v>
      </c>
      <c r="AD1013" s="901" t="s">
        <v>3742</v>
      </c>
    </row>
    <row r="1014" spans="29:30" ht="14.5" x14ac:dyDescent="0.35">
      <c r="AC1014" s="900" t="s">
        <v>3745</v>
      </c>
      <c r="AD1014" s="899" t="s">
        <v>3744</v>
      </c>
    </row>
    <row r="1015" spans="29:30" ht="14.5" x14ac:dyDescent="0.35">
      <c r="AC1015" s="902" t="s">
        <v>3747</v>
      </c>
      <c r="AD1015" s="901" t="s">
        <v>3746</v>
      </c>
    </row>
    <row r="1016" spans="29:30" ht="14.5" x14ac:dyDescent="0.35">
      <c r="AC1016" s="900" t="s">
        <v>3749</v>
      </c>
      <c r="AD1016" s="899" t="s">
        <v>3748</v>
      </c>
    </row>
    <row r="1017" spans="29:30" ht="14.5" x14ac:dyDescent="0.35">
      <c r="AC1017" s="902" t="s">
        <v>3751</v>
      </c>
      <c r="AD1017" s="901" t="s">
        <v>3750</v>
      </c>
    </row>
    <row r="1018" spans="29:30" ht="14.5" x14ac:dyDescent="0.35">
      <c r="AC1018" s="900" t="s">
        <v>3753</v>
      </c>
      <c r="AD1018" s="899" t="s">
        <v>3752</v>
      </c>
    </row>
    <row r="1019" spans="29:30" ht="14.5" x14ac:dyDescent="0.35">
      <c r="AC1019" s="902" t="s">
        <v>3755</v>
      </c>
      <c r="AD1019" s="901" t="s">
        <v>3754</v>
      </c>
    </row>
    <row r="1020" spans="29:30" ht="14.5" x14ac:dyDescent="0.35">
      <c r="AC1020" s="900" t="s">
        <v>3757</v>
      </c>
      <c r="AD1020" s="899" t="s">
        <v>3756</v>
      </c>
    </row>
    <row r="1021" spans="29:30" ht="14.5" x14ac:dyDescent="0.35">
      <c r="AC1021" s="902" t="s">
        <v>3759</v>
      </c>
      <c r="AD1021" s="901" t="s">
        <v>3758</v>
      </c>
    </row>
    <row r="1022" spans="29:30" ht="14.5" x14ac:dyDescent="0.35">
      <c r="AC1022" s="900" t="s">
        <v>3761</v>
      </c>
      <c r="AD1022" s="899" t="s">
        <v>3760</v>
      </c>
    </row>
    <row r="1023" spans="29:30" ht="14.5" x14ac:dyDescent="0.35">
      <c r="AC1023" s="902" t="s">
        <v>3763</v>
      </c>
      <c r="AD1023" s="901" t="s">
        <v>3762</v>
      </c>
    </row>
    <row r="1024" spans="29:30" ht="14.5" x14ac:dyDescent="0.35">
      <c r="AC1024" s="900" t="s">
        <v>3765</v>
      </c>
      <c r="AD1024" s="899" t="s">
        <v>3764</v>
      </c>
    </row>
    <row r="1025" spans="29:30" ht="14.5" x14ac:dyDescent="0.35">
      <c r="AC1025" s="902" t="s">
        <v>3767</v>
      </c>
      <c r="AD1025" s="901" t="s">
        <v>3766</v>
      </c>
    </row>
    <row r="1026" spans="29:30" ht="14.5" x14ac:dyDescent="0.35">
      <c r="AC1026" s="900" t="s">
        <v>3769</v>
      </c>
      <c r="AD1026" s="899" t="s">
        <v>3768</v>
      </c>
    </row>
    <row r="1027" spans="29:30" ht="14.5" x14ac:dyDescent="0.35">
      <c r="AC1027" s="902" t="s">
        <v>3771</v>
      </c>
      <c r="AD1027" s="901" t="s">
        <v>3770</v>
      </c>
    </row>
    <row r="1028" spans="29:30" ht="14.5" x14ac:dyDescent="0.35">
      <c r="AC1028" s="900" t="s">
        <v>3773</v>
      </c>
      <c r="AD1028" s="899" t="s">
        <v>3772</v>
      </c>
    </row>
    <row r="1029" spans="29:30" ht="14.5" x14ac:dyDescent="0.35">
      <c r="AC1029" s="902" t="s">
        <v>3775</v>
      </c>
      <c r="AD1029" s="901" t="s">
        <v>3774</v>
      </c>
    </row>
    <row r="1030" spans="29:30" ht="14.5" x14ac:dyDescent="0.35">
      <c r="AC1030" s="900" t="s">
        <v>3777</v>
      </c>
      <c r="AD1030" s="899" t="s">
        <v>3776</v>
      </c>
    </row>
    <row r="1031" spans="29:30" ht="14.5" x14ac:dyDescent="0.35">
      <c r="AC1031" s="902" t="s">
        <v>3779</v>
      </c>
      <c r="AD1031" s="901" t="s">
        <v>3778</v>
      </c>
    </row>
    <row r="1032" spans="29:30" ht="14.5" x14ac:dyDescent="0.35">
      <c r="AC1032" s="900" t="s">
        <v>3781</v>
      </c>
      <c r="AD1032" s="899" t="s">
        <v>3780</v>
      </c>
    </row>
    <row r="1033" spans="29:30" ht="14.5" x14ac:dyDescent="0.35">
      <c r="AC1033" s="902" t="s">
        <v>3783</v>
      </c>
      <c r="AD1033" s="901" t="s">
        <v>3782</v>
      </c>
    </row>
    <row r="1034" spans="29:30" ht="14.5" x14ac:dyDescent="0.35">
      <c r="AC1034" s="900" t="s">
        <v>3785</v>
      </c>
      <c r="AD1034" s="899" t="s">
        <v>3784</v>
      </c>
    </row>
    <row r="1035" spans="29:30" ht="14.5" x14ac:dyDescent="0.35">
      <c r="AC1035" s="902" t="s">
        <v>3787</v>
      </c>
      <c r="AD1035" s="901" t="s">
        <v>3786</v>
      </c>
    </row>
    <row r="1036" spans="29:30" ht="14.5" x14ac:dyDescent="0.35">
      <c r="AC1036" s="900" t="s">
        <v>3789</v>
      </c>
      <c r="AD1036" s="899" t="s">
        <v>3788</v>
      </c>
    </row>
    <row r="1037" spans="29:30" ht="14.5" x14ac:dyDescent="0.35">
      <c r="AC1037" s="902" t="s">
        <v>3791</v>
      </c>
      <c r="AD1037" s="901" t="s">
        <v>3790</v>
      </c>
    </row>
    <row r="1038" spans="29:30" ht="14.5" x14ac:dyDescent="0.35">
      <c r="AC1038" s="900" t="s">
        <v>3793</v>
      </c>
      <c r="AD1038" s="899" t="s">
        <v>3792</v>
      </c>
    </row>
    <row r="1039" spans="29:30" ht="14.5" x14ac:dyDescent="0.35">
      <c r="AC1039" s="902" t="s">
        <v>3795</v>
      </c>
      <c r="AD1039" s="901" t="s">
        <v>3794</v>
      </c>
    </row>
    <row r="1040" spans="29:30" ht="14.5" x14ac:dyDescent="0.35">
      <c r="AC1040" s="900" t="s">
        <v>3797</v>
      </c>
      <c r="AD1040" s="899" t="s">
        <v>3796</v>
      </c>
    </row>
    <row r="1041" spans="29:30" ht="14.5" x14ac:dyDescent="0.35">
      <c r="AC1041" s="902" t="s">
        <v>3799</v>
      </c>
      <c r="AD1041" s="901" t="s">
        <v>3798</v>
      </c>
    </row>
    <row r="1042" spans="29:30" ht="14.5" x14ac:dyDescent="0.35">
      <c r="AC1042" s="900" t="s">
        <v>3801</v>
      </c>
      <c r="AD1042" s="899" t="s">
        <v>3800</v>
      </c>
    </row>
    <row r="1043" spans="29:30" ht="14.5" x14ac:dyDescent="0.35">
      <c r="AC1043" s="902" t="s">
        <v>3803</v>
      </c>
      <c r="AD1043" s="901" t="s">
        <v>3802</v>
      </c>
    </row>
    <row r="1044" spans="29:30" ht="14.5" x14ac:dyDescent="0.35">
      <c r="AC1044" s="900" t="s">
        <v>3805</v>
      </c>
      <c r="AD1044" s="899" t="s">
        <v>3804</v>
      </c>
    </row>
    <row r="1045" spans="29:30" ht="14.5" x14ac:dyDescent="0.35">
      <c r="AC1045" s="902" t="s">
        <v>3807</v>
      </c>
      <c r="AD1045" s="901" t="s">
        <v>3806</v>
      </c>
    </row>
    <row r="1046" spans="29:30" ht="14.5" x14ac:dyDescent="0.35">
      <c r="AC1046" s="900" t="s">
        <v>3809</v>
      </c>
      <c r="AD1046" s="899" t="s">
        <v>3808</v>
      </c>
    </row>
    <row r="1047" spans="29:30" ht="14.5" x14ac:dyDescent="0.35">
      <c r="AC1047" s="902" t="s">
        <v>3811</v>
      </c>
      <c r="AD1047" s="901" t="s">
        <v>3810</v>
      </c>
    </row>
    <row r="1048" spans="29:30" ht="14.5" x14ac:dyDescent="0.35">
      <c r="AC1048" s="900" t="s">
        <v>3813</v>
      </c>
      <c r="AD1048" s="899" t="s">
        <v>3812</v>
      </c>
    </row>
    <row r="1049" spans="29:30" ht="14.5" x14ac:dyDescent="0.35">
      <c r="AC1049" s="902" t="s">
        <v>3815</v>
      </c>
      <c r="AD1049" s="901" t="s">
        <v>3814</v>
      </c>
    </row>
    <row r="1050" spans="29:30" ht="14.5" x14ac:dyDescent="0.35">
      <c r="AC1050" s="900" t="s">
        <v>3817</v>
      </c>
      <c r="AD1050" s="899" t="s">
        <v>3816</v>
      </c>
    </row>
    <row r="1051" spans="29:30" ht="14.5" x14ac:dyDescent="0.35">
      <c r="AC1051" s="902" t="s">
        <v>3819</v>
      </c>
      <c r="AD1051" s="901" t="s">
        <v>3818</v>
      </c>
    </row>
    <row r="1052" spans="29:30" ht="14.5" x14ac:dyDescent="0.35">
      <c r="AC1052" s="900" t="s">
        <v>3821</v>
      </c>
      <c r="AD1052" s="899" t="s">
        <v>3820</v>
      </c>
    </row>
    <row r="1053" spans="29:30" ht="14.5" x14ac:dyDescent="0.35">
      <c r="AC1053" s="902" t="s">
        <v>3823</v>
      </c>
      <c r="AD1053" s="901" t="s">
        <v>3822</v>
      </c>
    </row>
    <row r="1054" spans="29:30" ht="14.5" x14ac:dyDescent="0.35">
      <c r="AC1054" s="900" t="s">
        <v>3825</v>
      </c>
      <c r="AD1054" s="899" t="s">
        <v>3824</v>
      </c>
    </row>
    <row r="1055" spans="29:30" ht="14.5" x14ac:dyDescent="0.35">
      <c r="AC1055" s="902" t="s">
        <v>3827</v>
      </c>
      <c r="AD1055" s="901" t="s">
        <v>3826</v>
      </c>
    </row>
    <row r="1056" spans="29:30" ht="14.5" x14ac:dyDescent="0.35">
      <c r="AC1056" s="900" t="s">
        <v>3829</v>
      </c>
      <c r="AD1056" s="899" t="s">
        <v>3828</v>
      </c>
    </row>
    <row r="1057" spans="29:30" ht="14.5" x14ac:dyDescent="0.35">
      <c r="AC1057" s="902" t="s">
        <v>3831</v>
      </c>
      <c r="AD1057" s="901" t="s">
        <v>3830</v>
      </c>
    </row>
    <row r="1058" spans="29:30" ht="14.5" x14ac:dyDescent="0.35">
      <c r="AC1058" s="900" t="s">
        <v>3833</v>
      </c>
      <c r="AD1058" s="899" t="s">
        <v>3832</v>
      </c>
    </row>
    <row r="1059" spans="29:30" ht="14.5" x14ac:dyDescent="0.35">
      <c r="AC1059" s="902" t="s">
        <v>3835</v>
      </c>
      <c r="AD1059" s="901" t="s">
        <v>3834</v>
      </c>
    </row>
    <row r="1060" spans="29:30" ht="14.5" x14ac:dyDescent="0.35">
      <c r="AC1060" s="900" t="s">
        <v>3837</v>
      </c>
      <c r="AD1060" s="899" t="s">
        <v>3836</v>
      </c>
    </row>
    <row r="1061" spans="29:30" ht="14.5" x14ac:dyDescent="0.35">
      <c r="AC1061" s="902" t="s">
        <v>3839</v>
      </c>
      <c r="AD1061" s="901" t="s">
        <v>3838</v>
      </c>
    </row>
    <row r="1062" spans="29:30" ht="14.5" x14ac:dyDescent="0.35">
      <c r="AC1062" s="900" t="s">
        <v>3841</v>
      </c>
      <c r="AD1062" s="899" t="s">
        <v>3840</v>
      </c>
    </row>
    <row r="1063" spans="29:30" ht="14.5" x14ac:dyDescent="0.35">
      <c r="AC1063" s="902" t="s">
        <v>3843</v>
      </c>
      <c r="AD1063" s="901" t="s">
        <v>3842</v>
      </c>
    </row>
    <row r="1064" spans="29:30" ht="14.5" x14ac:dyDescent="0.35">
      <c r="AC1064" s="900" t="s">
        <v>3845</v>
      </c>
      <c r="AD1064" s="899" t="s">
        <v>3844</v>
      </c>
    </row>
    <row r="1065" spans="29:30" ht="14.5" x14ac:dyDescent="0.35">
      <c r="AC1065" s="902" t="s">
        <v>3847</v>
      </c>
      <c r="AD1065" s="901" t="s">
        <v>3846</v>
      </c>
    </row>
    <row r="1066" spans="29:30" ht="14.5" x14ac:dyDescent="0.35">
      <c r="AC1066" s="900" t="s">
        <v>3849</v>
      </c>
      <c r="AD1066" s="899" t="s">
        <v>3848</v>
      </c>
    </row>
    <row r="1067" spans="29:30" ht="14.5" x14ac:dyDescent="0.35">
      <c r="AC1067" s="902" t="s">
        <v>3851</v>
      </c>
      <c r="AD1067" s="901" t="s">
        <v>3850</v>
      </c>
    </row>
    <row r="1068" spans="29:30" ht="14.5" x14ac:dyDescent="0.35">
      <c r="AC1068" s="900" t="s">
        <v>3853</v>
      </c>
      <c r="AD1068" s="899" t="s">
        <v>3852</v>
      </c>
    </row>
    <row r="1069" spans="29:30" ht="14.5" x14ac:dyDescent="0.35">
      <c r="AC1069" s="902" t="s">
        <v>3855</v>
      </c>
      <c r="AD1069" s="901" t="s">
        <v>3854</v>
      </c>
    </row>
    <row r="1070" spans="29:30" ht="14.5" x14ac:dyDescent="0.35">
      <c r="AC1070" s="900" t="s">
        <v>3857</v>
      </c>
      <c r="AD1070" s="899" t="s">
        <v>3856</v>
      </c>
    </row>
    <row r="1071" spans="29:30" ht="14.5" x14ac:dyDescent="0.35">
      <c r="AC1071" s="902" t="s">
        <v>3859</v>
      </c>
      <c r="AD1071" s="901" t="s">
        <v>3858</v>
      </c>
    </row>
    <row r="1072" spans="29:30" ht="14.5" x14ac:dyDescent="0.35">
      <c r="AC1072" s="900" t="s">
        <v>3861</v>
      </c>
      <c r="AD1072" s="899" t="s">
        <v>3860</v>
      </c>
    </row>
    <row r="1073" spans="29:30" ht="14.5" x14ac:dyDescent="0.35">
      <c r="AC1073" s="902" t="s">
        <v>3863</v>
      </c>
      <c r="AD1073" s="901" t="s">
        <v>3862</v>
      </c>
    </row>
    <row r="1074" spans="29:30" ht="14.5" x14ac:dyDescent="0.35">
      <c r="AC1074" s="900" t="s">
        <v>3865</v>
      </c>
      <c r="AD1074" s="899" t="s">
        <v>3864</v>
      </c>
    </row>
    <row r="1075" spans="29:30" ht="14.5" x14ac:dyDescent="0.35">
      <c r="AC1075" s="902" t="s">
        <v>3867</v>
      </c>
      <c r="AD1075" s="901" t="s">
        <v>3866</v>
      </c>
    </row>
    <row r="1076" spans="29:30" ht="14.5" x14ac:dyDescent="0.35">
      <c r="AC1076" s="900" t="s">
        <v>3869</v>
      </c>
      <c r="AD1076" s="899" t="s">
        <v>3868</v>
      </c>
    </row>
    <row r="1077" spans="29:30" ht="14.5" x14ac:dyDescent="0.35">
      <c r="AC1077" s="902" t="s">
        <v>3871</v>
      </c>
      <c r="AD1077" s="901" t="s">
        <v>3870</v>
      </c>
    </row>
    <row r="1078" spans="29:30" ht="14.5" x14ac:dyDescent="0.35">
      <c r="AC1078" s="900" t="s">
        <v>3873</v>
      </c>
      <c r="AD1078" s="899" t="s">
        <v>3872</v>
      </c>
    </row>
    <row r="1079" spans="29:30" ht="14.5" x14ac:dyDescent="0.35">
      <c r="AC1079" s="902" t="s">
        <v>3875</v>
      </c>
      <c r="AD1079" s="901" t="s">
        <v>3874</v>
      </c>
    </row>
    <row r="1080" spans="29:30" ht="14.5" x14ac:dyDescent="0.35">
      <c r="AC1080" s="900" t="s">
        <v>3877</v>
      </c>
      <c r="AD1080" s="899" t="s">
        <v>3876</v>
      </c>
    </row>
    <row r="1081" spans="29:30" ht="14.5" x14ac:dyDescent="0.35">
      <c r="AC1081" s="902" t="s">
        <v>3879</v>
      </c>
      <c r="AD1081" s="901" t="s">
        <v>3878</v>
      </c>
    </row>
    <row r="1082" spans="29:30" ht="14.5" x14ac:dyDescent="0.35">
      <c r="AC1082" s="900" t="s">
        <v>3881</v>
      </c>
      <c r="AD1082" s="899" t="s">
        <v>3880</v>
      </c>
    </row>
    <row r="1083" spans="29:30" ht="14.5" x14ac:dyDescent="0.35">
      <c r="AC1083" s="902" t="s">
        <v>3883</v>
      </c>
      <c r="AD1083" s="901" t="s">
        <v>3882</v>
      </c>
    </row>
    <row r="1084" spans="29:30" ht="14.5" x14ac:dyDescent="0.35">
      <c r="AC1084" s="900" t="s">
        <v>3885</v>
      </c>
      <c r="AD1084" s="899" t="s">
        <v>3884</v>
      </c>
    </row>
    <row r="1085" spans="29:30" ht="14.5" x14ac:dyDescent="0.35">
      <c r="AC1085" s="902" t="s">
        <v>3887</v>
      </c>
      <c r="AD1085" s="901" t="s">
        <v>3886</v>
      </c>
    </row>
    <row r="1086" spans="29:30" ht="14.5" x14ac:dyDescent="0.35">
      <c r="AC1086" s="900" t="s">
        <v>3889</v>
      </c>
      <c r="AD1086" s="899" t="s">
        <v>3888</v>
      </c>
    </row>
    <row r="1087" spans="29:30" ht="14.5" x14ac:dyDescent="0.35">
      <c r="AC1087" s="902" t="s">
        <v>3891</v>
      </c>
      <c r="AD1087" s="901" t="s">
        <v>3890</v>
      </c>
    </row>
    <row r="1088" spans="29:30" ht="14.5" x14ac:dyDescent="0.35">
      <c r="AC1088" s="900" t="s">
        <v>3893</v>
      </c>
      <c r="AD1088" s="899" t="s">
        <v>3892</v>
      </c>
    </row>
    <row r="1089" spans="29:30" ht="14.5" x14ac:dyDescent="0.35">
      <c r="AC1089" s="902" t="s">
        <v>3895</v>
      </c>
      <c r="AD1089" s="901" t="s">
        <v>3894</v>
      </c>
    </row>
    <row r="1090" spans="29:30" ht="14.5" x14ac:dyDescent="0.35">
      <c r="AC1090" s="900" t="s">
        <v>3897</v>
      </c>
      <c r="AD1090" s="899" t="s">
        <v>3896</v>
      </c>
    </row>
    <row r="1091" spans="29:30" ht="14.5" x14ac:dyDescent="0.35">
      <c r="AC1091" s="902" t="s">
        <v>3899</v>
      </c>
      <c r="AD1091" s="901" t="s">
        <v>3898</v>
      </c>
    </row>
    <row r="1092" spans="29:30" ht="14.5" x14ac:dyDescent="0.35">
      <c r="AC1092" s="900" t="s">
        <v>3901</v>
      </c>
      <c r="AD1092" s="899" t="s">
        <v>3900</v>
      </c>
    </row>
    <row r="1093" spans="29:30" ht="14.5" x14ac:dyDescent="0.35">
      <c r="AC1093" s="902" t="s">
        <v>3903</v>
      </c>
      <c r="AD1093" s="901" t="s">
        <v>3902</v>
      </c>
    </row>
    <row r="1094" spans="29:30" ht="14.5" x14ac:dyDescent="0.35">
      <c r="AC1094" s="900" t="s">
        <v>3905</v>
      </c>
      <c r="AD1094" s="899" t="s">
        <v>3904</v>
      </c>
    </row>
    <row r="1095" spans="29:30" ht="14.5" x14ac:dyDescent="0.35">
      <c r="AC1095" s="902" t="s">
        <v>3907</v>
      </c>
      <c r="AD1095" s="901" t="s">
        <v>3906</v>
      </c>
    </row>
    <row r="1096" spans="29:30" ht="14.5" x14ac:dyDescent="0.35">
      <c r="AC1096" s="900" t="s">
        <v>3909</v>
      </c>
      <c r="AD1096" s="899" t="s">
        <v>3908</v>
      </c>
    </row>
    <row r="1097" spans="29:30" ht="14.5" x14ac:dyDescent="0.35">
      <c r="AC1097" s="902" t="s">
        <v>3911</v>
      </c>
      <c r="AD1097" s="901" t="s">
        <v>3910</v>
      </c>
    </row>
    <row r="1098" spans="29:30" ht="14.5" x14ac:dyDescent="0.35">
      <c r="AC1098" s="900" t="s">
        <v>3913</v>
      </c>
      <c r="AD1098" s="899" t="s">
        <v>3912</v>
      </c>
    </row>
    <row r="1099" spans="29:30" ht="14.5" x14ac:dyDescent="0.35">
      <c r="AC1099" s="902" t="s">
        <v>3915</v>
      </c>
      <c r="AD1099" s="901" t="s">
        <v>3914</v>
      </c>
    </row>
    <row r="1100" spans="29:30" ht="14.5" x14ac:dyDescent="0.35">
      <c r="AC1100" s="900" t="s">
        <v>3917</v>
      </c>
      <c r="AD1100" s="899" t="s">
        <v>3916</v>
      </c>
    </row>
    <row r="1101" spans="29:30" ht="14.5" x14ac:dyDescent="0.35">
      <c r="AC1101" s="902" t="s">
        <v>3919</v>
      </c>
      <c r="AD1101" s="901" t="s">
        <v>3918</v>
      </c>
    </row>
    <row r="1102" spans="29:30" ht="14.5" x14ac:dyDescent="0.35">
      <c r="AC1102" s="900" t="s">
        <v>3921</v>
      </c>
      <c r="AD1102" s="899" t="s">
        <v>3920</v>
      </c>
    </row>
    <row r="1103" spans="29:30" ht="14.5" x14ac:dyDescent="0.35">
      <c r="AC1103" s="902" t="s">
        <v>3923</v>
      </c>
      <c r="AD1103" s="901" t="s">
        <v>3922</v>
      </c>
    </row>
    <row r="1104" spans="29:30" ht="14.5" x14ac:dyDescent="0.35">
      <c r="AC1104" s="900" t="s">
        <v>3925</v>
      </c>
      <c r="AD1104" s="899" t="s">
        <v>3924</v>
      </c>
    </row>
    <row r="1105" spans="29:30" ht="14.5" x14ac:dyDescent="0.35">
      <c r="AC1105" s="902" t="s">
        <v>3927</v>
      </c>
      <c r="AD1105" s="901" t="s">
        <v>3926</v>
      </c>
    </row>
    <row r="1106" spans="29:30" ht="14.5" x14ac:dyDescent="0.35">
      <c r="AC1106" s="900" t="s">
        <v>3929</v>
      </c>
      <c r="AD1106" s="899" t="s">
        <v>3928</v>
      </c>
    </row>
    <row r="1107" spans="29:30" ht="14.5" x14ac:dyDescent="0.35">
      <c r="AC1107" s="902" t="s">
        <v>3931</v>
      </c>
      <c r="AD1107" s="901" t="s">
        <v>3930</v>
      </c>
    </row>
    <row r="1108" spans="29:30" ht="14.5" x14ac:dyDescent="0.35">
      <c r="AC1108" s="900" t="s">
        <v>3933</v>
      </c>
      <c r="AD1108" s="899" t="s">
        <v>3932</v>
      </c>
    </row>
    <row r="1109" spans="29:30" ht="14.5" x14ac:dyDescent="0.35">
      <c r="AC1109" s="902" t="s">
        <v>3935</v>
      </c>
      <c r="AD1109" s="901" t="s">
        <v>3934</v>
      </c>
    </row>
    <row r="1110" spans="29:30" ht="14.5" x14ac:dyDescent="0.35">
      <c r="AC1110" s="900" t="s">
        <v>3937</v>
      </c>
      <c r="AD1110" s="899" t="s">
        <v>3936</v>
      </c>
    </row>
    <row r="1111" spans="29:30" ht="14.5" x14ac:dyDescent="0.35">
      <c r="AC1111" s="902" t="s">
        <v>3939</v>
      </c>
      <c r="AD1111" s="901" t="s">
        <v>3938</v>
      </c>
    </row>
    <row r="1112" spans="29:30" ht="14.5" x14ac:dyDescent="0.35">
      <c r="AC1112" s="900" t="s">
        <v>3941</v>
      </c>
      <c r="AD1112" s="899" t="s">
        <v>3940</v>
      </c>
    </row>
    <row r="1113" spans="29:30" ht="14.5" x14ac:dyDescent="0.35">
      <c r="AC1113" s="902" t="s">
        <v>3943</v>
      </c>
      <c r="AD1113" s="901" t="s">
        <v>3942</v>
      </c>
    </row>
    <row r="1114" spans="29:30" ht="14.5" x14ac:dyDescent="0.35">
      <c r="AC1114" s="900" t="s">
        <v>3945</v>
      </c>
      <c r="AD1114" s="899" t="s">
        <v>3944</v>
      </c>
    </row>
    <row r="1115" spans="29:30" ht="14.5" x14ac:dyDescent="0.35">
      <c r="AC1115" s="902" t="s">
        <v>3947</v>
      </c>
      <c r="AD1115" s="901" t="s">
        <v>3946</v>
      </c>
    </row>
    <row r="1116" spans="29:30" ht="14.5" x14ac:dyDescent="0.35">
      <c r="AC1116" s="900" t="s">
        <v>3949</v>
      </c>
      <c r="AD1116" s="899" t="s">
        <v>3948</v>
      </c>
    </row>
    <row r="1117" spans="29:30" ht="14.5" x14ac:dyDescent="0.35">
      <c r="AC1117" s="902" t="s">
        <v>3951</v>
      </c>
      <c r="AD1117" s="901" t="s">
        <v>3950</v>
      </c>
    </row>
    <row r="1118" spans="29:30" ht="14.5" x14ac:dyDescent="0.35">
      <c r="AC1118" s="900" t="s">
        <v>3953</v>
      </c>
      <c r="AD1118" s="899" t="s">
        <v>3952</v>
      </c>
    </row>
    <row r="1119" spans="29:30" ht="14.5" x14ac:dyDescent="0.35">
      <c r="AC1119" s="902" t="s">
        <v>3955</v>
      </c>
      <c r="AD1119" s="901" t="s">
        <v>3954</v>
      </c>
    </row>
    <row r="1120" spans="29:30" ht="14.5" x14ac:dyDescent="0.35">
      <c r="AC1120" s="900" t="s">
        <v>3957</v>
      </c>
      <c r="AD1120" s="899" t="s">
        <v>3956</v>
      </c>
    </row>
    <row r="1121" spans="29:30" ht="14.5" x14ac:dyDescent="0.35">
      <c r="AC1121" s="902" t="s">
        <v>3959</v>
      </c>
      <c r="AD1121" s="901" t="s">
        <v>3958</v>
      </c>
    </row>
    <row r="1122" spans="29:30" ht="14.5" x14ac:dyDescent="0.35">
      <c r="AC1122" s="900" t="s">
        <v>3961</v>
      </c>
      <c r="AD1122" s="899" t="s">
        <v>3960</v>
      </c>
    </row>
    <row r="1123" spans="29:30" ht="14.5" x14ac:dyDescent="0.35">
      <c r="AC1123" s="902" t="s">
        <v>3963</v>
      </c>
      <c r="AD1123" s="901" t="s">
        <v>3962</v>
      </c>
    </row>
    <row r="1124" spans="29:30" ht="14.5" x14ac:dyDescent="0.35">
      <c r="AC1124" s="900" t="s">
        <v>3965</v>
      </c>
      <c r="AD1124" s="899" t="s">
        <v>3964</v>
      </c>
    </row>
    <row r="1125" spans="29:30" ht="14.5" x14ac:dyDescent="0.35">
      <c r="AC1125" s="902" t="s">
        <v>3967</v>
      </c>
      <c r="AD1125" s="901" t="s">
        <v>3966</v>
      </c>
    </row>
    <row r="1126" spans="29:30" ht="14.5" x14ac:dyDescent="0.35">
      <c r="AC1126" s="900" t="s">
        <v>3969</v>
      </c>
      <c r="AD1126" s="899" t="s">
        <v>3968</v>
      </c>
    </row>
    <row r="1127" spans="29:30" ht="14.5" x14ac:dyDescent="0.35">
      <c r="AC1127" s="902" t="s">
        <v>3971</v>
      </c>
      <c r="AD1127" s="901" t="s">
        <v>3970</v>
      </c>
    </row>
    <row r="1128" spans="29:30" ht="14.5" x14ac:dyDescent="0.35">
      <c r="AC1128" s="900" t="s">
        <v>3973</v>
      </c>
      <c r="AD1128" s="899" t="s">
        <v>3972</v>
      </c>
    </row>
    <row r="1129" spans="29:30" ht="14.5" x14ac:dyDescent="0.35">
      <c r="AC1129" s="902" t="s">
        <v>3975</v>
      </c>
      <c r="AD1129" s="901" t="s">
        <v>3974</v>
      </c>
    </row>
    <row r="1130" spans="29:30" ht="14.5" x14ac:dyDescent="0.35">
      <c r="AC1130" s="900" t="s">
        <v>3977</v>
      </c>
      <c r="AD1130" s="899" t="s">
        <v>3976</v>
      </c>
    </row>
    <row r="1131" spans="29:30" ht="14.5" x14ac:dyDescent="0.35">
      <c r="AC1131" s="902" t="s">
        <v>3979</v>
      </c>
      <c r="AD1131" s="901" t="s">
        <v>3978</v>
      </c>
    </row>
    <row r="1132" spans="29:30" ht="14.5" x14ac:dyDescent="0.35">
      <c r="AC1132" s="900" t="s">
        <v>3981</v>
      </c>
      <c r="AD1132" s="899" t="s">
        <v>3980</v>
      </c>
    </row>
    <row r="1133" spans="29:30" ht="14.5" x14ac:dyDescent="0.35">
      <c r="AC1133" s="902" t="s">
        <v>3983</v>
      </c>
      <c r="AD1133" s="901" t="s">
        <v>3982</v>
      </c>
    </row>
    <row r="1134" spans="29:30" ht="14.5" x14ac:dyDescent="0.35">
      <c r="AC1134" s="900" t="s">
        <v>3985</v>
      </c>
      <c r="AD1134" s="899" t="s">
        <v>3984</v>
      </c>
    </row>
    <row r="1135" spans="29:30" ht="14.5" x14ac:dyDescent="0.35">
      <c r="AC1135" s="902" t="s">
        <v>3987</v>
      </c>
      <c r="AD1135" s="901" t="s">
        <v>3986</v>
      </c>
    </row>
    <row r="1136" spans="29:30" ht="14.5" x14ac:dyDescent="0.35">
      <c r="AC1136" s="900" t="s">
        <v>3989</v>
      </c>
      <c r="AD1136" s="899" t="s">
        <v>3988</v>
      </c>
    </row>
    <row r="1137" spans="29:30" ht="14.5" x14ac:dyDescent="0.35">
      <c r="AC1137" s="902" t="s">
        <v>3991</v>
      </c>
      <c r="AD1137" s="901" t="s">
        <v>3990</v>
      </c>
    </row>
    <row r="1138" spans="29:30" ht="14.5" x14ac:dyDescent="0.35">
      <c r="AC1138" s="900" t="s">
        <v>3993</v>
      </c>
      <c r="AD1138" s="899" t="s">
        <v>3992</v>
      </c>
    </row>
    <row r="1139" spans="29:30" ht="14.5" x14ac:dyDescent="0.35">
      <c r="AC1139" s="902" t="s">
        <v>3995</v>
      </c>
      <c r="AD1139" s="901" t="s">
        <v>3994</v>
      </c>
    </row>
    <row r="1140" spans="29:30" ht="14.5" x14ac:dyDescent="0.35">
      <c r="AC1140" s="900" t="s">
        <v>3997</v>
      </c>
      <c r="AD1140" s="899" t="s">
        <v>3996</v>
      </c>
    </row>
    <row r="1141" spans="29:30" ht="14.5" x14ac:dyDescent="0.35">
      <c r="AC1141" s="902" t="s">
        <v>3999</v>
      </c>
      <c r="AD1141" s="901" t="s">
        <v>3998</v>
      </c>
    </row>
    <row r="1142" spans="29:30" ht="14.5" x14ac:dyDescent="0.35">
      <c r="AC1142" s="900" t="s">
        <v>4001</v>
      </c>
      <c r="AD1142" s="899" t="s">
        <v>4000</v>
      </c>
    </row>
    <row r="1143" spans="29:30" ht="14.5" x14ac:dyDescent="0.35">
      <c r="AC1143" s="902" t="s">
        <v>4003</v>
      </c>
      <c r="AD1143" s="901" t="s">
        <v>4002</v>
      </c>
    </row>
    <row r="1144" spans="29:30" ht="14.5" x14ac:dyDescent="0.35">
      <c r="AC1144" s="900" t="s">
        <v>4005</v>
      </c>
      <c r="AD1144" s="899" t="s">
        <v>4004</v>
      </c>
    </row>
    <row r="1145" spans="29:30" ht="14.5" x14ac:dyDescent="0.35">
      <c r="AC1145" s="902" t="s">
        <v>4007</v>
      </c>
      <c r="AD1145" s="901" t="s">
        <v>4006</v>
      </c>
    </row>
    <row r="1146" spans="29:30" ht="14.5" x14ac:dyDescent="0.35">
      <c r="AC1146" s="900" t="s">
        <v>4009</v>
      </c>
      <c r="AD1146" s="899" t="s">
        <v>4008</v>
      </c>
    </row>
    <row r="1147" spans="29:30" ht="14.5" x14ac:dyDescent="0.35">
      <c r="AC1147" s="902" t="s">
        <v>4011</v>
      </c>
      <c r="AD1147" s="901" t="s">
        <v>4010</v>
      </c>
    </row>
    <row r="1148" spans="29:30" ht="14.5" x14ac:dyDescent="0.35">
      <c r="AC1148" s="900" t="s">
        <v>4013</v>
      </c>
      <c r="AD1148" s="899" t="s">
        <v>4012</v>
      </c>
    </row>
    <row r="1149" spans="29:30" ht="14.5" x14ac:dyDescent="0.35">
      <c r="AC1149" s="902" t="s">
        <v>4015</v>
      </c>
      <c r="AD1149" s="901" t="s">
        <v>4014</v>
      </c>
    </row>
    <row r="1150" spans="29:30" ht="14.5" x14ac:dyDescent="0.35">
      <c r="AC1150" s="900" t="s">
        <v>4017</v>
      </c>
      <c r="AD1150" s="899" t="s">
        <v>4016</v>
      </c>
    </row>
    <row r="1151" spans="29:30" ht="14.5" x14ac:dyDescent="0.35">
      <c r="AC1151" s="902" t="s">
        <v>4019</v>
      </c>
      <c r="AD1151" s="901" t="s">
        <v>4018</v>
      </c>
    </row>
    <row r="1152" spans="29:30" ht="14.5" x14ac:dyDescent="0.35">
      <c r="AC1152" s="900" t="s">
        <v>4021</v>
      </c>
      <c r="AD1152" s="899" t="s">
        <v>4020</v>
      </c>
    </row>
    <row r="1153" spans="29:30" ht="14.5" x14ac:dyDescent="0.35">
      <c r="AC1153" s="902" t="s">
        <v>4023</v>
      </c>
      <c r="AD1153" s="901" t="s">
        <v>4022</v>
      </c>
    </row>
    <row r="1154" spans="29:30" ht="14.5" x14ac:dyDescent="0.35">
      <c r="AC1154" s="900" t="s">
        <v>4025</v>
      </c>
      <c r="AD1154" s="899" t="s">
        <v>4024</v>
      </c>
    </row>
    <row r="1155" spans="29:30" ht="14.5" x14ac:dyDescent="0.35">
      <c r="AC1155" s="902" t="s">
        <v>4027</v>
      </c>
      <c r="AD1155" s="901" t="s">
        <v>4026</v>
      </c>
    </row>
    <row r="1156" spans="29:30" ht="14.5" x14ac:dyDescent="0.35">
      <c r="AC1156" s="900" t="s">
        <v>4029</v>
      </c>
      <c r="AD1156" s="899" t="s">
        <v>4028</v>
      </c>
    </row>
    <row r="1157" spans="29:30" ht="14.5" x14ac:dyDescent="0.35">
      <c r="AC1157" s="902" t="s">
        <v>4031</v>
      </c>
      <c r="AD1157" s="901" t="s">
        <v>4030</v>
      </c>
    </row>
    <row r="1158" spans="29:30" ht="14.5" x14ac:dyDescent="0.35">
      <c r="AC1158" s="900" t="s">
        <v>4033</v>
      </c>
      <c r="AD1158" s="899" t="s">
        <v>4032</v>
      </c>
    </row>
    <row r="1159" spans="29:30" ht="14.5" x14ac:dyDescent="0.35">
      <c r="AC1159" s="902" t="s">
        <v>4035</v>
      </c>
      <c r="AD1159" s="901" t="s">
        <v>4034</v>
      </c>
    </row>
    <row r="1160" spans="29:30" ht="14.5" x14ac:dyDescent="0.35">
      <c r="AC1160" s="900" t="s">
        <v>4037</v>
      </c>
      <c r="AD1160" s="899" t="s">
        <v>4036</v>
      </c>
    </row>
    <row r="1161" spans="29:30" ht="14.5" x14ac:dyDescent="0.35">
      <c r="AC1161" s="902" t="s">
        <v>4039</v>
      </c>
      <c r="AD1161" s="901" t="s">
        <v>4038</v>
      </c>
    </row>
    <row r="1162" spans="29:30" ht="14.5" x14ac:dyDescent="0.35">
      <c r="AC1162" s="900" t="s">
        <v>4041</v>
      </c>
      <c r="AD1162" s="899" t="s">
        <v>4040</v>
      </c>
    </row>
    <row r="1163" spans="29:30" ht="14.5" x14ac:dyDescent="0.35">
      <c r="AC1163" s="902" t="s">
        <v>4043</v>
      </c>
      <c r="AD1163" s="901" t="s">
        <v>4042</v>
      </c>
    </row>
    <row r="1164" spans="29:30" ht="14.5" x14ac:dyDescent="0.35">
      <c r="AC1164" s="900" t="s">
        <v>4045</v>
      </c>
      <c r="AD1164" s="899" t="s">
        <v>4044</v>
      </c>
    </row>
    <row r="1165" spans="29:30" ht="14.5" x14ac:dyDescent="0.35">
      <c r="AC1165" s="902" t="s">
        <v>4047</v>
      </c>
      <c r="AD1165" s="901" t="s">
        <v>4046</v>
      </c>
    </row>
    <row r="1166" spans="29:30" ht="14.5" x14ac:dyDescent="0.35">
      <c r="AC1166" s="900" t="s">
        <v>4049</v>
      </c>
      <c r="AD1166" s="899" t="s">
        <v>4048</v>
      </c>
    </row>
    <row r="1167" spans="29:30" ht="14.5" x14ac:dyDescent="0.35">
      <c r="AC1167" s="902" t="s">
        <v>4051</v>
      </c>
      <c r="AD1167" s="901" t="s">
        <v>4050</v>
      </c>
    </row>
    <row r="1168" spans="29:30" ht="14.5" x14ac:dyDescent="0.35">
      <c r="AC1168" s="900" t="s">
        <v>4053</v>
      </c>
      <c r="AD1168" s="899" t="s">
        <v>4052</v>
      </c>
    </row>
    <row r="1169" spans="29:30" ht="14.5" x14ac:dyDescent="0.35">
      <c r="AC1169" s="902" t="s">
        <v>4055</v>
      </c>
      <c r="AD1169" s="901" t="s">
        <v>4054</v>
      </c>
    </row>
    <row r="1170" spans="29:30" ht="14.5" x14ac:dyDescent="0.35">
      <c r="AC1170" s="900" t="s">
        <v>4057</v>
      </c>
      <c r="AD1170" s="899" t="s">
        <v>4056</v>
      </c>
    </row>
    <row r="1171" spans="29:30" ht="14.5" x14ac:dyDescent="0.35">
      <c r="AC1171" s="902" t="s">
        <v>4059</v>
      </c>
      <c r="AD1171" s="901" t="s">
        <v>4058</v>
      </c>
    </row>
    <row r="1172" spans="29:30" ht="14.5" x14ac:dyDescent="0.35">
      <c r="AC1172" s="900" t="s">
        <v>4061</v>
      </c>
      <c r="AD1172" s="899" t="s">
        <v>4060</v>
      </c>
    </row>
    <row r="1173" spans="29:30" ht="14.5" x14ac:dyDescent="0.35">
      <c r="AC1173" s="902" t="s">
        <v>4063</v>
      </c>
      <c r="AD1173" s="901" t="s">
        <v>4062</v>
      </c>
    </row>
    <row r="1174" spans="29:30" ht="14.5" x14ac:dyDescent="0.35">
      <c r="AC1174" s="900" t="s">
        <v>4065</v>
      </c>
      <c r="AD1174" s="899" t="s">
        <v>4064</v>
      </c>
    </row>
    <row r="1175" spans="29:30" ht="14.5" x14ac:dyDescent="0.35">
      <c r="AC1175" s="902" t="s">
        <v>4067</v>
      </c>
      <c r="AD1175" s="901" t="s">
        <v>4066</v>
      </c>
    </row>
    <row r="1176" spans="29:30" ht="14.5" x14ac:dyDescent="0.35">
      <c r="AC1176" s="900" t="s">
        <v>4069</v>
      </c>
      <c r="AD1176" s="899" t="s">
        <v>4068</v>
      </c>
    </row>
    <row r="1177" spans="29:30" ht="14.5" x14ac:dyDescent="0.35">
      <c r="AC1177" s="902" t="s">
        <v>4071</v>
      </c>
      <c r="AD1177" s="901" t="s">
        <v>4070</v>
      </c>
    </row>
    <row r="1178" spans="29:30" ht="14.5" x14ac:dyDescent="0.35">
      <c r="AC1178" s="900" t="s">
        <v>4073</v>
      </c>
      <c r="AD1178" s="899" t="s">
        <v>4072</v>
      </c>
    </row>
    <row r="1179" spans="29:30" ht="14.5" x14ac:dyDescent="0.35">
      <c r="AC1179" s="902" t="s">
        <v>4075</v>
      </c>
      <c r="AD1179" s="901" t="s">
        <v>4074</v>
      </c>
    </row>
    <row r="1180" spans="29:30" ht="14.5" x14ac:dyDescent="0.35">
      <c r="AC1180" s="900" t="s">
        <v>4077</v>
      </c>
      <c r="AD1180" s="899" t="s">
        <v>4076</v>
      </c>
    </row>
    <row r="1181" spans="29:30" ht="14.5" x14ac:dyDescent="0.35">
      <c r="AC1181" s="902" t="s">
        <v>4079</v>
      </c>
      <c r="AD1181" s="901" t="s">
        <v>4078</v>
      </c>
    </row>
    <row r="1182" spans="29:30" ht="14.5" x14ac:dyDescent="0.35">
      <c r="AC1182" s="900" t="s">
        <v>4081</v>
      </c>
      <c r="AD1182" s="899" t="s">
        <v>4080</v>
      </c>
    </row>
    <row r="1183" spans="29:30" ht="14.5" x14ac:dyDescent="0.35">
      <c r="AC1183" s="902" t="s">
        <v>4083</v>
      </c>
      <c r="AD1183" s="901" t="s">
        <v>4082</v>
      </c>
    </row>
    <row r="1184" spans="29:30" ht="14.5" x14ac:dyDescent="0.35">
      <c r="AC1184" s="900" t="s">
        <v>4085</v>
      </c>
      <c r="AD1184" s="899" t="s">
        <v>4084</v>
      </c>
    </row>
    <row r="1185" spans="29:30" ht="14.5" x14ac:dyDescent="0.35">
      <c r="AC1185" s="902" t="s">
        <v>4087</v>
      </c>
      <c r="AD1185" s="901" t="s">
        <v>4086</v>
      </c>
    </row>
    <row r="1186" spans="29:30" ht="14.5" x14ac:dyDescent="0.35">
      <c r="AC1186" s="900" t="s">
        <v>4089</v>
      </c>
      <c r="AD1186" s="899" t="s">
        <v>4088</v>
      </c>
    </row>
    <row r="1187" spans="29:30" ht="14.5" x14ac:dyDescent="0.35">
      <c r="AC1187" s="902" t="s">
        <v>4091</v>
      </c>
      <c r="AD1187" s="901" t="s">
        <v>4090</v>
      </c>
    </row>
    <row r="1188" spans="29:30" ht="14.5" x14ac:dyDescent="0.35">
      <c r="AC1188" s="900" t="s">
        <v>4093</v>
      </c>
      <c r="AD1188" s="899" t="s">
        <v>4092</v>
      </c>
    </row>
    <row r="1189" spans="29:30" ht="14.5" x14ac:dyDescent="0.35">
      <c r="AC1189" s="902" t="s">
        <v>4095</v>
      </c>
      <c r="AD1189" s="901" t="s">
        <v>4094</v>
      </c>
    </row>
    <row r="1190" spans="29:30" ht="14.5" x14ac:dyDescent="0.35">
      <c r="AC1190" s="900" t="s">
        <v>4097</v>
      </c>
      <c r="AD1190" s="899" t="s">
        <v>4096</v>
      </c>
    </row>
    <row r="1191" spans="29:30" ht="14.5" x14ac:dyDescent="0.35">
      <c r="AC1191" s="902" t="s">
        <v>4099</v>
      </c>
      <c r="AD1191" s="901" t="s">
        <v>4098</v>
      </c>
    </row>
    <row r="1192" spans="29:30" ht="14.5" x14ac:dyDescent="0.35">
      <c r="AC1192" s="900" t="s">
        <v>4101</v>
      </c>
      <c r="AD1192" s="899" t="s">
        <v>4100</v>
      </c>
    </row>
    <row r="1193" spans="29:30" ht="14.5" x14ac:dyDescent="0.35">
      <c r="AC1193" s="902" t="s">
        <v>4103</v>
      </c>
      <c r="AD1193" s="901" t="s">
        <v>4102</v>
      </c>
    </row>
    <row r="1194" spans="29:30" ht="14.5" x14ac:dyDescent="0.35">
      <c r="AC1194" s="900" t="s">
        <v>4105</v>
      </c>
      <c r="AD1194" s="899" t="s">
        <v>4104</v>
      </c>
    </row>
    <row r="1195" spans="29:30" ht="14.5" x14ac:dyDescent="0.35">
      <c r="AC1195" s="902" t="s">
        <v>4107</v>
      </c>
      <c r="AD1195" s="901" t="s">
        <v>4106</v>
      </c>
    </row>
    <row r="1196" spans="29:30" ht="14.5" x14ac:dyDescent="0.35">
      <c r="AC1196" s="900" t="s">
        <v>4109</v>
      </c>
      <c r="AD1196" s="899" t="s">
        <v>4108</v>
      </c>
    </row>
    <row r="1197" spans="29:30" ht="14.5" x14ac:dyDescent="0.35">
      <c r="AC1197" s="902" t="s">
        <v>4111</v>
      </c>
      <c r="AD1197" s="901" t="s">
        <v>4110</v>
      </c>
    </row>
    <row r="1198" spans="29:30" ht="14.5" x14ac:dyDescent="0.35">
      <c r="AC1198" s="900" t="s">
        <v>4113</v>
      </c>
      <c r="AD1198" s="899" t="s">
        <v>4112</v>
      </c>
    </row>
    <row r="1199" spans="29:30" ht="14.5" x14ac:dyDescent="0.35">
      <c r="AC1199" s="902" t="s">
        <v>4115</v>
      </c>
      <c r="AD1199" s="901" t="s">
        <v>4114</v>
      </c>
    </row>
    <row r="1200" spans="29:30" ht="14.5" x14ac:dyDescent="0.35">
      <c r="AC1200" s="900" t="s">
        <v>4117</v>
      </c>
      <c r="AD1200" s="899" t="s">
        <v>4116</v>
      </c>
    </row>
    <row r="1201" spans="29:30" ht="14.5" x14ac:dyDescent="0.35">
      <c r="AC1201" s="902" t="s">
        <v>4119</v>
      </c>
      <c r="AD1201" s="901" t="s">
        <v>4118</v>
      </c>
    </row>
    <row r="1202" spans="29:30" ht="14.5" x14ac:dyDescent="0.35">
      <c r="AC1202" s="900" t="s">
        <v>4121</v>
      </c>
      <c r="AD1202" s="899" t="s">
        <v>4120</v>
      </c>
    </row>
    <row r="1203" spans="29:30" ht="14.5" x14ac:dyDescent="0.35">
      <c r="AC1203" s="902" t="s">
        <v>4123</v>
      </c>
      <c r="AD1203" s="901" t="s">
        <v>4122</v>
      </c>
    </row>
    <row r="1204" spans="29:30" ht="14.5" x14ac:dyDescent="0.35">
      <c r="AC1204" s="900" t="s">
        <v>4125</v>
      </c>
      <c r="AD1204" s="899" t="s">
        <v>4124</v>
      </c>
    </row>
    <row r="1205" spans="29:30" ht="14.5" x14ac:dyDescent="0.35">
      <c r="AC1205" s="902" t="s">
        <v>4127</v>
      </c>
      <c r="AD1205" s="901" t="s">
        <v>4126</v>
      </c>
    </row>
    <row r="1206" spans="29:30" ht="14.5" x14ac:dyDescent="0.35">
      <c r="AC1206" s="900" t="s">
        <v>4129</v>
      </c>
      <c r="AD1206" s="899" t="s">
        <v>4128</v>
      </c>
    </row>
    <row r="1207" spans="29:30" ht="14.5" x14ac:dyDescent="0.35">
      <c r="AC1207" s="902" t="s">
        <v>4131</v>
      </c>
      <c r="AD1207" s="901" t="s">
        <v>4130</v>
      </c>
    </row>
    <row r="1208" spans="29:30" ht="14.5" x14ac:dyDescent="0.35">
      <c r="AC1208" s="900" t="s">
        <v>4133</v>
      </c>
      <c r="AD1208" s="899" t="s">
        <v>4132</v>
      </c>
    </row>
    <row r="1209" spans="29:30" ht="14.5" x14ac:dyDescent="0.35">
      <c r="AC1209" s="902" t="s">
        <v>4135</v>
      </c>
      <c r="AD1209" s="901" t="s">
        <v>4134</v>
      </c>
    </row>
    <row r="1210" spans="29:30" ht="14.5" x14ac:dyDescent="0.35">
      <c r="AC1210" s="900" t="s">
        <v>4137</v>
      </c>
      <c r="AD1210" s="899" t="s">
        <v>4136</v>
      </c>
    </row>
    <row r="1211" spans="29:30" ht="14.5" x14ac:dyDescent="0.35">
      <c r="AC1211" s="902" t="s">
        <v>4139</v>
      </c>
      <c r="AD1211" s="901" t="s">
        <v>4138</v>
      </c>
    </row>
    <row r="1212" spans="29:30" ht="14.5" x14ac:dyDescent="0.35">
      <c r="AC1212" s="900" t="s">
        <v>4141</v>
      </c>
      <c r="AD1212" s="899" t="s">
        <v>4140</v>
      </c>
    </row>
    <row r="1213" spans="29:30" ht="14.5" x14ac:dyDescent="0.35">
      <c r="AC1213" s="902" t="s">
        <v>4143</v>
      </c>
      <c r="AD1213" s="901" t="s">
        <v>4142</v>
      </c>
    </row>
    <row r="1214" spans="29:30" ht="14.5" x14ac:dyDescent="0.35">
      <c r="AC1214" s="900" t="s">
        <v>4145</v>
      </c>
      <c r="AD1214" s="899" t="s">
        <v>4144</v>
      </c>
    </row>
    <row r="1215" spans="29:30" ht="14.5" x14ac:dyDescent="0.35">
      <c r="AC1215" s="902" t="s">
        <v>4147</v>
      </c>
      <c r="AD1215" s="901" t="s">
        <v>4146</v>
      </c>
    </row>
    <row r="1216" spans="29:30" ht="14.5" x14ac:dyDescent="0.35">
      <c r="AC1216" s="900" t="s">
        <v>4149</v>
      </c>
      <c r="AD1216" s="899" t="s">
        <v>4148</v>
      </c>
    </row>
    <row r="1217" spans="29:30" ht="14.5" x14ac:dyDescent="0.35">
      <c r="AC1217" s="902" t="s">
        <v>4151</v>
      </c>
      <c r="AD1217" s="901" t="s">
        <v>4150</v>
      </c>
    </row>
    <row r="1218" spans="29:30" ht="14.5" x14ac:dyDescent="0.35">
      <c r="AC1218" s="900" t="s">
        <v>4153</v>
      </c>
      <c r="AD1218" s="899" t="s">
        <v>4152</v>
      </c>
    </row>
    <row r="1219" spans="29:30" ht="14.5" x14ac:dyDescent="0.35">
      <c r="AC1219" s="902" t="s">
        <v>4155</v>
      </c>
      <c r="AD1219" s="901" t="s">
        <v>4154</v>
      </c>
    </row>
    <row r="1220" spans="29:30" ht="14.5" x14ac:dyDescent="0.35">
      <c r="AC1220" s="900" t="s">
        <v>4157</v>
      </c>
      <c r="AD1220" s="899" t="s">
        <v>4156</v>
      </c>
    </row>
    <row r="1221" spans="29:30" ht="14.5" x14ac:dyDescent="0.35">
      <c r="AC1221" s="902" t="s">
        <v>4159</v>
      </c>
      <c r="AD1221" s="901" t="s">
        <v>4158</v>
      </c>
    </row>
    <row r="1222" spans="29:30" ht="14.5" x14ac:dyDescent="0.35">
      <c r="AC1222" s="900" t="s">
        <v>4161</v>
      </c>
      <c r="AD1222" s="899" t="s">
        <v>4160</v>
      </c>
    </row>
    <row r="1223" spans="29:30" ht="14.5" x14ac:dyDescent="0.35">
      <c r="AC1223" s="902" t="s">
        <v>4163</v>
      </c>
      <c r="AD1223" s="901" t="s">
        <v>4162</v>
      </c>
    </row>
    <row r="1224" spans="29:30" ht="14.5" x14ac:dyDescent="0.35">
      <c r="AC1224" s="900" t="s">
        <v>4165</v>
      </c>
      <c r="AD1224" s="899" t="s">
        <v>4164</v>
      </c>
    </row>
    <row r="1225" spans="29:30" ht="14.5" x14ac:dyDescent="0.35">
      <c r="AC1225" s="902" t="s">
        <v>4167</v>
      </c>
      <c r="AD1225" s="901" t="s">
        <v>4166</v>
      </c>
    </row>
    <row r="1226" spans="29:30" ht="14.5" x14ac:dyDescent="0.35">
      <c r="AC1226" s="900" t="s">
        <v>4169</v>
      </c>
      <c r="AD1226" s="899" t="s">
        <v>4168</v>
      </c>
    </row>
    <row r="1227" spans="29:30" ht="14.5" x14ac:dyDescent="0.35">
      <c r="AC1227" s="902" t="s">
        <v>4171</v>
      </c>
      <c r="AD1227" s="901" t="s">
        <v>4170</v>
      </c>
    </row>
    <row r="1228" spans="29:30" ht="14.5" x14ac:dyDescent="0.35">
      <c r="AC1228" s="900" t="s">
        <v>4173</v>
      </c>
      <c r="AD1228" s="899" t="s">
        <v>4172</v>
      </c>
    </row>
    <row r="1229" spans="29:30" ht="14.5" x14ac:dyDescent="0.35">
      <c r="AC1229" s="902" t="s">
        <v>4175</v>
      </c>
      <c r="AD1229" s="901" t="s">
        <v>4174</v>
      </c>
    </row>
    <row r="1230" spans="29:30" ht="14.5" x14ac:dyDescent="0.35">
      <c r="AC1230" s="900" t="s">
        <v>4177</v>
      </c>
      <c r="AD1230" s="899" t="s">
        <v>4176</v>
      </c>
    </row>
    <row r="1231" spans="29:30" ht="14.5" x14ac:dyDescent="0.35">
      <c r="AC1231" s="902" t="s">
        <v>4179</v>
      </c>
      <c r="AD1231" s="901" t="s">
        <v>4178</v>
      </c>
    </row>
    <row r="1232" spans="29:30" ht="14.5" x14ac:dyDescent="0.35">
      <c r="AC1232" s="900" t="s">
        <v>4181</v>
      </c>
      <c r="AD1232" s="899" t="s">
        <v>4180</v>
      </c>
    </row>
    <row r="1233" spans="29:30" ht="14.5" x14ac:dyDescent="0.35">
      <c r="AC1233" s="902" t="s">
        <v>4183</v>
      </c>
      <c r="AD1233" s="901" t="s">
        <v>4182</v>
      </c>
    </row>
    <row r="1234" spans="29:30" ht="14.5" x14ac:dyDescent="0.35">
      <c r="AC1234" s="900" t="s">
        <v>4185</v>
      </c>
      <c r="AD1234" s="899" t="s">
        <v>4184</v>
      </c>
    </row>
    <row r="1235" spans="29:30" ht="14.5" x14ac:dyDescent="0.35">
      <c r="AC1235" s="902" t="s">
        <v>4187</v>
      </c>
      <c r="AD1235" s="901" t="s">
        <v>4186</v>
      </c>
    </row>
    <row r="1236" spans="29:30" ht="14.5" x14ac:dyDescent="0.35">
      <c r="AC1236" s="900" t="s">
        <v>4189</v>
      </c>
      <c r="AD1236" s="899" t="s">
        <v>4188</v>
      </c>
    </row>
    <row r="1237" spans="29:30" ht="14.5" x14ac:dyDescent="0.35">
      <c r="AC1237" s="902" t="s">
        <v>4191</v>
      </c>
      <c r="AD1237" s="901" t="s">
        <v>4190</v>
      </c>
    </row>
    <row r="1238" spans="29:30" ht="14.5" x14ac:dyDescent="0.35">
      <c r="AC1238" s="900" t="s">
        <v>4193</v>
      </c>
      <c r="AD1238" s="899" t="s">
        <v>4192</v>
      </c>
    </row>
    <row r="1239" spans="29:30" ht="14.5" x14ac:dyDescent="0.35">
      <c r="AC1239" s="902" t="s">
        <v>4195</v>
      </c>
      <c r="AD1239" s="901" t="s">
        <v>4194</v>
      </c>
    </row>
    <row r="1240" spans="29:30" ht="14.5" x14ac:dyDescent="0.35">
      <c r="AC1240" s="900" t="s">
        <v>4197</v>
      </c>
      <c r="AD1240" s="899" t="s">
        <v>4196</v>
      </c>
    </row>
    <row r="1241" spans="29:30" ht="14.5" x14ac:dyDescent="0.35">
      <c r="AC1241" s="902" t="s">
        <v>4199</v>
      </c>
      <c r="AD1241" s="901" t="s">
        <v>4198</v>
      </c>
    </row>
    <row r="1242" spans="29:30" ht="14.5" x14ac:dyDescent="0.35">
      <c r="AC1242" s="900" t="s">
        <v>4201</v>
      </c>
      <c r="AD1242" s="899" t="s">
        <v>4200</v>
      </c>
    </row>
    <row r="1243" spans="29:30" ht="14.5" x14ac:dyDescent="0.35">
      <c r="AC1243" s="902" t="s">
        <v>4203</v>
      </c>
      <c r="AD1243" s="901" t="s">
        <v>4202</v>
      </c>
    </row>
    <row r="1244" spans="29:30" ht="14.5" x14ac:dyDescent="0.35">
      <c r="AC1244" s="900" t="s">
        <v>4205</v>
      </c>
      <c r="AD1244" s="899" t="s">
        <v>4204</v>
      </c>
    </row>
    <row r="1245" spans="29:30" ht="14.5" x14ac:dyDescent="0.35">
      <c r="AC1245" s="902" t="s">
        <v>4207</v>
      </c>
      <c r="AD1245" s="901" t="s">
        <v>4206</v>
      </c>
    </row>
    <row r="1246" spans="29:30" ht="14.5" x14ac:dyDescent="0.35">
      <c r="AC1246" s="900" t="s">
        <v>4209</v>
      </c>
      <c r="AD1246" s="899" t="s">
        <v>4208</v>
      </c>
    </row>
    <row r="1247" spans="29:30" ht="14.5" x14ac:dyDescent="0.35">
      <c r="AC1247" s="902" t="s">
        <v>4211</v>
      </c>
      <c r="AD1247" s="901" t="s">
        <v>4210</v>
      </c>
    </row>
    <row r="1248" spans="29:30" ht="14.5" x14ac:dyDescent="0.35">
      <c r="AC1248" s="900" t="s">
        <v>4213</v>
      </c>
      <c r="AD1248" s="899" t="s">
        <v>4212</v>
      </c>
    </row>
    <row r="1249" spans="29:30" ht="14.5" x14ac:dyDescent="0.35">
      <c r="AC1249" s="902" t="s">
        <v>4215</v>
      </c>
      <c r="AD1249" s="901" t="s">
        <v>4214</v>
      </c>
    </row>
    <row r="1250" spans="29:30" ht="14.5" x14ac:dyDescent="0.35">
      <c r="AC1250" s="900" t="s">
        <v>4217</v>
      </c>
      <c r="AD1250" s="899" t="s">
        <v>4216</v>
      </c>
    </row>
    <row r="1251" spans="29:30" ht="14.5" x14ac:dyDescent="0.35">
      <c r="AC1251" s="902" t="s">
        <v>4219</v>
      </c>
      <c r="AD1251" s="901" t="s">
        <v>4218</v>
      </c>
    </row>
    <row r="1252" spans="29:30" ht="14.5" x14ac:dyDescent="0.35">
      <c r="AC1252" s="900" t="s">
        <v>4221</v>
      </c>
      <c r="AD1252" s="899" t="s">
        <v>4220</v>
      </c>
    </row>
    <row r="1253" spans="29:30" ht="14.5" x14ac:dyDescent="0.35">
      <c r="AC1253" s="902" t="s">
        <v>4223</v>
      </c>
      <c r="AD1253" s="901" t="s">
        <v>4222</v>
      </c>
    </row>
    <row r="1254" spans="29:30" ht="14.5" x14ac:dyDescent="0.35">
      <c r="AC1254" s="900" t="s">
        <v>4225</v>
      </c>
      <c r="AD1254" s="899" t="s">
        <v>4224</v>
      </c>
    </row>
    <row r="1255" spans="29:30" ht="14.5" x14ac:dyDescent="0.35">
      <c r="AC1255" s="902" t="s">
        <v>4227</v>
      </c>
      <c r="AD1255" s="901" t="s">
        <v>4226</v>
      </c>
    </row>
    <row r="1256" spans="29:30" ht="14.5" x14ac:dyDescent="0.35">
      <c r="AC1256" s="900" t="s">
        <v>4229</v>
      </c>
      <c r="AD1256" s="899" t="s">
        <v>4228</v>
      </c>
    </row>
    <row r="1257" spans="29:30" ht="14.5" x14ac:dyDescent="0.35">
      <c r="AC1257" s="902" t="s">
        <v>4231</v>
      </c>
      <c r="AD1257" s="901" t="s">
        <v>4230</v>
      </c>
    </row>
    <row r="1258" spans="29:30" ht="14.5" x14ac:dyDescent="0.35">
      <c r="AC1258" s="900" t="s">
        <v>4233</v>
      </c>
      <c r="AD1258" s="899" t="s">
        <v>4232</v>
      </c>
    </row>
    <row r="1259" spans="29:30" ht="14.5" x14ac:dyDescent="0.35">
      <c r="AC1259" s="902" t="s">
        <v>4235</v>
      </c>
      <c r="AD1259" s="901" t="s">
        <v>4234</v>
      </c>
    </row>
    <row r="1260" spans="29:30" ht="14.5" x14ac:dyDescent="0.35">
      <c r="AC1260" s="900" t="s">
        <v>4237</v>
      </c>
      <c r="AD1260" s="899" t="s">
        <v>4236</v>
      </c>
    </row>
    <row r="1261" spans="29:30" ht="14.5" x14ac:dyDescent="0.35">
      <c r="AC1261" s="902" t="s">
        <v>4239</v>
      </c>
      <c r="AD1261" s="901" t="s">
        <v>4238</v>
      </c>
    </row>
    <row r="1262" spans="29:30" ht="14.5" x14ac:dyDescent="0.35">
      <c r="AC1262" s="900" t="s">
        <v>4241</v>
      </c>
      <c r="AD1262" s="899" t="s">
        <v>4240</v>
      </c>
    </row>
    <row r="1263" spans="29:30" ht="14.5" x14ac:dyDescent="0.35">
      <c r="AC1263" s="902" t="s">
        <v>4243</v>
      </c>
      <c r="AD1263" s="901" t="s">
        <v>4242</v>
      </c>
    </row>
    <row r="1264" spans="29:30" ht="14.5" x14ac:dyDescent="0.35">
      <c r="AC1264" s="900" t="s">
        <v>4245</v>
      </c>
      <c r="AD1264" s="899" t="s">
        <v>4244</v>
      </c>
    </row>
    <row r="1265" spans="29:30" ht="14.5" x14ac:dyDescent="0.35">
      <c r="AC1265" s="902" t="s">
        <v>4247</v>
      </c>
      <c r="AD1265" s="901" t="s">
        <v>4246</v>
      </c>
    </row>
    <row r="1266" spans="29:30" ht="14.5" x14ac:dyDescent="0.35">
      <c r="AC1266" s="900" t="s">
        <v>4249</v>
      </c>
      <c r="AD1266" s="899" t="s">
        <v>4248</v>
      </c>
    </row>
    <row r="1267" spans="29:30" ht="14.5" x14ac:dyDescent="0.35">
      <c r="AC1267" s="902" t="s">
        <v>4251</v>
      </c>
      <c r="AD1267" s="901" t="s">
        <v>4250</v>
      </c>
    </row>
    <row r="1268" spans="29:30" ht="14.5" x14ac:dyDescent="0.35">
      <c r="AC1268" s="900" t="s">
        <v>4253</v>
      </c>
      <c r="AD1268" s="899" t="s">
        <v>4252</v>
      </c>
    </row>
    <row r="1269" spans="29:30" ht="14.5" x14ac:dyDescent="0.35">
      <c r="AC1269" s="902" t="s">
        <v>4255</v>
      </c>
      <c r="AD1269" s="901" t="s">
        <v>4254</v>
      </c>
    </row>
    <row r="1270" spans="29:30" ht="14.5" x14ac:dyDescent="0.35">
      <c r="AC1270" s="900" t="s">
        <v>4257</v>
      </c>
      <c r="AD1270" s="899" t="s">
        <v>4256</v>
      </c>
    </row>
    <row r="1271" spans="29:30" ht="14.5" x14ac:dyDescent="0.35">
      <c r="AC1271" s="902" t="s">
        <v>4259</v>
      </c>
      <c r="AD1271" s="901" t="s">
        <v>4258</v>
      </c>
    </row>
    <row r="1272" spans="29:30" ht="14.5" x14ac:dyDescent="0.35">
      <c r="AC1272" s="900" t="s">
        <v>4261</v>
      </c>
      <c r="AD1272" s="899" t="s">
        <v>4260</v>
      </c>
    </row>
    <row r="1273" spans="29:30" ht="14.5" x14ac:dyDescent="0.35">
      <c r="AC1273" s="902" t="s">
        <v>4263</v>
      </c>
      <c r="AD1273" s="901" t="s">
        <v>4262</v>
      </c>
    </row>
    <row r="1274" spans="29:30" ht="14.5" x14ac:dyDescent="0.35">
      <c r="AC1274" s="900" t="s">
        <v>4265</v>
      </c>
      <c r="AD1274" s="899" t="s">
        <v>4264</v>
      </c>
    </row>
    <row r="1275" spans="29:30" ht="14.5" x14ac:dyDescent="0.35">
      <c r="AC1275" s="902" t="s">
        <v>4267</v>
      </c>
      <c r="AD1275" s="901" t="s">
        <v>4266</v>
      </c>
    </row>
    <row r="1276" spans="29:30" ht="14.5" x14ac:dyDescent="0.35">
      <c r="AC1276" s="900" t="s">
        <v>4269</v>
      </c>
      <c r="AD1276" s="899" t="s">
        <v>4268</v>
      </c>
    </row>
    <row r="1277" spans="29:30" ht="14.5" x14ac:dyDescent="0.35">
      <c r="AC1277" s="902" t="s">
        <v>4271</v>
      </c>
      <c r="AD1277" s="901" t="s">
        <v>4270</v>
      </c>
    </row>
    <row r="1278" spans="29:30" ht="14.5" x14ac:dyDescent="0.35">
      <c r="AC1278" s="900" t="s">
        <v>4273</v>
      </c>
      <c r="AD1278" s="899" t="s">
        <v>4272</v>
      </c>
    </row>
    <row r="1279" spans="29:30" ht="14.5" x14ac:dyDescent="0.35">
      <c r="AC1279" s="902" t="s">
        <v>4275</v>
      </c>
      <c r="AD1279" s="901" t="s">
        <v>4274</v>
      </c>
    </row>
    <row r="1280" spans="29:30" ht="14.5" x14ac:dyDescent="0.35">
      <c r="AC1280" s="900" t="s">
        <v>4277</v>
      </c>
      <c r="AD1280" s="899" t="s">
        <v>4276</v>
      </c>
    </row>
    <row r="1281" spans="29:30" ht="14.5" x14ac:dyDescent="0.35">
      <c r="AC1281" s="902" t="s">
        <v>4279</v>
      </c>
      <c r="AD1281" s="901" t="s">
        <v>4278</v>
      </c>
    </row>
    <row r="1282" spans="29:30" ht="14.5" x14ac:dyDescent="0.35">
      <c r="AC1282" s="900" t="s">
        <v>4281</v>
      </c>
      <c r="AD1282" s="899" t="s">
        <v>4280</v>
      </c>
    </row>
    <row r="1283" spans="29:30" ht="14.5" x14ac:dyDescent="0.35">
      <c r="AC1283" s="902" t="s">
        <v>4283</v>
      </c>
      <c r="AD1283" s="901" t="s">
        <v>4282</v>
      </c>
    </row>
    <row r="1284" spans="29:30" ht="14.5" x14ac:dyDescent="0.35">
      <c r="AC1284" s="900" t="s">
        <v>4285</v>
      </c>
      <c r="AD1284" s="899" t="s">
        <v>4284</v>
      </c>
    </row>
    <row r="1285" spans="29:30" ht="14.5" x14ac:dyDescent="0.35">
      <c r="AC1285" s="902" t="s">
        <v>4287</v>
      </c>
      <c r="AD1285" s="901" t="s">
        <v>4286</v>
      </c>
    </row>
    <row r="1286" spans="29:30" ht="14.5" x14ac:dyDescent="0.35">
      <c r="AC1286" s="900" t="s">
        <v>4289</v>
      </c>
      <c r="AD1286" s="899" t="s">
        <v>4288</v>
      </c>
    </row>
    <row r="1287" spans="29:30" ht="14.5" x14ac:dyDescent="0.35">
      <c r="AC1287" s="902" t="s">
        <v>4291</v>
      </c>
      <c r="AD1287" s="901" t="s">
        <v>4290</v>
      </c>
    </row>
    <row r="1288" spans="29:30" ht="14.5" x14ac:dyDescent="0.35">
      <c r="AC1288" s="900" t="s">
        <v>4293</v>
      </c>
      <c r="AD1288" s="899" t="s">
        <v>4292</v>
      </c>
    </row>
    <row r="1289" spans="29:30" ht="14.5" x14ac:dyDescent="0.35">
      <c r="AC1289" s="902" t="s">
        <v>4295</v>
      </c>
      <c r="AD1289" s="901" t="s">
        <v>4294</v>
      </c>
    </row>
    <row r="1290" spans="29:30" ht="14.5" x14ac:dyDescent="0.35">
      <c r="AC1290" s="900" t="s">
        <v>4297</v>
      </c>
      <c r="AD1290" s="899" t="s">
        <v>4296</v>
      </c>
    </row>
    <row r="1291" spans="29:30" ht="14.5" x14ac:dyDescent="0.35">
      <c r="AC1291" s="902" t="s">
        <v>4299</v>
      </c>
      <c r="AD1291" s="901" t="s">
        <v>4298</v>
      </c>
    </row>
    <row r="1292" spans="29:30" ht="14.5" x14ac:dyDescent="0.35">
      <c r="AC1292" s="900" t="s">
        <v>4301</v>
      </c>
      <c r="AD1292" s="899" t="s">
        <v>4300</v>
      </c>
    </row>
    <row r="1293" spans="29:30" ht="14.5" x14ac:dyDescent="0.35">
      <c r="AC1293" s="902" t="s">
        <v>4303</v>
      </c>
      <c r="AD1293" s="901" t="s">
        <v>4302</v>
      </c>
    </row>
    <row r="1294" spans="29:30" ht="14.5" x14ac:dyDescent="0.35">
      <c r="AC1294" s="900" t="s">
        <v>4305</v>
      </c>
      <c r="AD1294" s="899" t="s">
        <v>4304</v>
      </c>
    </row>
    <row r="1295" spans="29:30" ht="14.5" x14ac:dyDescent="0.35">
      <c r="AC1295" s="902" t="s">
        <v>4307</v>
      </c>
      <c r="AD1295" s="901" t="s">
        <v>4306</v>
      </c>
    </row>
    <row r="1296" spans="29:30" ht="14.5" x14ac:dyDescent="0.35">
      <c r="AC1296" s="900" t="s">
        <v>4309</v>
      </c>
      <c r="AD1296" s="899" t="s">
        <v>4308</v>
      </c>
    </row>
    <row r="1297" spans="29:30" ht="14.5" x14ac:dyDescent="0.35">
      <c r="AC1297" s="902" t="s">
        <v>4311</v>
      </c>
      <c r="AD1297" s="901" t="s">
        <v>4310</v>
      </c>
    </row>
    <row r="1298" spans="29:30" ht="14.5" x14ac:dyDescent="0.35">
      <c r="AC1298" s="900" t="s">
        <v>4313</v>
      </c>
      <c r="AD1298" s="899" t="s">
        <v>4312</v>
      </c>
    </row>
    <row r="1299" spans="29:30" ht="14.5" x14ac:dyDescent="0.35">
      <c r="AC1299" s="902" t="s">
        <v>4315</v>
      </c>
      <c r="AD1299" s="901" t="s">
        <v>4314</v>
      </c>
    </row>
    <row r="1300" spans="29:30" ht="14.5" x14ac:dyDescent="0.35">
      <c r="AC1300" s="900" t="s">
        <v>4317</v>
      </c>
      <c r="AD1300" s="899" t="s">
        <v>4316</v>
      </c>
    </row>
    <row r="1301" spans="29:30" ht="14.5" x14ac:dyDescent="0.35">
      <c r="AC1301" s="902" t="s">
        <v>4319</v>
      </c>
      <c r="AD1301" s="901" t="s">
        <v>4318</v>
      </c>
    </row>
    <row r="1302" spans="29:30" ht="14.5" x14ac:dyDescent="0.35">
      <c r="AC1302" s="900" t="s">
        <v>4321</v>
      </c>
      <c r="AD1302" s="899" t="s">
        <v>4320</v>
      </c>
    </row>
    <row r="1303" spans="29:30" ht="14.5" x14ac:dyDescent="0.35">
      <c r="AC1303" s="902" t="s">
        <v>4323</v>
      </c>
      <c r="AD1303" s="901" t="s">
        <v>4322</v>
      </c>
    </row>
    <row r="1304" spans="29:30" ht="14.5" x14ac:dyDescent="0.35">
      <c r="AC1304" s="900" t="s">
        <v>4325</v>
      </c>
      <c r="AD1304" s="899" t="s">
        <v>4324</v>
      </c>
    </row>
    <row r="1305" spans="29:30" ht="14.5" x14ac:dyDescent="0.35">
      <c r="AC1305" s="902" t="s">
        <v>4327</v>
      </c>
      <c r="AD1305" s="901" t="s">
        <v>4326</v>
      </c>
    </row>
    <row r="1306" spans="29:30" ht="14.5" x14ac:dyDescent="0.35">
      <c r="AC1306" s="900" t="s">
        <v>4329</v>
      </c>
      <c r="AD1306" s="899" t="s">
        <v>4328</v>
      </c>
    </row>
    <row r="1307" spans="29:30" ht="14.5" x14ac:dyDescent="0.35">
      <c r="AC1307" s="902" t="s">
        <v>4331</v>
      </c>
      <c r="AD1307" s="901" t="s">
        <v>4330</v>
      </c>
    </row>
    <row r="1308" spans="29:30" ht="14.5" x14ac:dyDescent="0.35">
      <c r="AC1308" s="900" t="s">
        <v>4333</v>
      </c>
      <c r="AD1308" s="899" t="s">
        <v>4332</v>
      </c>
    </row>
    <row r="1309" spans="29:30" ht="14.5" x14ac:dyDescent="0.35">
      <c r="AC1309" s="902" t="s">
        <v>4335</v>
      </c>
      <c r="AD1309" s="901" t="s">
        <v>4334</v>
      </c>
    </row>
    <row r="1310" spans="29:30" ht="14.5" x14ac:dyDescent="0.35">
      <c r="AC1310" s="900" t="s">
        <v>4337</v>
      </c>
      <c r="AD1310" s="899" t="s">
        <v>4336</v>
      </c>
    </row>
    <row r="1311" spans="29:30" ht="14.5" x14ac:dyDescent="0.35">
      <c r="AC1311" s="902" t="s">
        <v>4339</v>
      </c>
      <c r="AD1311" s="901" t="s">
        <v>4338</v>
      </c>
    </row>
    <row r="1312" spans="29:30" ht="14.5" x14ac:dyDescent="0.35">
      <c r="AC1312" s="900" t="s">
        <v>4341</v>
      </c>
      <c r="AD1312" s="899" t="s">
        <v>4340</v>
      </c>
    </row>
    <row r="1313" spans="29:30" ht="14.5" x14ac:dyDescent="0.35">
      <c r="AC1313" s="902" t="s">
        <v>4343</v>
      </c>
      <c r="AD1313" s="901" t="s">
        <v>4342</v>
      </c>
    </row>
    <row r="1314" spans="29:30" ht="14.5" x14ac:dyDescent="0.35">
      <c r="AC1314" s="900" t="s">
        <v>4345</v>
      </c>
      <c r="AD1314" s="899" t="s">
        <v>4344</v>
      </c>
    </row>
    <row r="1315" spans="29:30" ht="14.5" x14ac:dyDescent="0.35">
      <c r="AC1315" s="902" t="s">
        <v>4347</v>
      </c>
      <c r="AD1315" s="901" t="s">
        <v>4346</v>
      </c>
    </row>
    <row r="1316" spans="29:30" ht="14.5" x14ac:dyDescent="0.35">
      <c r="AC1316" s="900" t="s">
        <v>4349</v>
      </c>
      <c r="AD1316" s="899" t="s">
        <v>4348</v>
      </c>
    </row>
    <row r="1317" spans="29:30" ht="14.5" x14ac:dyDescent="0.35">
      <c r="AC1317" s="902" t="s">
        <v>4351</v>
      </c>
      <c r="AD1317" s="901" t="s">
        <v>4350</v>
      </c>
    </row>
    <row r="1318" spans="29:30" ht="14.5" x14ac:dyDescent="0.35">
      <c r="AC1318" s="900" t="s">
        <v>4353</v>
      </c>
      <c r="AD1318" s="899" t="s">
        <v>4352</v>
      </c>
    </row>
    <row r="1319" spans="29:30" ht="14.5" x14ac:dyDescent="0.35">
      <c r="AC1319" s="902" t="s">
        <v>4355</v>
      </c>
      <c r="AD1319" s="901" t="s">
        <v>4354</v>
      </c>
    </row>
    <row r="1320" spans="29:30" ht="14.5" x14ac:dyDescent="0.35">
      <c r="AC1320" s="900" t="s">
        <v>4357</v>
      </c>
      <c r="AD1320" s="899" t="s">
        <v>4356</v>
      </c>
    </row>
    <row r="1321" spans="29:30" ht="14.5" x14ac:dyDescent="0.35">
      <c r="AC1321" s="902" t="s">
        <v>4359</v>
      </c>
      <c r="AD1321" s="901" t="s">
        <v>4358</v>
      </c>
    </row>
    <row r="1322" spans="29:30" ht="14.5" x14ac:dyDescent="0.35">
      <c r="AC1322" s="900" t="s">
        <v>4361</v>
      </c>
      <c r="AD1322" s="899" t="s">
        <v>4360</v>
      </c>
    </row>
    <row r="1323" spans="29:30" ht="14.5" x14ac:dyDescent="0.35">
      <c r="AC1323" s="902" t="s">
        <v>4363</v>
      </c>
      <c r="AD1323" s="901" t="s">
        <v>4362</v>
      </c>
    </row>
    <row r="1324" spans="29:30" ht="14.5" x14ac:dyDescent="0.35">
      <c r="AC1324" s="900" t="s">
        <v>4365</v>
      </c>
      <c r="AD1324" s="899" t="s">
        <v>4364</v>
      </c>
    </row>
    <row r="1325" spans="29:30" ht="14.5" x14ac:dyDescent="0.35">
      <c r="AC1325" s="902" t="s">
        <v>4367</v>
      </c>
      <c r="AD1325" s="901" t="s">
        <v>4366</v>
      </c>
    </row>
    <row r="1326" spans="29:30" ht="14.5" x14ac:dyDescent="0.35">
      <c r="AC1326" s="900" t="s">
        <v>4369</v>
      </c>
      <c r="AD1326" s="899" t="s">
        <v>4368</v>
      </c>
    </row>
    <row r="1327" spans="29:30" ht="14.5" x14ac:dyDescent="0.35">
      <c r="AC1327" s="902" t="s">
        <v>4371</v>
      </c>
      <c r="AD1327" s="901" t="s">
        <v>4370</v>
      </c>
    </row>
    <row r="1328" spans="29:30" ht="14.5" x14ac:dyDescent="0.35">
      <c r="AC1328" s="900" t="s">
        <v>4373</v>
      </c>
      <c r="AD1328" s="899" t="s">
        <v>4372</v>
      </c>
    </row>
    <row r="1329" spans="29:30" ht="14.5" x14ac:dyDescent="0.35">
      <c r="AC1329" s="902" t="s">
        <v>4375</v>
      </c>
      <c r="AD1329" s="901" t="s">
        <v>4374</v>
      </c>
    </row>
    <row r="1330" spans="29:30" ht="14.5" x14ac:dyDescent="0.35">
      <c r="AC1330" s="900" t="s">
        <v>4377</v>
      </c>
      <c r="AD1330" s="899" t="s">
        <v>4376</v>
      </c>
    </row>
    <row r="1331" spans="29:30" ht="14.5" x14ac:dyDescent="0.35">
      <c r="AC1331" s="902" t="s">
        <v>4379</v>
      </c>
      <c r="AD1331" s="901" t="s">
        <v>4378</v>
      </c>
    </row>
    <row r="1332" spans="29:30" ht="14.5" x14ac:dyDescent="0.35">
      <c r="AC1332" s="900" t="s">
        <v>4381</v>
      </c>
      <c r="AD1332" s="899" t="s">
        <v>4380</v>
      </c>
    </row>
    <row r="1333" spans="29:30" ht="14.5" x14ac:dyDescent="0.35">
      <c r="AC1333" s="902" t="s">
        <v>4383</v>
      </c>
      <c r="AD1333" s="901" t="s">
        <v>4382</v>
      </c>
    </row>
    <row r="1334" spans="29:30" ht="14.5" x14ac:dyDescent="0.35">
      <c r="AC1334" s="900" t="s">
        <v>4385</v>
      </c>
      <c r="AD1334" s="899" t="s">
        <v>4384</v>
      </c>
    </row>
    <row r="1335" spans="29:30" ht="14.5" x14ac:dyDescent="0.35">
      <c r="AC1335" s="902" t="s">
        <v>4387</v>
      </c>
      <c r="AD1335" s="901" t="s">
        <v>4386</v>
      </c>
    </row>
    <row r="1336" spans="29:30" ht="14.5" x14ac:dyDescent="0.35">
      <c r="AC1336" s="900" t="s">
        <v>4389</v>
      </c>
      <c r="AD1336" s="899" t="s">
        <v>4388</v>
      </c>
    </row>
    <row r="1337" spans="29:30" ht="14.5" x14ac:dyDescent="0.35">
      <c r="AC1337" s="902" t="s">
        <v>4391</v>
      </c>
      <c r="AD1337" s="901" t="s">
        <v>4390</v>
      </c>
    </row>
    <row r="1338" spans="29:30" ht="14.5" x14ac:dyDescent="0.35">
      <c r="AC1338" s="900" t="s">
        <v>4393</v>
      </c>
      <c r="AD1338" s="899" t="s">
        <v>4392</v>
      </c>
    </row>
    <row r="1339" spans="29:30" ht="14.5" x14ac:dyDescent="0.35">
      <c r="AC1339" s="902" t="s">
        <v>4395</v>
      </c>
      <c r="AD1339" s="901" t="s">
        <v>4394</v>
      </c>
    </row>
    <row r="1340" spans="29:30" ht="14.5" x14ac:dyDescent="0.35">
      <c r="AC1340" s="900" t="s">
        <v>4397</v>
      </c>
      <c r="AD1340" s="899" t="s">
        <v>4396</v>
      </c>
    </row>
    <row r="1341" spans="29:30" ht="14.5" x14ac:dyDescent="0.35">
      <c r="AC1341" s="902" t="s">
        <v>4399</v>
      </c>
      <c r="AD1341" s="901" t="s">
        <v>4398</v>
      </c>
    </row>
    <row r="1342" spans="29:30" ht="14.5" x14ac:dyDescent="0.35">
      <c r="AC1342" s="900" t="s">
        <v>4401</v>
      </c>
      <c r="AD1342" s="899" t="s">
        <v>4400</v>
      </c>
    </row>
    <row r="1343" spans="29:30" ht="14.5" x14ac:dyDescent="0.35">
      <c r="AC1343" s="902" t="s">
        <v>4403</v>
      </c>
      <c r="AD1343" s="901" t="s">
        <v>4402</v>
      </c>
    </row>
    <row r="1344" spans="29:30" ht="14.5" x14ac:dyDescent="0.35">
      <c r="AC1344" s="900" t="s">
        <v>4405</v>
      </c>
      <c r="AD1344" s="899" t="s">
        <v>4404</v>
      </c>
    </row>
    <row r="1345" spans="29:30" ht="14.5" x14ac:dyDescent="0.35">
      <c r="AC1345" s="902" t="s">
        <v>4407</v>
      </c>
      <c r="AD1345" s="901" t="s">
        <v>4406</v>
      </c>
    </row>
    <row r="1346" spans="29:30" ht="14.5" x14ac:dyDescent="0.35">
      <c r="AC1346" s="900" t="s">
        <v>4409</v>
      </c>
      <c r="AD1346" s="899" t="s">
        <v>4408</v>
      </c>
    </row>
    <row r="1347" spans="29:30" ht="14.5" x14ac:dyDescent="0.35">
      <c r="AC1347" s="902" t="s">
        <v>4411</v>
      </c>
      <c r="AD1347" s="901" t="s">
        <v>4410</v>
      </c>
    </row>
    <row r="1348" spans="29:30" ht="14.5" x14ac:dyDescent="0.35">
      <c r="AC1348" s="900" t="s">
        <v>4413</v>
      </c>
      <c r="AD1348" s="899" t="s">
        <v>4412</v>
      </c>
    </row>
    <row r="1349" spans="29:30" ht="14.5" x14ac:dyDescent="0.35">
      <c r="AC1349" s="902" t="s">
        <v>4415</v>
      </c>
      <c r="AD1349" s="901" t="s">
        <v>4414</v>
      </c>
    </row>
    <row r="1350" spans="29:30" ht="14.5" x14ac:dyDescent="0.35">
      <c r="AC1350" s="900" t="s">
        <v>4417</v>
      </c>
      <c r="AD1350" s="899" t="s">
        <v>4416</v>
      </c>
    </row>
    <row r="1351" spans="29:30" ht="14.5" x14ac:dyDescent="0.35">
      <c r="AC1351" s="902" t="s">
        <v>4419</v>
      </c>
      <c r="AD1351" s="901" t="s">
        <v>4418</v>
      </c>
    </row>
    <row r="1352" spans="29:30" ht="14.5" x14ac:dyDescent="0.35">
      <c r="AC1352" s="900" t="s">
        <v>4421</v>
      </c>
      <c r="AD1352" s="899" t="s">
        <v>4420</v>
      </c>
    </row>
    <row r="1353" spans="29:30" ht="14.5" x14ac:dyDescent="0.35">
      <c r="AC1353" s="902" t="s">
        <v>4423</v>
      </c>
      <c r="AD1353" s="901" t="s">
        <v>4422</v>
      </c>
    </row>
    <row r="1354" spans="29:30" ht="14.5" x14ac:dyDescent="0.35">
      <c r="AC1354" s="900" t="s">
        <v>4425</v>
      </c>
      <c r="AD1354" s="899" t="s">
        <v>4424</v>
      </c>
    </row>
    <row r="1355" spans="29:30" ht="14.5" x14ac:dyDescent="0.35">
      <c r="AC1355" s="902" t="s">
        <v>4427</v>
      </c>
      <c r="AD1355" s="901" t="s">
        <v>4426</v>
      </c>
    </row>
    <row r="1356" spans="29:30" ht="14.5" x14ac:dyDescent="0.35">
      <c r="AC1356" s="900" t="s">
        <v>4429</v>
      </c>
      <c r="AD1356" s="899" t="s">
        <v>4428</v>
      </c>
    </row>
    <row r="1357" spans="29:30" ht="14.5" x14ac:dyDescent="0.35">
      <c r="AC1357" s="902" t="s">
        <v>4431</v>
      </c>
      <c r="AD1357" s="901" t="s">
        <v>4430</v>
      </c>
    </row>
    <row r="1358" spans="29:30" ht="14.5" x14ac:dyDescent="0.35">
      <c r="AC1358" s="900" t="s">
        <v>4433</v>
      </c>
      <c r="AD1358" s="899" t="s">
        <v>4432</v>
      </c>
    </row>
    <row r="1359" spans="29:30" ht="14.5" x14ac:dyDescent="0.35">
      <c r="AC1359" s="902" t="s">
        <v>4435</v>
      </c>
      <c r="AD1359" s="901" t="s">
        <v>4434</v>
      </c>
    </row>
    <row r="1360" spans="29:30" ht="14.5" x14ac:dyDescent="0.35">
      <c r="AC1360" s="900" t="s">
        <v>4437</v>
      </c>
      <c r="AD1360" s="899" t="s">
        <v>4436</v>
      </c>
    </row>
    <row r="1361" spans="29:30" ht="14.5" x14ac:dyDescent="0.35">
      <c r="AC1361" s="902" t="s">
        <v>4439</v>
      </c>
      <c r="AD1361" s="901" t="s">
        <v>4438</v>
      </c>
    </row>
    <row r="1362" spans="29:30" ht="14.5" x14ac:dyDescent="0.35">
      <c r="AC1362" s="900" t="s">
        <v>4441</v>
      </c>
      <c r="AD1362" s="899" t="s">
        <v>4440</v>
      </c>
    </row>
    <row r="1363" spans="29:30" ht="14.5" x14ac:dyDescent="0.35">
      <c r="AC1363" s="902" t="s">
        <v>4443</v>
      </c>
      <c r="AD1363" s="901" t="s">
        <v>4442</v>
      </c>
    </row>
    <row r="1364" spans="29:30" ht="14.5" x14ac:dyDescent="0.35">
      <c r="AC1364" s="900" t="s">
        <v>4445</v>
      </c>
      <c r="AD1364" s="899" t="s">
        <v>4444</v>
      </c>
    </row>
    <row r="1365" spans="29:30" ht="14.5" x14ac:dyDescent="0.35">
      <c r="AC1365" s="902" t="s">
        <v>4447</v>
      </c>
      <c r="AD1365" s="901" t="s">
        <v>4446</v>
      </c>
    </row>
    <row r="1366" spans="29:30" ht="14.5" x14ac:dyDescent="0.35">
      <c r="AC1366" s="900" t="s">
        <v>4449</v>
      </c>
      <c r="AD1366" s="899" t="s">
        <v>4448</v>
      </c>
    </row>
    <row r="1367" spans="29:30" ht="14.5" x14ac:dyDescent="0.35">
      <c r="AC1367" s="902" t="s">
        <v>4451</v>
      </c>
      <c r="AD1367" s="901" t="s">
        <v>4450</v>
      </c>
    </row>
    <row r="1368" spans="29:30" ht="14.5" x14ac:dyDescent="0.35">
      <c r="AC1368" s="900" t="s">
        <v>4453</v>
      </c>
      <c r="AD1368" s="899" t="s">
        <v>4452</v>
      </c>
    </row>
    <row r="1369" spans="29:30" ht="14.5" x14ac:dyDescent="0.35">
      <c r="AC1369" s="902" t="s">
        <v>4455</v>
      </c>
      <c r="AD1369" s="901" t="s">
        <v>4454</v>
      </c>
    </row>
    <row r="1370" spans="29:30" ht="14.5" x14ac:dyDescent="0.35">
      <c r="AC1370" s="900" t="s">
        <v>4457</v>
      </c>
      <c r="AD1370" s="899" t="s">
        <v>4456</v>
      </c>
    </row>
    <row r="1371" spans="29:30" ht="14.5" x14ac:dyDescent="0.35">
      <c r="AC1371" s="902" t="s">
        <v>4459</v>
      </c>
      <c r="AD1371" s="901" t="s">
        <v>4458</v>
      </c>
    </row>
    <row r="1372" spans="29:30" ht="14.5" x14ac:dyDescent="0.35">
      <c r="AC1372" s="900" t="s">
        <v>4461</v>
      </c>
      <c r="AD1372" s="899" t="s">
        <v>4460</v>
      </c>
    </row>
    <row r="1373" spans="29:30" ht="14.5" x14ac:dyDescent="0.35">
      <c r="AC1373" s="902" t="s">
        <v>4463</v>
      </c>
      <c r="AD1373" s="901" t="s">
        <v>4462</v>
      </c>
    </row>
    <row r="1374" spans="29:30" ht="14.5" x14ac:dyDescent="0.35">
      <c r="AC1374" s="900" t="s">
        <v>4465</v>
      </c>
      <c r="AD1374" s="899" t="s">
        <v>4464</v>
      </c>
    </row>
    <row r="1375" spans="29:30" ht="14.5" x14ac:dyDescent="0.35">
      <c r="AC1375" s="902" t="s">
        <v>4467</v>
      </c>
      <c r="AD1375" s="901" t="s">
        <v>4466</v>
      </c>
    </row>
    <row r="1376" spans="29:30" ht="14.5" x14ac:dyDescent="0.35">
      <c r="AC1376" s="900" t="s">
        <v>4469</v>
      </c>
      <c r="AD1376" s="899" t="s">
        <v>4468</v>
      </c>
    </row>
    <row r="1377" spans="29:30" ht="14.5" x14ac:dyDescent="0.35">
      <c r="AC1377" s="902" t="s">
        <v>4471</v>
      </c>
      <c r="AD1377" s="901" t="s">
        <v>4470</v>
      </c>
    </row>
    <row r="1378" spans="29:30" ht="14.5" x14ac:dyDescent="0.35">
      <c r="AC1378" s="900" t="s">
        <v>4473</v>
      </c>
      <c r="AD1378" s="899" t="s">
        <v>4472</v>
      </c>
    </row>
    <row r="1379" spans="29:30" ht="14.5" x14ac:dyDescent="0.35">
      <c r="AC1379" s="902" t="s">
        <v>4475</v>
      </c>
      <c r="AD1379" s="901" t="s">
        <v>4474</v>
      </c>
    </row>
    <row r="1380" spans="29:30" ht="14.5" x14ac:dyDescent="0.35">
      <c r="AC1380" s="900" t="s">
        <v>4477</v>
      </c>
      <c r="AD1380" s="899" t="s">
        <v>4476</v>
      </c>
    </row>
    <row r="1381" spans="29:30" ht="14.5" x14ac:dyDescent="0.35">
      <c r="AC1381" s="902" t="s">
        <v>4479</v>
      </c>
      <c r="AD1381" s="901" t="s">
        <v>4478</v>
      </c>
    </row>
    <row r="1382" spans="29:30" ht="14.5" x14ac:dyDescent="0.35">
      <c r="AC1382" s="900" t="s">
        <v>4481</v>
      </c>
      <c r="AD1382" s="899" t="s">
        <v>4480</v>
      </c>
    </row>
    <row r="1383" spans="29:30" ht="14.5" x14ac:dyDescent="0.35">
      <c r="AC1383" s="902" t="s">
        <v>4483</v>
      </c>
      <c r="AD1383" s="901" t="s">
        <v>4482</v>
      </c>
    </row>
    <row r="1384" spans="29:30" ht="14.5" x14ac:dyDescent="0.35">
      <c r="AC1384" s="900" t="s">
        <v>4485</v>
      </c>
      <c r="AD1384" s="899" t="s">
        <v>4484</v>
      </c>
    </row>
    <row r="1385" spans="29:30" ht="14.5" x14ac:dyDescent="0.35">
      <c r="AC1385" s="902" t="s">
        <v>4487</v>
      </c>
      <c r="AD1385" s="901" t="s">
        <v>4486</v>
      </c>
    </row>
    <row r="1386" spans="29:30" ht="14.5" x14ac:dyDescent="0.35">
      <c r="AC1386" s="900" t="s">
        <v>4489</v>
      </c>
      <c r="AD1386" s="899" t="s">
        <v>4488</v>
      </c>
    </row>
    <row r="1387" spans="29:30" ht="14.5" x14ac:dyDescent="0.35">
      <c r="AC1387" s="902" t="s">
        <v>4491</v>
      </c>
      <c r="AD1387" s="901" t="s">
        <v>4490</v>
      </c>
    </row>
    <row r="1388" spans="29:30" ht="14.5" x14ac:dyDescent="0.35">
      <c r="AC1388" s="900" t="s">
        <v>4493</v>
      </c>
      <c r="AD1388" s="899" t="s">
        <v>4492</v>
      </c>
    </row>
    <row r="1389" spans="29:30" ht="14.5" x14ac:dyDescent="0.35">
      <c r="AC1389" s="902" t="s">
        <v>4495</v>
      </c>
      <c r="AD1389" s="901" t="s">
        <v>4494</v>
      </c>
    </row>
    <row r="1390" spans="29:30" ht="14.5" x14ac:dyDescent="0.35">
      <c r="AC1390" s="900" t="s">
        <v>4497</v>
      </c>
      <c r="AD1390" s="899" t="s">
        <v>4496</v>
      </c>
    </row>
    <row r="1391" spans="29:30" ht="14.5" x14ac:dyDescent="0.35">
      <c r="AC1391" s="902" t="s">
        <v>4499</v>
      </c>
      <c r="AD1391" s="901" t="s">
        <v>4498</v>
      </c>
    </row>
    <row r="1392" spans="29:30" ht="14.5" x14ac:dyDescent="0.35">
      <c r="AC1392" s="900" t="s">
        <v>4501</v>
      </c>
      <c r="AD1392" s="899" t="s">
        <v>4500</v>
      </c>
    </row>
    <row r="1393" spans="29:30" ht="14.5" x14ac:dyDescent="0.35">
      <c r="AC1393" s="902" t="s">
        <v>4503</v>
      </c>
      <c r="AD1393" s="901" t="s">
        <v>4502</v>
      </c>
    </row>
    <row r="1394" spans="29:30" ht="14.5" x14ac:dyDescent="0.35">
      <c r="AC1394" s="900" t="s">
        <v>4505</v>
      </c>
      <c r="AD1394" s="899" t="s">
        <v>4504</v>
      </c>
    </row>
    <row r="1395" spans="29:30" ht="14.5" x14ac:dyDescent="0.35">
      <c r="AC1395" s="902" t="s">
        <v>4507</v>
      </c>
      <c r="AD1395" s="901" t="s">
        <v>4506</v>
      </c>
    </row>
    <row r="1396" spans="29:30" ht="14.5" x14ac:dyDescent="0.35">
      <c r="AC1396" s="900" t="s">
        <v>4509</v>
      </c>
      <c r="AD1396" s="899" t="s">
        <v>4508</v>
      </c>
    </row>
    <row r="1397" spans="29:30" ht="14.5" x14ac:dyDescent="0.35">
      <c r="AC1397" s="902" t="s">
        <v>4511</v>
      </c>
      <c r="AD1397" s="901" t="s">
        <v>4510</v>
      </c>
    </row>
    <row r="1398" spans="29:30" ht="14.5" x14ac:dyDescent="0.35">
      <c r="AC1398" s="900" t="s">
        <v>4513</v>
      </c>
      <c r="AD1398" s="899" t="s">
        <v>4512</v>
      </c>
    </row>
    <row r="1399" spans="29:30" ht="14.5" x14ac:dyDescent="0.35">
      <c r="AC1399" s="902" t="s">
        <v>4515</v>
      </c>
      <c r="AD1399" s="901" t="s">
        <v>4514</v>
      </c>
    </row>
    <row r="1400" spans="29:30" ht="14.5" x14ac:dyDescent="0.35">
      <c r="AC1400" s="900" t="s">
        <v>4517</v>
      </c>
      <c r="AD1400" s="899" t="s">
        <v>4516</v>
      </c>
    </row>
    <row r="1401" spans="29:30" ht="14.5" x14ac:dyDescent="0.35">
      <c r="AC1401" s="902" t="s">
        <v>4519</v>
      </c>
      <c r="AD1401" s="901" t="s">
        <v>4518</v>
      </c>
    </row>
    <row r="1402" spans="29:30" ht="14.5" x14ac:dyDescent="0.35">
      <c r="AC1402" s="900" t="s">
        <v>4521</v>
      </c>
      <c r="AD1402" s="899" t="s">
        <v>4520</v>
      </c>
    </row>
    <row r="1403" spans="29:30" ht="14.5" x14ac:dyDescent="0.35">
      <c r="AC1403" s="902" t="s">
        <v>4523</v>
      </c>
      <c r="AD1403" s="901" t="s">
        <v>4522</v>
      </c>
    </row>
    <row r="1404" spans="29:30" ht="14.5" x14ac:dyDescent="0.35">
      <c r="AC1404" s="900" t="s">
        <v>4525</v>
      </c>
      <c r="AD1404" s="899" t="s">
        <v>4524</v>
      </c>
    </row>
    <row r="1405" spans="29:30" ht="14.5" x14ac:dyDescent="0.35">
      <c r="AC1405" s="902" t="s">
        <v>4527</v>
      </c>
      <c r="AD1405" s="901" t="s">
        <v>4526</v>
      </c>
    </row>
    <row r="1406" spans="29:30" ht="14.5" x14ac:dyDescent="0.35">
      <c r="AC1406" s="900" t="s">
        <v>4529</v>
      </c>
      <c r="AD1406" s="899" t="s">
        <v>4528</v>
      </c>
    </row>
    <row r="1407" spans="29:30" ht="14.5" x14ac:dyDescent="0.35">
      <c r="AC1407" s="902" t="s">
        <v>4531</v>
      </c>
      <c r="AD1407" s="901" t="s">
        <v>4530</v>
      </c>
    </row>
    <row r="1408" spans="29:30" ht="14.5" x14ac:dyDescent="0.35">
      <c r="AC1408" s="900" t="s">
        <v>4533</v>
      </c>
      <c r="AD1408" s="899" t="s">
        <v>4532</v>
      </c>
    </row>
    <row r="1409" spans="29:30" ht="14.5" x14ac:dyDescent="0.35">
      <c r="AC1409" s="902" t="s">
        <v>4535</v>
      </c>
      <c r="AD1409" s="901" t="s">
        <v>4534</v>
      </c>
    </row>
    <row r="1410" spans="29:30" ht="14.5" x14ac:dyDescent="0.35">
      <c r="AC1410" s="900" t="s">
        <v>4537</v>
      </c>
      <c r="AD1410" s="899" t="s">
        <v>4536</v>
      </c>
    </row>
    <row r="1411" spans="29:30" ht="14.5" x14ac:dyDescent="0.35">
      <c r="AC1411" s="902" t="s">
        <v>4539</v>
      </c>
      <c r="AD1411" s="901" t="s">
        <v>4538</v>
      </c>
    </row>
    <row r="1412" spans="29:30" ht="14.5" x14ac:dyDescent="0.35">
      <c r="AC1412" s="900" t="s">
        <v>4541</v>
      </c>
      <c r="AD1412" s="899" t="s">
        <v>4540</v>
      </c>
    </row>
    <row r="1413" spans="29:30" ht="14.5" x14ac:dyDescent="0.35">
      <c r="AC1413" s="902" t="s">
        <v>4543</v>
      </c>
      <c r="AD1413" s="901" t="s">
        <v>4542</v>
      </c>
    </row>
    <row r="1414" spans="29:30" ht="14.5" x14ac:dyDescent="0.35">
      <c r="AC1414" s="900" t="s">
        <v>4545</v>
      </c>
      <c r="AD1414" s="899" t="s">
        <v>4544</v>
      </c>
    </row>
    <row r="1415" spans="29:30" ht="14.5" x14ac:dyDescent="0.35">
      <c r="AC1415" s="902" t="s">
        <v>4547</v>
      </c>
      <c r="AD1415" s="901" t="s">
        <v>4546</v>
      </c>
    </row>
    <row r="1416" spans="29:30" ht="14.5" x14ac:dyDescent="0.35">
      <c r="AC1416" s="900" t="s">
        <v>4549</v>
      </c>
      <c r="AD1416" s="899" t="s">
        <v>4548</v>
      </c>
    </row>
    <row r="1417" spans="29:30" ht="14.5" x14ac:dyDescent="0.35">
      <c r="AC1417" s="902" t="s">
        <v>4551</v>
      </c>
      <c r="AD1417" s="901" t="s">
        <v>4550</v>
      </c>
    </row>
    <row r="1418" spans="29:30" ht="14.5" x14ac:dyDescent="0.35">
      <c r="AC1418" s="900" t="s">
        <v>4553</v>
      </c>
      <c r="AD1418" s="899" t="s">
        <v>4552</v>
      </c>
    </row>
    <row r="1419" spans="29:30" ht="14.5" x14ac:dyDescent="0.35">
      <c r="AC1419" s="902" t="s">
        <v>4555</v>
      </c>
      <c r="AD1419" s="901" t="s">
        <v>4554</v>
      </c>
    </row>
    <row r="1420" spans="29:30" ht="14.5" x14ac:dyDescent="0.35">
      <c r="AC1420" s="900" t="s">
        <v>4557</v>
      </c>
      <c r="AD1420" s="899" t="s">
        <v>4556</v>
      </c>
    </row>
    <row r="1421" spans="29:30" ht="14.5" x14ac:dyDescent="0.35">
      <c r="AC1421" s="902" t="s">
        <v>4559</v>
      </c>
      <c r="AD1421" s="901" t="s">
        <v>4558</v>
      </c>
    </row>
    <row r="1422" spans="29:30" ht="14.5" x14ac:dyDescent="0.35">
      <c r="AC1422" s="900" t="s">
        <v>4561</v>
      </c>
      <c r="AD1422" s="899" t="s">
        <v>4560</v>
      </c>
    </row>
    <row r="1423" spans="29:30" ht="14.5" x14ac:dyDescent="0.35">
      <c r="AC1423" s="902" t="s">
        <v>4563</v>
      </c>
      <c r="AD1423" s="901" t="s">
        <v>4562</v>
      </c>
    </row>
    <row r="1424" spans="29:30" ht="14.5" x14ac:dyDescent="0.35">
      <c r="AC1424" s="900" t="s">
        <v>4565</v>
      </c>
      <c r="AD1424" s="899" t="s">
        <v>4564</v>
      </c>
    </row>
    <row r="1425" spans="29:30" ht="14.5" x14ac:dyDescent="0.35">
      <c r="AC1425" s="902" t="s">
        <v>4567</v>
      </c>
      <c r="AD1425" s="901" t="s">
        <v>4566</v>
      </c>
    </row>
    <row r="1426" spans="29:30" ht="14.5" x14ac:dyDescent="0.35">
      <c r="AC1426" s="900" t="s">
        <v>4569</v>
      </c>
      <c r="AD1426" s="899" t="s">
        <v>4568</v>
      </c>
    </row>
    <row r="1427" spans="29:30" ht="14.5" x14ac:dyDescent="0.35">
      <c r="AC1427" s="902" t="s">
        <v>4571</v>
      </c>
      <c r="AD1427" s="901" t="s">
        <v>4570</v>
      </c>
    </row>
    <row r="1428" spans="29:30" ht="14.5" x14ac:dyDescent="0.35">
      <c r="AC1428" s="900" t="s">
        <v>4573</v>
      </c>
      <c r="AD1428" s="899" t="s">
        <v>4572</v>
      </c>
    </row>
    <row r="1429" spans="29:30" ht="14.5" x14ac:dyDescent="0.35">
      <c r="AC1429" s="902" t="s">
        <v>4575</v>
      </c>
      <c r="AD1429" s="901" t="s">
        <v>4574</v>
      </c>
    </row>
    <row r="1430" spans="29:30" ht="14.5" x14ac:dyDescent="0.35">
      <c r="AC1430" s="900" t="s">
        <v>4577</v>
      </c>
      <c r="AD1430" s="899" t="s">
        <v>4576</v>
      </c>
    </row>
    <row r="1431" spans="29:30" ht="14.5" x14ac:dyDescent="0.35">
      <c r="AC1431" s="902" t="s">
        <v>4579</v>
      </c>
      <c r="AD1431" s="901" t="s">
        <v>4578</v>
      </c>
    </row>
    <row r="1432" spans="29:30" ht="14.5" x14ac:dyDescent="0.35">
      <c r="AC1432" s="900" t="s">
        <v>4581</v>
      </c>
      <c r="AD1432" s="899" t="s">
        <v>4580</v>
      </c>
    </row>
    <row r="1433" spans="29:30" ht="14.5" x14ac:dyDescent="0.35">
      <c r="AC1433" s="902" t="s">
        <v>4583</v>
      </c>
      <c r="AD1433" s="901" t="s">
        <v>4582</v>
      </c>
    </row>
    <row r="1434" spans="29:30" ht="14.5" x14ac:dyDescent="0.35">
      <c r="AC1434" s="900" t="s">
        <v>4585</v>
      </c>
      <c r="AD1434" s="899" t="s">
        <v>4584</v>
      </c>
    </row>
    <row r="1435" spans="29:30" ht="14.5" x14ac:dyDescent="0.35">
      <c r="AC1435" s="902" t="s">
        <v>4587</v>
      </c>
      <c r="AD1435" s="901" t="s">
        <v>4586</v>
      </c>
    </row>
    <row r="1436" spans="29:30" ht="14.5" x14ac:dyDescent="0.35">
      <c r="AC1436" s="900" t="s">
        <v>4589</v>
      </c>
      <c r="AD1436" s="899" t="s">
        <v>4588</v>
      </c>
    </row>
    <row r="1437" spans="29:30" ht="14.5" x14ac:dyDescent="0.35">
      <c r="AC1437" s="902" t="s">
        <v>4591</v>
      </c>
      <c r="AD1437" s="901" t="s">
        <v>4590</v>
      </c>
    </row>
    <row r="1438" spans="29:30" ht="14.5" x14ac:dyDescent="0.35">
      <c r="AC1438" s="900" t="s">
        <v>4593</v>
      </c>
      <c r="AD1438" s="899" t="s">
        <v>4592</v>
      </c>
    </row>
    <row r="1439" spans="29:30" ht="14.5" x14ac:dyDescent="0.35">
      <c r="AC1439" s="902" t="s">
        <v>4595</v>
      </c>
      <c r="AD1439" s="901" t="s">
        <v>4594</v>
      </c>
    </row>
    <row r="1440" spans="29:30" ht="14.5" x14ac:dyDescent="0.35">
      <c r="AC1440" s="900" t="s">
        <v>4597</v>
      </c>
      <c r="AD1440" s="899" t="s">
        <v>4596</v>
      </c>
    </row>
    <row r="1441" spans="29:30" ht="14.5" x14ac:dyDescent="0.35">
      <c r="AC1441" s="902" t="s">
        <v>4599</v>
      </c>
      <c r="AD1441" s="901" t="s">
        <v>4598</v>
      </c>
    </row>
    <row r="1442" spans="29:30" ht="14.5" x14ac:dyDescent="0.35">
      <c r="AC1442" s="900" t="s">
        <v>4601</v>
      </c>
      <c r="AD1442" s="899" t="s">
        <v>4600</v>
      </c>
    </row>
    <row r="1443" spans="29:30" ht="14.5" x14ac:dyDescent="0.35">
      <c r="AC1443" s="902" t="s">
        <v>4603</v>
      </c>
      <c r="AD1443" s="901" t="s">
        <v>4602</v>
      </c>
    </row>
    <row r="1444" spans="29:30" ht="14.5" x14ac:dyDescent="0.35">
      <c r="AC1444" s="900" t="s">
        <v>4605</v>
      </c>
      <c r="AD1444" s="899" t="s">
        <v>4604</v>
      </c>
    </row>
    <row r="1445" spans="29:30" ht="14.5" x14ac:dyDescent="0.35">
      <c r="AC1445" s="902" t="s">
        <v>4607</v>
      </c>
      <c r="AD1445" s="901" t="s">
        <v>4606</v>
      </c>
    </row>
    <row r="1446" spans="29:30" ht="14.5" x14ac:dyDescent="0.35">
      <c r="AC1446" s="900" t="s">
        <v>4609</v>
      </c>
      <c r="AD1446" s="899" t="s">
        <v>4608</v>
      </c>
    </row>
    <row r="1447" spans="29:30" ht="14.5" x14ac:dyDescent="0.35">
      <c r="AC1447" s="902" t="s">
        <v>4611</v>
      </c>
      <c r="AD1447" s="901" t="s">
        <v>4610</v>
      </c>
    </row>
    <row r="1448" spans="29:30" ht="14.5" x14ac:dyDescent="0.35">
      <c r="AC1448" s="900" t="s">
        <v>4613</v>
      </c>
      <c r="AD1448" s="899" t="s">
        <v>4612</v>
      </c>
    </row>
    <row r="1449" spans="29:30" ht="14.5" x14ac:dyDescent="0.35">
      <c r="AC1449" s="902" t="s">
        <v>4615</v>
      </c>
      <c r="AD1449" s="901" t="s">
        <v>4614</v>
      </c>
    </row>
    <row r="1450" spans="29:30" ht="14.5" x14ac:dyDescent="0.35">
      <c r="AC1450" s="900" t="s">
        <v>4617</v>
      </c>
      <c r="AD1450" s="899" t="s">
        <v>4616</v>
      </c>
    </row>
    <row r="1451" spans="29:30" ht="14.5" x14ac:dyDescent="0.35">
      <c r="AC1451" s="902" t="s">
        <v>4619</v>
      </c>
      <c r="AD1451" s="901" t="s">
        <v>4618</v>
      </c>
    </row>
    <row r="1452" spans="29:30" ht="14.5" x14ac:dyDescent="0.35">
      <c r="AC1452" s="900" t="s">
        <v>4621</v>
      </c>
      <c r="AD1452" s="899" t="s">
        <v>4620</v>
      </c>
    </row>
    <row r="1453" spans="29:30" ht="14.5" x14ac:dyDescent="0.35">
      <c r="AC1453" s="902" t="s">
        <v>4623</v>
      </c>
      <c r="AD1453" s="901" t="s">
        <v>4622</v>
      </c>
    </row>
    <row r="1454" spans="29:30" ht="14.5" x14ac:dyDescent="0.35">
      <c r="AC1454" s="900" t="s">
        <v>4625</v>
      </c>
      <c r="AD1454" s="899" t="s">
        <v>4624</v>
      </c>
    </row>
    <row r="1455" spans="29:30" ht="14.5" x14ac:dyDescent="0.35">
      <c r="AC1455" s="902" t="s">
        <v>4627</v>
      </c>
      <c r="AD1455" s="901" t="s">
        <v>4626</v>
      </c>
    </row>
    <row r="1456" spans="29:30" ht="14.5" x14ac:dyDescent="0.35">
      <c r="AC1456" s="900" t="s">
        <v>4629</v>
      </c>
      <c r="AD1456" s="899" t="s">
        <v>4628</v>
      </c>
    </row>
    <row r="1457" spans="29:30" ht="14.5" x14ac:dyDescent="0.35">
      <c r="AC1457" s="902" t="s">
        <v>4631</v>
      </c>
      <c r="AD1457" s="901" t="s">
        <v>4630</v>
      </c>
    </row>
    <row r="1458" spans="29:30" ht="14.5" x14ac:dyDescent="0.35">
      <c r="AC1458" s="900" t="s">
        <v>4633</v>
      </c>
      <c r="AD1458" s="899" t="s">
        <v>4632</v>
      </c>
    </row>
    <row r="1459" spans="29:30" ht="14.5" x14ac:dyDescent="0.35">
      <c r="AC1459" s="902" t="s">
        <v>4635</v>
      </c>
      <c r="AD1459" s="901" t="s">
        <v>4634</v>
      </c>
    </row>
    <row r="1460" spans="29:30" ht="14.5" x14ac:dyDescent="0.35">
      <c r="AC1460" s="900" t="s">
        <v>4637</v>
      </c>
      <c r="AD1460" s="899" t="s">
        <v>4636</v>
      </c>
    </row>
    <row r="1461" spans="29:30" ht="14.5" x14ac:dyDescent="0.35">
      <c r="AC1461" s="902" t="s">
        <v>4639</v>
      </c>
      <c r="AD1461" s="901" t="s">
        <v>4638</v>
      </c>
    </row>
    <row r="1462" spans="29:30" ht="14.5" x14ac:dyDescent="0.35">
      <c r="AC1462" s="900" t="s">
        <v>4641</v>
      </c>
      <c r="AD1462" s="899" t="s">
        <v>4640</v>
      </c>
    </row>
    <row r="1463" spans="29:30" ht="14.5" x14ac:dyDescent="0.35">
      <c r="AC1463" s="902" t="s">
        <v>4643</v>
      </c>
      <c r="AD1463" s="901" t="s">
        <v>4642</v>
      </c>
    </row>
    <row r="1464" spans="29:30" ht="14.5" x14ac:dyDescent="0.35">
      <c r="AC1464" s="900" t="s">
        <v>4645</v>
      </c>
      <c r="AD1464" s="899" t="s">
        <v>4644</v>
      </c>
    </row>
    <row r="1465" spans="29:30" ht="14.5" x14ac:dyDescent="0.35">
      <c r="AC1465" s="902" t="s">
        <v>4647</v>
      </c>
      <c r="AD1465" s="901" t="s">
        <v>4646</v>
      </c>
    </row>
    <row r="1466" spans="29:30" ht="14.5" x14ac:dyDescent="0.35">
      <c r="AC1466" s="900" t="s">
        <v>4649</v>
      </c>
      <c r="AD1466" s="899" t="s">
        <v>4648</v>
      </c>
    </row>
    <row r="1467" spans="29:30" ht="14.5" x14ac:dyDescent="0.35">
      <c r="AC1467" s="902" t="s">
        <v>4651</v>
      </c>
      <c r="AD1467" s="901" t="s">
        <v>4650</v>
      </c>
    </row>
    <row r="1468" spans="29:30" ht="14.5" x14ac:dyDescent="0.35">
      <c r="AC1468" s="900" t="s">
        <v>4653</v>
      </c>
      <c r="AD1468" s="899" t="s">
        <v>4652</v>
      </c>
    </row>
    <row r="1469" spans="29:30" ht="14.5" x14ac:dyDescent="0.35">
      <c r="AC1469" s="902" t="s">
        <v>4655</v>
      </c>
      <c r="AD1469" s="901" t="s">
        <v>4654</v>
      </c>
    </row>
    <row r="1470" spans="29:30" ht="14.5" x14ac:dyDescent="0.35">
      <c r="AC1470" s="900" t="s">
        <v>4657</v>
      </c>
      <c r="AD1470" s="899" t="s">
        <v>4656</v>
      </c>
    </row>
    <row r="1471" spans="29:30" ht="14.5" x14ac:dyDescent="0.35">
      <c r="AC1471" s="902" t="s">
        <v>4659</v>
      </c>
      <c r="AD1471" s="901" t="s">
        <v>4658</v>
      </c>
    </row>
    <row r="1472" spans="29:30" ht="14.5" x14ac:dyDescent="0.35">
      <c r="AC1472" s="900" t="s">
        <v>4661</v>
      </c>
      <c r="AD1472" s="899" t="s">
        <v>4660</v>
      </c>
    </row>
    <row r="1473" spans="29:30" ht="14.5" x14ac:dyDescent="0.35">
      <c r="AC1473" s="902" t="s">
        <v>4663</v>
      </c>
      <c r="AD1473" s="901" t="s">
        <v>4662</v>
      </c>
    </row>
    <row r="1474" spans="29:30" ht="14.5" x14ac:dyDescent="0.35">
      <c r="AC1474" s="900" t="s">
        <v>4665</v>
      </c>
      <c r="AD1474" s="899" t="s">
        <v>4664</v>
      </c>
    </row>
    <row r="1475" spans="29:30" ht="14.5" x14ac:dyDescent="0.35">
      <c r="AC1475" s="902" t="s">
        <v>4667</v>
      </c>
      <c r="AD1475" s="901" t="s">
        <v>4666</v>
      </c>
    </row>
    <row r="1476" spans="29:30" ht="14.5" x14ac:dyDescent="0.35">
      <c r="AC1476" s="900" t="s">
        <v>4669</v>
      </c>
      <c r="AD1476" s="899" t="s">
        <v>4668</v>
      </c>
    </row>
    <row r="1477" spans="29:30" ht="14.5" x14ac:dyDescent="0.35">
      <c r="AC1477" s="902" t="s">
        <v>4671</v>
      </c>
      <c r="AD1477" s="901" t="s">
        <v>4670</v>
      </c>
    </row>
    <row r="1478" spans="29:30" ht="14.5" x14ac:dyDescent="0.35">
      <c r="AC1478" s="900" t="s">
        <v>4673</v>
      </c>
      <c r="AD1478" s="899" t="s">
        <v>4672</v>
      </c>
    </row>
    <row r="1479" spans="29:30" ht="14.5" x14ac:dyDescent="0.35">
      <c r="AC1479" s="902" t="s">
        <v>4675</v>
      </c>
      <c r="AD1479" s="901" t="s">
        <v>4674</v>
      </c>
    </row>
    <row r="1480" spans="29:30" ht="14.5" x14ac:dyDescent="0.35">
      <c r="AC1480" s="900" t="s">
        <v>4677</v>
      </c>
      <c r="AD1480" s="899" t="s">
        <v>4676</v>
      </c>
    </row>
    <row r="1481" spans="29:30" ht="14.5" x14ac:dyDescent="0.35">
      <c r="AC1481" s="902" t="s">
        <v>4679</v>
      </c>
      <c r="AD1481" s="901" t="s">
        <v>4678</v>
      </c>
    </row>
    <row r="1482" spans="29:30" ht="14.5" x14ac:dyDescent="0.35">
      <c r="AC1482" s="900" t="s">
        <v>4681</v>
      </c>
      <c r="AD1482" s="899" t="s">
        <v>4680</v>
      </c>
    </row>
    <row r="1483" spans="29:30" ht="14.5" x14ac:dyDescent="0.35">
      <c r="AC1483" s="902" t="s">
        <v>4683</v>
      </c>
      <c r="AD1483" s="901" t="s">
        <v>4682</v>
      </c>
    </row>
    <row r="1484" spans="29:30" ht="14.5" x14ac:dyDescent="0.35">
      <c r="AC1484" s="900" t="s">
        <v>4685</v>
      </c>
      <c r="AD1484" s="899" t="s">
        <v>4684</v>
      </c>
    </row>
    <row r="1485" spans="29:30" ht="14.5" x14ac:dyDescent="0.35">
      <c r="AC1485" s="902" t="s">
        <v>4687</v>
      </c>
      <c r="AD1485" s="901" t="s">
        <v>4686</v>
      </c>
    </row>
    <row r="1486" spans="29:30" ht="14.5" x14ac:dyDescent="0.35">
      <c r="AC1486" s="900" t="s">
        <v>4689</v>
      </c>
      <c r="AD1486" s="899" t="s">
        <v>4688</v>
      </c>
    </row>
    <row r="1487" spans="29:30" ht="14.5" x14ac:dyDescent="0.35">
      <c r="AC1487" s="902" t="s">
        <v>4691</v>
      </c>
      <c r="AD1487" s="901" t="s">
        <v>4690</v>
      </c>
    </row>
    <row r="1488" spans="29:30" ht="14.5" x14ac:dyDescent="0.35">
      <c r="AC1488" s="900" t="s">
        <v>4693</v>
      </c>
      <c r="AD1488" s="899" t="s">
        <v>4692</v>
      </c>
    </row>
    <row r="1489" spans="29:30" ht="14.5" x14ac:dyDescent="0.35">
      <c r="AC1489" s="902" t="s">
        <v>4695</v>
      </c>
      <c r="AD1489" s="901" t="s">
        <v>4694</v>
      </c>
    </row>
    <row r="1490" spans="29:30" ht="14.5" x14ac:dyDescent="0.35">
      <c r="AC1490" s="900" t="s">
        <v>4697</v>
      </c>
      <c r="AD1490" s="899" t="s">
        <v>4696</v>
      </c>
    </row>
    <row r="1491" spans="29:30" ht="14.5" x14ac:dyDescent="0.35">
      <c r="AC1491" s="902" t="s">
        <v>4699</v>
      </c>
      <c r="AD1491" s="901" t="s">
        <v>4698</v>
      </c>
    </row>
    <row r="1492" spans="29:30" ht="14.5" x14ac:dyDescent="0.35">
      <c r="AC1492" s="900" t="s">
        <v>4701</v>
      </c>
      <c r="AD1492" s="899" t="s">
        <v>4700</v>
      </c>
    </row>
    <row r="1493" spans="29:30" ht="14.5" x14ac:dyDescent="0.35">
      <c r="AC1493" s="902" t="s">
        <v>4703</v>
      </c>
      <c r="AD1493" s="901" t="s">
        <v>4702</v>
      </c>
    </row>
    <row r="1494" spans="29:30" ht="14.5" x14ac:dyDescent="0.35">
      <c r="AC1494" s="900" t="s">
        <v>4705</v>
      </c>
      <c r="AD1494" s="899" t="s">
        <v>4704</v>
      </c>
    </row>
    <row r="1495" spans="29:30" ht="14.5" x14ac:dyDescent="0.35">
      <c r="AC1495" s="902" t="s">
        <v>4707</v>
      </c>
      <c r="AD1495" s="901" t="s">
        <v>4706</v>
      </c>
    </row>
    <row r="1496" spans="29:30" ht="14.5" x14ac:dyDescent="0.35">
      <c r="AC1496" s="900" t="s">
        <v>4709</v>
      </c>
      <c r="AD1496" s="899" t="s">
        <v>4708</v>
      </c>
    </row>
    <row r="1497" spans="29:30" ht="14.5" x14ac:dyDescent="0.35">
      <c r="AC1497" s="902" t="s">
        <v>4711</v>
      </c>
      <c r="AD1497" s="901" t="s">
        <v>4710</v>
      </c>
    </row>
    <row r="1498" spans="29:30" ht="14.5" x14ac:dyDescent="0.35">
      <c r="AC1498" s="900" t="s">
        <v>4713</v>
      </c>
      <c r="AD1498" s="899" t="s">
        <v>4712</v>
      </c>
    </row>
    <row r="1499" spans="29:30" ht="14.5" x14ac:dyDescent="0.35">
      <c r="AC1499" s="902" t="s">
        <v>4715</v>
      </c>
      <c r="AD1499" s="901" t="s">
        <v>4714</v>
      </c>
    </row>
    <row r="1500" spans="29:30" ht="14.5" x14ac:dyDescent="0.35">
      <c r="AC1500" s="900" t="s">
        <v>4717</v>
      </c>
      <c r="AD1500" s="899" t="s">
        <v>4716</v>
      </c>
    </row>
    <row r="1501" spans="29:30" ht="14.5" x14ac:dyDescent="0.35">
      <c r="AC1501" s="902" t="s">
        <v>4719</v>
      </c>
      <c r="AD1501" s="901" t="s">
        <v>4718</v>
      </c>
    </row>
    <row r="1502" spans="29:30" ht="14.5" x14ac:dyDescent="0.35">
      <c r="AC1502" s="900" t="s">
        <v>4721</v>
      </c>
      <c r="AD1502" s="899" t="s">
        <v>4720</v>
      </c>
    </row>
    <row r="1503" spans="29:30" ht="14.5" x14ac:dyDescent="0.35">
      <c r="AC1503" s="902" t="s">
        <v>4723</v>
      </c>
      <c r="AD1503" s="901" t="s">
        <v>4722</v>
      </c>
    </row>
    <row r="1504" spans="29:30" ht="14.5" x14ac:dyDescent="0.35">
      <c r="AC1504" s="900" t="s">
        <v>4725</v>
      </c>
      <c r="AD1504" s="899" t="s">
        <v>4724</v>
      </c>
    </row>
    <row r="1505" spans="29:30" ht="14.5" x14ac:dyDescent="0.35">
      <c r="AC1505" s="902" t="s">
        <v>4727</v>
      </c>
      <c r="AD1505" s="901" t="s">
        <v>4726</v>
      </c>
    </row>
    <row r="1506" spans="29:30" ht="14.5" x14ac:dyDescent="0.35">
      <c r="AC1506" s="900" t="s">
        <v>4729</v>
      </c>
      <c r="AD1506" s="899" t="s">
        <v>4728</v>
      </c>
    </row>
    <row r="1507" spans="29:30" ht="14.5" x14ac:dyDescent="0.35">
      <c r="AC1507" s="902" t="s">
        <v>4731</v>
      </c>
      <c r="AD1507" s="901" t="s">
        <v>4730</v>
      </c>
    </row>
    <row r="1508" spans="29:30" ht="14.5" x14ac:dyDescent="0.35">
      <c r="AC1508" s="900" t="s">
        <v>4733</v>
      </c>
      <c r="AD1508" s="899" t="s">
        <v>4732</v>
      </c>
    </row>
    <row r="1509" spans="29:30" ht="14.5" x14ac:dyDescent="0.35">
      <c r="AC1509" s="902" t="s">
        <v>4735</v>
      </c>
      <c r="AD1509" s="901" t="s">
        <v>4734</v>
      </c>
    </row>
    <row r="1510" spans="29:30" ht="14.5" x14ac:dyDescent="0.35">
      <c r="AC1510" s="900" t="s">
        <v>4737</v>
      </c>
      <c r="AD1510" s="899" t="s">
        <v>4736</v>
      </c>
    </row>
    <row r="1511" spans="29:30" ht="14.5" x14ac:dyDescent="0.35">
      <c r="AC1511" s="902" t="s">
        <v>4739</v>
      </c>
      <c r="AD1511" s="901" t="s">
        <v>4738</v>
      </c>
    </row>
    <row r="1512" spans="29:30" ht="14.5" x14ac:dyDescent="0.35">
      <c r="AC1512" s="900" t="s">
        <v>4741</v>
      </c>
      <c r="AD1512" s="899" t="s">
        <v>4740</v>
      </c>
    </row>
    <row r="1513" spans="29:30" ht="14.5" x14ac:dyDescent="0.35">
      <c r="AC1513" s="902" t="s">
        <v>4743</v>
      </c>
      <c r="AD1513" s="901" t="s">
        <v>4742</v>
      </c>
    </row>
    <row r="1514" spans="29:30" ht="14.5" x14ac:dyDescent="0.35">
      <c r="AC1514" s="900" t="s">
        <v>4745</v>
      </c>
      <c r="AD1514" s="899" t="s">
        <v>4744</v>
      </c>
    </row>
    <row r="1515" spans="29:30" ht="14.5" x14ac:dyDescent="0.35">
      <c r="AC1515" s="902" t="s">
        <v>4747</v>
      </c>
      <c r="AD1515" s="901" t="s">
        <v>4746</v>
      </c>
    </row>
    <row r="1516" spans="29:30" ht="14.5" x14ac:dyDescent="0.35">
      <c r="AC1516" s="900" t="s">
        <v>4749</v>
      </c>
      <c r="AD1516" s="899" t="s">
        <v>4748</v>
      </c>
    </row>
    <row r="1517" spans="29:30" ht="14.5" x14ac:dyDescent="0.35">
      <c r="AC1517" s="902" t="s">
        <v>4751</v>
      </c>
      <c r="AD1517" s="901" t="s">
        <v>4750</v>
      </c>
    </row>
    <row r="1518" spans="29:30" ht="14.5" x14ac:dyDescent="0.35">
      <c r="AC1518" s="900" t="s">
        <v>4753</v>
      </c>
      <c r="AD1518" s="899" t="s">
        <v>4752</v>
      </c>
    </row>
    <row r="1519" spans="29:30" ht="14.5" x14ac:dyDescent="0.35">
      <c r="AC1519" s="902" t="s">
        <v>4755</v>
      </c>
      <c r="AD1519" s="901" t="s">
        <v>4754</v>
      </c>
    </row>
    <row r="1520" spans="29:30" ht="14.5" x14ac:dyDescent="0.35">
      <c r="AC1520" s="900" t="s">
        <v>4757</v>
      </c>
      <c r="AD1520" s="899" t="s">
        <v>4756</v>
      </c>
    </row>
    <row r="1521" spans="29:30" ht="14.5" x14ac:dyDescent="0.35">
      <c r="AC1521" s="902" t="s">
        <v>4759</v>
      </c>
      <c r="AD1521" s="901" t="s">
        <v>4758</v>
      </c>
    </row>
    <row r="1522" spans="29:30" ht="14.5" x14ac:dyDescent="0.35">
      <c r="AC1522" s="900" t="s">
        <v>4761</v>
      </c>
      <c r="AD1522" s="899" t="s">
        <v>4760</v>
      </c>
    </row>
    <row r="1523" spans="29:30" ht="14.5" x14ac:dyDescent="0.35">
      <c r="AC1523" s="902" t="s">
        <v>4763</v>
      </c>
      <c r="AD1523" s="901" t="s">
        <v>4762</v>
      </c>
    </row>
    <row r="1524" spans="29:30" ht="14.5" x14ac:dyDescent="0.35">
      <c r="AC1524" s="900" t="s">
        <v>4765</v>
      </c>
      <c r="AD1524" s="899" t="s">
        <v>4764</v>
      </c>
    </row>
    <row r="1525" spans="29:30" ht="14.5" x14ac:dyDescent="0.35">
      <c r="AC1525" s="902" t="s">
        <v>4767</v>
      </c>
      <c r="AD1525" s="901" t="s">
        <v>4766</v>
      </c>
    </row>
    <row r="1526" spans="29:30" ht="14.5" x14ac:dyDescent="0.35">
      <c r="AC1526" s="900" t="s">
        <v>4769</v>
      </c>
      <c r="AD1526" s="899" t="s">
        <v>4768</v>
      </c>
    </row>
    <row r="1527" spans="29:30" ht="14.5" x14ac:dyDescent="0.35">
      <c r="AC1527" s="902" t="s">
        <v>4771</v>
      </c>
      <c r="AD1527" s="901" t="s">
        <v>4770</v>
      </c>
    </row>
    <row r="1528" spans="29:30" ht="14.5" x14ac:dyDescent="0.35">
      <c r="AC1528" s="900" t="s">
        <v>4773</v>
      </c>
      <c r="AD1528" s="899" t="s">
        <v>4772</v>
      </c>
    </row>
    <row r="1529" spans="29:30" ht="14.5" x14ac:dyDescent="0.35">
      <c r="AC1529" s="902" t="s">
        <v>4775</v>
      </c>
      <c r="AD1529" s="901" t="s">
        <v>4774</v>
      </c>
    </row>
    <row r="1530" spans="29:30" ht="14.5" x14ac:dyDescent="0.35">
      <c r="AC1530" s="900" t="s">
        <v>4777</v>
      </c>
      <c r="AD1530" s="899" t="s">
        <v>4776</v>
      </c>
    </row>
    <row r="1531" spans="29:30" ht="14.5" x14ac:dyDescent="0.35">
      <c r="AC1531" s="902" t="s">
        <v>4779</v>
      </c>
      <c r="AD1531" s="901" t="s">
        <v>4778</v>
      </c>
    </row>
    <row r="1532" spans="29:30" ht="14.5" x14ac:dyDescent="0.35">
      <c r="AC1532" s="900" t="s">
        <v>4781</v>
      </c>
      <c r="AD1532" s="899" t="s">
        <v>4780</v>
      </c>
    </row>
    <row r="1533" spans="29:30" ht="14.5" x14ac:dyDescent="0.35">
      <c r="AC1533" s="902" t="s">
        <v>4783</v>
      </c>
      <c r="AD1533" s="901" t="s">
        <v>4782</v>
      </c>
    </row>
    <row r="1534" spans="29:30" ht="14.5" x14ac:dyDescent="0.35">
      <c r="AC1534" s="900" t="s">
        <v>4785</v>
      </c>
      <c r="AD1534" s="899" t="s">
        <v>4784</v>
      </c>
    </row>
    <row r="1535" spans="29:30" ht="14.5" x14ac:dyDescent="0.35">
      <c r="AC1535" s="902" t="s">
        <v>4787</v>
      </c>
      <c r="AD1535" s="901" t="s">
        <v>4786</v>
      </c>
    </row>
    <row r="1536" spans="29:30" ht="14.5" x14ac:dyDescent="0.35">
      <c r="AC1536" s="900" t="s">
        <v>4789</v>
      </c>
      <c r="AD1536" s="899" t="s">
        <v>4788</v>
      </c>
    </row>
    <row r="1537" spans="29:30" ht="14.5" x14ac:dyDescent="0.35">
      <c r="AC1537" s="902" t="s">
        <v>4791</v>
      </c>
      <c r="AD1537" s="901" t="s">
        <v>4790</v>
      </c>
    </row>
    <row r="1538" spans="29:30" ht="14.5" x14ac:dyDescent="0.35">
      <c r="AC1538" s="900" t="s">
        <v>4793</v>
      </c>
      <c r="AD1538" s="899" t="s">
        <v>4792</v>
      </c>
    </row>
    <row r="1539" spans="29:30" ht="14.5" x14ac:dyDescent="0.35">
      <c r="AC1539" s="902" t="s">
        <v>4795</v>
      </c>
      <c r="AD1539" s="901" t="s">
        <v>4794</v>
      </c>
    </row>
    <row r="1540" spans="29:30" ht="14.5" x14ac:dyDescent="0.35">
      <c r="AC1540" s="900" t="s">
        <v>4797</v>
      </c>
      <c r="AD1540" s="899" t="s">
        <v>4796</v>
      </c>
    </row>
    <row r="1541" spans="29:30" ht="14.5" x14ac:dyDescent="0.35">
      <c r="AC1541" s="902" t="s">
        <v>4799</v>
      </c>
      <c r="AD1541" s="901" t="s">
        <v>4798</v>
      </c>
    </row>
    <row r="1542" spans="29:30" ht="14.5" x14ac:dyDescent="0.35">
      <c r="AC1542" s="900" t="s">
        <v>4801</v>
      </c>
      <c r="AD1542" s="899" t="s">
        <v>4800</v>
      </c>
    </row>
    <row r="1543" spans="29:30" ht="14.5" x14ac:dyDescent="0.35">
      <c r="AC1543" s="902" t="s">
        <v>4803</v>
      </c>
      <c r="AD1543" s="901" t="s">
        <v>4802</v>
      </c>
    </row>
    <row r="1544" spans="29:30" ht="14.5" x14ac:dyDescent="0.35">
      <c r="AC1544" s="900" t="s">
        <v>4805</v>
      </c>
      <c r="AD1544" s="899" t="s">
        <v>4804</v>
      </c>
    </row>
    <row r="1545" spans="29:30" ht="14.5" x14ac:dyDescent="0.35">
      <c r="AC1545" s="902" t="s">
        <v>4807</v>
      </c>
      <c r="AD1545" s="901" t="s">
        <v>4806</v>
      </c>
    </row>
    <row r="1546" spans="29:30" ht="14.5" x14ac:dyDescent="0.35">
      <c r="AC1546" s="900" t="s">
        <v>4809</v>
      </c>
      <c r="AD1546" s="899" t="s">
        <v>4808</v>
      </c>
    </row>
    <row r="1547" spans="29:30" ht="14.5" x14ac:dyDescent="0.35">
      <c r="AC1547" s="902" t="s">
        <v>4811</v>
      </c>
      <c r="AD1547" s="901" t="s">
        <v>4810</v>
      </c>
    </row>
    <row r="1548" spans="29:30" ht="14.5" x14ac:dyDescent="0.35">
      <c r="AC1548" s="900" t="s">
        <v>4813</v>
      </c>
      <c r="AD1548" s="899" t="s">
        <v>4812</v>
      </c>
    </row>
    <row r="1549" spans="29:30" ht="14.5" x14ac:dyDescent="0.35">
      <c r="AC1549" s="902" t="s">
        <v>4815</v>
      </c>
      <c r="AD1549" s="901" t="s">
        <v>4814</v>
      </c>
    </row>
    <row r="1550" spans="29:30" ht="14.5" x14ac:dyDescent="0.35">
      <c r="AC1550" s="900" t="s">
        <v>4817</v>
      </c>
      <c r="AD1550" s="899" t="s">
        <v>4816</v>
      </c>
    </row>
    <row r="1551" spans="29:30" ht="14.5" x14ac:dyDescent="0.35">
      <c r="AC1551" s="902" t="s">
        <v>4819</v>
      </c>
      <c r="AD1551" s="901" t="s">
        <v>4818</v>
      </c>
    </row>
    <row r="1552" spans="29:30" ht="14.5" x14ac:dyDescent="0.35">
      <c r="AC1552" s="900" t="s">
        <v>4821</v>
      </c>
      <c r="AD1552" s="899" t="s">
        <v>4820</v>
      </c>
    </row>
    <row r="1553" spans="29:30" ht="14.5" x14ac:dyDescent="0.35">
      <c r="AC1553" s="902" t="s">
        <v>4823</v>
      </c>
      <c r="AD1553" s="901" t="s">
        <v>4822</v>
      </c>
    </row>
    <row r="1554" spans="29:30" ht="14.5" x14ac:dyDescent="0.35">
      <c r="AC1554" s="900" t="s">
        <v>4825</v>
      </c>
      <c r="AD1554" s="899" t="s">
        <v>4824</v>
      </c>
    </row>
    <row r="1555" spans="29:30" ht="14.5" x14ac:dyDescent="0.35">
      <c r="AC1555" s="902" t="s">
        <v>4827</v>
      </c>
      <c r="AD1555" s="901" t="s">
        <v>4826</v>
      </c>
    </row>
    <row r="1556" spans="29:30" ht="14.5" x14ac:dyDescent="0.35">
      <c r="AC1556" s="900" t="s">
        <v>4829</v>
      </c>
      <c r="AD1556" s="899" t="s">
        <v>4828</v>
      </c>
    </row>
    <row r="1557" spans="29:30" ht="14.5" x14ac:dyDescent="0.35">
      <c r="AC1557" s="902" t="s">
        <v>4831</v>
      </c>
      <c r="AD1557" s="901" t="s">
        <v>4830</v>
      </c>
    </row>
    <row r="1558" spans="29:30" ht="14.5" x14ac:dyDescent="0.35">
      <c r="AC1558" s="900" t="s">
        <v>4833</v>
      </c>
      <c r="AD1558" s="899" t="s">
        <v>4832</v>
      </c>
    </row>
    <row r="1559" spans="29:30" ht="14.5" x14ac:dyDescent="0.35">
      <c r="AC1559" s="902" t="s">
        <v>4835</v>
      </c>
      <c r="AD1559" s="901" t="s">
        <v>4834</v>
      </c>
    </row>
    <row r="1560" spans="29:30" ht="14.5" x14ac:dyDescent="0.35">
      <c r="AC1560" s="900" t="s">
        <v>4837</v>
      </c>
      <c r="AD1560" s="899" t="s">
        <v>4836</v>
      </c>
    </row>
    <row r="1561" spans="29:30" ht="14.5" x14ac:dyDescent="0.35">
      <c r="AC1561" s="902" t="s">
        <v>4839</v>
      </c>
      <c r="AD1561" s="901" t="s">
        <v>4838</v>
      </c>
    </row>
    <row r="1562" spans="29:30" ht="14.5" x14ac:dyDescent="0.35">
      <c r="AC1562" s="900" t="s">
        <v>4841</v>
      </c>
      <c r="AD1562" s="899" t="s">
        <v>4840</v>
      </c>
    </row>
    <row r="1563" spans="29:30" ht="14.5" x14ac:dyDescent="0.35">
      <c r="AC1563" s="902" t="s">
        <v>4843</v>
      </c>
      <c r="AD1563" s="901" t="s">
        <v>4842</v>
      </c>
    </row>
    <row r="1564" spans="29:30" ht="14.5" x14ac:dyDescent="0.35">
      <c r="AC1564" s="900" t="s">
        <v>4845</v>
      </c>
      <c r="AD1564" s="899" t="s">
        <v>4844</v>
      </c>
    </row>
    <row r="1565" spans="29:30" ht="14.5" x14ac:dyDescent="0.35">
      <c r="AC1565" s="902" t="s">
        <v>4847</v>
      </c>
      <c r="AD1565" s="901" t="s">
        <v>4846</v>
      </c>
    </row>
    <row r="1566" spans="29:30" ht="14.5" x14ac:dyDescent="0.35">
      <c r="AC1566" s="900" t="s">
        <v>4849</v>
      </c>
      <c r="AD1566" s="899" t="s">
        <v>4848</v>
      </c>
    </row>
    <row r="1567" spans="29:30" ht="14.5" x14ac:dyDescent="0.35">
      <c r="AC1567" s="902" t="s">
        <v>4851</v>
      </c>
      <c r="AD1567" s="901" t="s">
        <v>4850</v>
      </c>
    </row>
    <row r="1568" spans="29:30" ht="14.5" x14ac:dyDescent="0.35">
      <c r="AC1568" s="900" t="s">
        <v>4853</v>
      </c>
      <c r="AD1568" s="899" t="s">
        <v>4852</v>
      </c>
    </row>
    <row r="1569" spans="29:30" ht="14.5" x14ac:dyDescent="0.35">
      <c r="AC1569" s="902" t="s">
        <v>4855</v>
      </c>
      <c r="AD1569" s="901" t="s">
        <v>4854</v>
      </c>
    </row>
    <row r="1570" spans="29:30" ht="14.5" x14ac:dyDescent="0.35">
      <c r="AC1570" s="900" t="s">
        <v>4857</v>
      </c>
      <c r="AD1570" s="899" t="s">
        <v>4856</v>
      </c>
    </row>
    <row r="1571" spans="29:30" ht="14.5" x14ac:dyDescent="0.35">
      <c r="AC1571" s="902" t="s">
        <v>4859</v>
      </c>
      <c r="AD1571" s="901" t="s">
        <v>4858</v>
      </c>
    </row>
    <row r="1572" spans="29:30" ht="14.5" x14ac:dyDescent="0.35">
      <c r="AC1572" s="900" t="s">
        <v>4861</v>
      </c>
      <c r="AD1572" s="899" t="s">
        <v>4860</v>
      </c>
    </row>
    <row r="1573" spans="29:30" ht="14.5" x14ac:dyDescent="0.35">
      <c r="AC1573" s="902" t="s">
        <v>4863</v>
      </c>
      <c r="AD1573" s="901" t="s">
        <v>4862</v>
      </c>
    </row>
    <row r="1574" spans="29:30" ht="14.5" x14ac:dyDescent="0.35">
      <c r="AC1574" s="900" t="s">
        <v>4865</v>
      </c>
      <c r="AD1574" s="899" t="s">
        <v>4864</v>
      </c>
    </row>
    <row r="1575" spans="29:30" ht="14.5" x14ac:dyDescent="0.35">
      <c r="AC1575" s="902" t="s">
        <v>4867</v>
      </c>
      <c r="AD1575" s="901" t="s">
        <v>4866</v>
      </c>
    </row>
    <row r="1576" spans="29:30" ht="14.5" x14ac:dyDescent="0.35">
      <c r="AC1576" s="900" t="s">
        <v>4869</v>
      </c>
      <c r="AD1576" s="899" t="s">
        <v>4868</v>
      </c>
    </row>
    <row r="1577" spans="29:30" ht="14.5" x14ac:dyDescent="0.35">
      <c r="AC1577" s="902" t="s">
        <v>4871</v>
      </c>
      <c r="AD1577" s="901" t="s">
        <v>4870</v>
      </c>
    </row>
    <row r="1578" spans="29:30" ht="14.5" x14ac:dyDescent="0.35">
      <c r="AC1578" s="900" t="s">
        <v>4873</v>
      </c>
      <c r="AD1578" s="899" t="s">
        <v>4872</v>
      </c>
    </row>
    <row r="1579" spans="29:30" ht="14.5" x14ac:dyDescent="0.35">
      <c r="AC1579" s="902" t="s">
        <v>4875</v>
      </c>
      <c r="AD1579" s="901" t="s">
        <v>4874</v>
      </c>
    </row>
    <row r="1580" spans="29:30" ht="14.5" x14ac:dyDescent="0.35">
      <c r="AC1580" s="900" t="s">
        <v>4877</v>
      </c>
      <c r="AD1580" s="899" t="s">
        <v>4876</v>
      </c>
    </row>
    <row r="1581" spans="29:30" ht="14.5" x14ac:dyDescent="0.35">
      <c r="AC1581" s="902" t="s">
        <v>4879</v>
      </c>
      <c r="AD1581" s="901" t="s">
        <v>4878</v>
      </c>
    </row>
    <row r="1582" spans="29:30" ht="14.5" x14ac:dyDescent="0.35">
      <c r="AC1582" s="900" t="s">
        <v>4881</v>
      </c>
      <c r="AD1582" s="899" t="s">
        <v>4880</v>
      </c>
    </row>
    <row r="1583" spans="29:30" ht="14.5" x14ac:dyDescent="0.35">
      <c r="AC1583" s="902" t="s">
        <v>4883</v>
      </c>
      <c r="AD1583" s="901" t="s">
        <v>4882</v>
      </c>
    </row>
    <row r="1584" spans="29:30" ht="14.5" x14ac:dyDescent="0.35">
      <c r="AC1584" s="900" t="s">
        <v>4885</v>
      </c>
      <c r="AD1584" s="899" t="s">
        <v>4884</v>
      </c>
    </row>
    <row r="1585" spans="29:30" ht="14.5" x14ac:dyDescent="0.35">
      <c r="AC1585" s="902" t="s">
        <v>4887</v>
      </c>
      <c r="AD1585" s="901" t="s">
        <v>4886</v>
      </c>
    </row>
    <row r="1586" spans="29:30" ht="14.5" x14ac:dyDescent="0.35">
      <c r="AC1586" s="900" t="s">
        <v>4889</v>
      </c>
      <c r="AD1586" s="899" t="s">
        <v>4888</v>
      </c>
    </row>
    <row r="1587" spans="29:30" ht="14.5" x14ac:dyDescent="0.35">
      <c r="AC1587" s="902" t="s">
        <v>4891</v>
      </c>
      <c r="AD1587" s="901" t="s">
        <v>4890</v>
      </c>
    </row>
    <row r="1588" spans="29:30" ht="14.5" x14ac:dyDescent="0.35">
      <c r="AC1588" s="900" t="s">
        <v>4893</v>
      </c>
      <c r="AD1588" s="899" t="s">
        <v>4892</v>
      </c>
    </row>
    <row r="1589" spans="29:30" ht="14.5" x14ac:dyDescent="0.35">
      <c r="AC1589" s="902" t="s">
        <v>4895</v>
      </c>
      <c r="AD1589" s="901" t="s">
        <v>4894</v>
      </c>
    </row>
    <row r="1590" spans="29:30" ht="14.5" x14ac:dyDescent="0.35">
      <c r="AC1590" s="900" t="s">
        <v>4897</v>
      </c>
      <c r="AD1590" s="899" t="s">
        <v>4896</v>
      </c>
    </row>
    <row r="1591" spans="29:30" ht="14.5" x14ac:dyDescent="0.35">
      <c r="AC1591" s="902" t="s">
        <v>4899</v>
      </c>
      <c r="AD1591" s="901" t="s">
        <v>4898</v>
      </c>
    </row>
    <row r="1592" spans="29:30" ht="14.5" x14ac:dyDescent="0.35">
      <c r="AC1592" s="900" t="s">
        <v>4901</v>
      </c>
      <c r="AD1592" s="899" t="s">
        <v>4900</v>
      </c>
    </row>
    <row r="1593" spans="29:30" ht="14.5" x14ac:dyDescent="0.35">
      <c r="AC1593" s="902" t="s">
        <v>4903</v>
      </c>
      <c r="AD1593" s="901" t="s">
        <v>4902</v>
      </c>
    </row>
    <row r="1594" spans="29:30" ht="14.5" x14ac:dyDescent="0.35">
      <c r="AC1594" s="900" t="s">
        <v>4905</v>
      </c>
      <c r="AD1594" s="899" t="s">
        <v>4904</v>
      </c>
    </row>
    <row r="1595" spans="29:30" ht="14.5" x14ac:dyDescent="0.35">
      <c r="AC1595" s="902" t="s">
        <v>4907</v>
      </c>
      <c r="AD1595" s="901" t="s">
        <v>4906</v>
      </c>
    </row>
    <row r="1596" spans="29:30" ht="14.5" x14ac:dyDescent="0.35">
      <c r="AC1596" s="900" t="s">
        <v>4909</v>
      </c>
      <c r="AD1596" s="899" t="s">
        <v>4908</v>
      </c>
    </row>
    <row r="1597" spans="29:30" ht="14.5" x14ac:dyDescent="0.35">
      <c r="AC1597" s="902" t="s">
        <v>4911</v>
      </c>
      <c r="AD1597" s="901" t="s">
        <v>4910</v>
      </c>
    </row>
    <row r="1598" spans="29:30" ht="14.5" x14ac:dyDescent="0.35">
      <c r="AC1598" s="900" t="s">
        <v>4913</v>
      </c>
      <c r="AD1598" s="899" t="s">
        <v>4912</v>
      </c>
    </row>
    <row r="1599" spans="29:30" ht="14.5" x14ac:dyDescent="0.35">
      <c r="AC1599" s="902" t="s">
        <v>4915</v>
      </c>
      <c r="AD1599" s="901" t="s">
        <v>4914</v>
      </c>
    </row>
    <row r="1600" spans="29:30" ht="14.5" x14ac:dyDescent="0.35">
      <c r="AC1600" s="900" t="s">
        <v>4917</v>
      </c>
      <c r="AD1600" s="899" t="s">
        <v>4916</v>
      </c>
    </row>
    <row r="1601" spans="29:30" ht="14.5" x14ac:dyDescent="0.35">
      <c r="AC1601" s="902" t="s">
        <v>4919</v>
      </c>
      <c r="AD1601" s="901" t="s">
        <v>4918</v>
      </c>
    </row>
    <row r="1602" spans="29:30" ht="14.5" x14ac:dyDescent="0.35">
      <c r="AC1602" s="900" t="s">
        <v>4921</v>
      </c>
      <c r="AD1602" s="899" t="s">
        <v>4920</v>
      </c>
    </row>
    <row r="1603" spans="29:30" ht="14.5" x14ac:dyDescent="0.35">
      <c r="AC1603" s="902" t="s">
        <v>4923</v>
      </c>
      <c r="AD1603" s="901" t="s">
        <v>4922</v>
      </c>
    </row>
    <row r="1604" spans="29:30" ht="14.5" x14ac:dyDescent="0.35">
      <c r="AC1604" s="900" t="s">
        <v>4925</v>
      </c>
      <c r="AD1604" s="899" t="s">
        <v>4924</v>
      </c>
    </row>
    <row r="1605" spans="29:30" ht="14.5" x14ac:dyDescent="0.35">
      <c r="AC1605" s="902" t="s">
        <v>4927</v>
      </c>
      <c r="AD1605" s="901" t="s">
        <v>4926</v>
      </c>
    </row>
    <row r="1606" spans="29:30" ht="14.5" x14ac:dyDescent="0.35">
      <c r="AC1606" s="900" t="s">
        <v>4929</v>
      </c>
      <c r="AD1606" s="899" t="s">
        <v>4928</v>
      </c>
    </row>
    <row r="1607" spans="29:30" ht="14.5" x14ac:dyDescent="0.35">
      <c r="AC1607" s="902" t="s">
        <v>4931</v>
      </c>
      <c r="AD1607" s="901" t="s">
        <v>4930</v>
      </c>
    </row>
    <row r="1608" spans="29:30" ht="14.5" x14ac:dyDescent="0.35">
      <c r="AC1608" s="900" t="s">
        <v>4933</v>
      </c>
      <c r="AD1608" s="899" t="s">
        <v>4932</v>
      </c>
    </row>
    <row r="1609" spans="29:30" ht="14.5" x14ac:dyDescent="0.35">
      <c r="AC1609" s="902" t="s">
        <v>4935</v>
      </c>
      <c r="AD1609" s="901" t="s">
        <v>4934</v>
      </c>
    </row>
    <row r="1610" spans="29:30" ht="14.5" x14ac:dyDescent="0.35">
      <c r="AC1610" s="900" t="s">
        <v>4937</v>
      </c>
      <c r="AD1610" s="899" t="s">
        <v>4936</v>
      </c>
    </row>
    <row r="1611" spans="29:30" ht="14.5" x14ac:dyDescent="0.35">
      <c r="AC1611" s="902" t="s">
        <v>4939</v>
      </c>
      <c r="AD1611" s="901" t="s">
        <v>4938</v>
      </c>
    </row>
    <row r="1612" spans="29:30" ht="14.5" x14ac:dyDescent="0.35">
      <c r="AC1612" s="900" t="s">
        <v>4941</v>
      </c>
      <c r="AD1612" s="899" t="s">
        <v>4940</v>
      </c>
    </row>
    <row r="1613" spans="29:30" ht="14.5" x14ac:dyDescent="0.35">
      <c r="AC1613" s="902" t="s">
        <v>4943</v>
      </c>
      <c r="AD1613" s="901" t="s">
        <v>4942</v>
      </c>
    </row>
    <row r="1614" spans="29:30" ht="14.5" x14ac:dyDescent="0.35">
      <c r="AC1614" s="900" t="s">
        <v>4945</v>
      </c>
      <c r="AD1614" s="899" t="s">
        <v>4944</v>
      </c>
    </row>
    <row r="1615" spans="29:30" ht="14.5" x14ac:dyDescent="0.35">
      <c r="AC1615" s="902" t="s">
        <v>4947</v>
      </c>
      <c r="AD1615" s="901" t="s">
        <v>4946</v>
      </c>
    </row>
    <row r="1616" spans="29:30" ht="14.5" x14ac:dyDescent="0.35">
      <c r="AC1616" s="900" t="s">
        <v>4949</v>
      </c>
      <c r="AD1616" s="899" t="s">
        <v>4948</v>
      </c>
    </row>
    <row r="1617" spans="29:30" ht="14.5" x14ac:dyDescent="0.35">
      <c r="AC1617" s="902" t="s">
        <v>4951</v>
      </c>
      <c r="AD1617" s="901" t="s">
        <v>4950</v>
      </c>
    </row>
    <row r="1618" spans="29:30" ht="14.5" x14ac:dyDescent="0.35">
      <c r="AC1618" s="900" t="s">
        <v>4953</v>
      </c>
      <c r="AD1618" s="899" t="s">
        <v>4952</v>
      </c>
    </row>
    <row r="1619" spans="29:30" ht="14.5" x14ac:dyDescent="0.35">
      <c r="AC1619" s="902" t="s">
        <v>4955</v>
      </c>
      <c r="AD1619" s="901" t="s">
        <v>4954</v>
      </c>
    </row>
    <row r="1620" spans="29:30" ht="14.5" x14ac:dyDescent="0.35">
      <c r="AC1620" s="900" t="s">
        <v>4957</v>
      </c>
      <c r="AD1620" s="899" t="s">
        <v>4956</v>
      </c>
    </row>
    <row r="1621" spans="29:30" ht="14.5" x14ac:dyDescent="0.35">
      <c r="AC1621" s="902" t="s">
        <v>4959</v>
      </c>
      <c r="AD1621" s="901" t="s">
        <v>4958</v>
      </c>
    </row>
    <row r="1622" spans="29:30" ht="14.5" x14ac:dyDescent="0.35">
      <c r="AC1622" s="900" t="s">
        <v>4961</v>
      </c>
      <c r="AD1622" s="899" t="s">
        <v>4960</v>
      </c>
    </row>
    <row r="1623" spans="29:30" ht="14.5" x14ac:dyDescent="0.35">
      <c r="AC1623" s="902" t="s">
        <v>4963</v>
      </c>
      <c r="AD1623" s="901" t="s">
        <v>4962</v>
      </c>
    </row>
    <row r="1624" spans="29:30" ht="14.5" x14ac:dyDescent="0.35">
      <c r="AC1624" s="900" t="s">
        <v>4965</v>
      </c>
      <c r="AD1624" s="899" t="s">
        <v>4964</v>
      </c>
    </row>
    <row r="1625" spans="29:30" ht="14.5" x14ac:dyDescent="0.35">
      <c r="AC1625" s="902" t="s">
        <v>4967</v>
      </c>
      <c r="AD1625" s="901" t="s">
        <v>4966</v>
      </c>
    </row>
    <row r="1626" spans="29:30" ht="14.5" x14ac:dyDescent="0.35">
      <c r="AC1626" s="900" t="s">
        <v>4969</v>
      </c>
      <c r="AD1626" s="899" t="s">
        <v>4968</v>
      </c>
    </row>
    <row r="1627" spans="29:30" ht="14.5" x14ac:dyDescent="0.35">
      <c r="AC1627" s="902" t="s">
        <v>4971</v>
      </c>
      <c r="AD1627" s="901" t="s">
        <v>4970</v>
      </c>
    </row>
    <row r="1628" spans="29:30" ht="14.5" x14ac:dyDescent="0.35">
      <c r="AC1628" s="900" t="s">
        <v>4973</v>
      </c>
      <c r="AD1628" s="899" t="s">
        <v>4972</v>
      </c>
    </row>
    <row r="1629" spans="29:30" ht="14.5" x14ac:dyDescent="0.35">
      <c r="AC1629" s="902" t="s">
        <v>4975</v>
      </c>
      <c r="AD1629" s="901" t="s">
        <v>4974</v>
      </c>
    </row>
    <row r="1630" spans="29:30" ht="14.5" x14ac:dyDescent="0.35">
      <c r="AC1630" s="900" t="s">
        <v>4977</v>
      </c>
      <c r="AD1630" s="899" t="s">
        <v>4976</v>
      </c>
    </row>
    <row r="1631" spans="29:30" ht="14.5" x14ac:dyDescent="0.35">
      <c r="AC1631" s="902" t="s">
        <v>4979</v>
      </c>
      <c r="AD1631" s="901" t="s">
        <v>4978</v>
      </c>
    </row>
    <row r="1632" spans="29:30" ht="14.5" x14ac:dyDescent="0.35">
      <c r="AC1632" s="900" t="s">
        <v>4981</v>
      </c>
      <c r="AD1632" s="899" t="s">
        <v>4980</v>
      </c>
    </row>
    <row r="1633" spans="29:30" ht="14.5" x14ac:dyDescent="0.35">
      <c r="AC1633" s="902" t="s">
        <v>4983</v>
      </c>
      <c r="AD1633" s="901" t="s">
        <v>4982</v>
      </c>
    </row>
    <row r="1634" spans="29:30" ht="14.5" x14ac:dyDescent="0.35">
      <c r="AC1634" s="900" t="s">
        <v>4985</v>
      </c>
      <c r="AD1634" s="899" t="s">
        <v>4984</v>
      </c>
    </row>
    <row r="1635" spans="29:30" ht="14.5" x14ac:dyDescent="0.35">
      <c r="AC1635" s="902" t="s">
        <v>4987</v>
      </c>
      <c r="AD1635" s="901" t="s">
        <v>4986</v>
      </c>
    </row>
    <row r="1636" spans="29:30" ht="14.5" x14ac:dyDescent="0.35">
      <c r="AC1636" s="900" t="s">
        <v>4989</v>
      </c>
      <c r="AD1636" s="899" t="s">
        <v>4988</v>
      </c>
    </row>
    <row r="1637" spans="29:30" ht="14.5" x14ac:dyDescent="0.35">
      <c r="AC1637" s="902" t="s">
        <v>4991</v>
      </c>
      <c r="AD1637" s="901" t="s">
        <v>4990</v>
      </c>
    </row>
    <row r="1638" spans="29:30" ht="14.5" x14ac:dyDescent="0.35">
      <c r="AC1638" s="900" t="s">
        <v>4993</v>
      </c>
      <c r="AD1638" s="899" t="s">
        <v>4992</v>
      </c>
    </row>
    <row r="1639" spans="29:30" ht="14.5" x14ac:dyDescent="0.35">
      <c r="AC1639" s="902" t="s">
        <v>4995</v>
      </c>
      <c r="AD1639" s="901" t="s">
        <v>4994</v>
      </c>
    </row>
    <row r="1640" spans="29:30" ht="14.5" x14ac:dyDescent="0.35">
      <c r="AC1640" s="900" t="s">
        <v>4997</v>
      </c>
      <c r="AD1640" s="899" t="s">
        <v>4996</v>
      </c>
    </row>
    <row r="1641" spans="29:30" ht="14.5" x14ac:dyDescent="0.35">
      <c r="AC1641" s="902" t="s">
        <v>4999</v>
      </c>
      <c r="AD1641" s="901" t="s">
        <v>4998</v>
      </c>
    </row>
    <row r="1642" spans="29:30" ht="14.5" x14ac:dyDescent="0.35">
      <c r="AC1642" s="900" t="s">
        <v>5001</v>
      </c>
      <c r="AD1642" s="899" t="s">
        <v>5000</v>
      </c>
    </row>
    <row r="1643" spans="29:30" ht="14.5" x14ac:dyDescent="0.35">
      <c r="AC1643" s="902" t="s">
        <v>5003</v>
      </c>
      <c r="AD1643" s="901" t="s">
        <v>5002</v>
      </c>
    </row>
    <row r="1644" spans="29:30" ht="14.5" x14ac:dyDescent="0.35">
      <c r="AC1644" s="900" t="s">
        <v>5005</v>
      </c>
      <c r="AD1644" s="899" t="s">
        <v>5004</v>
      </c>
    </row>
    <row r="1645" spans="29:30" ht="14.5" x14ac:dyDescent="0.35">
      <c r="AC1645" s="902" t="s">
        <v>5007</v>
      </c>
      <c r="AD1645" s="901" t="s">
        <v>5006</v>
      </c>
    </row>
    <row r="1646" spans="29:30" ht="14.5" x14ac:dyDescent="0.35">
      <c r="AC1646" s="900" t="s">
        <v>5009</v>
      </c>
      <c r="AD1646" s="899" t="s">
        <v>5008</v>
      </c>
    </row>
    <row r="1647" spans="29:30" ht="14.5" x14ac:dyDescent="0.35">
      <c r="AC1647" s="902" t="s">
        <v>5011</v>
      </c>
      <c r="AD1647" s="901" t="s">
        <v>5010</v>
      </c>
    </row>
    <row r="1648" spans="29:30" ht="14.5" x14ac:dyDescent="0.35">
      <c r="AC1648" s="900" t="s">
        <v>5013</v>
      </c>
      <c r="AD1648" s="899" t="s">
        <v>5012</v>
      </c>
    </row>
    <row r="1649" spans="29:30" ht="14.5" x14ac:dyDescent="0.35">
      <c r="AC1649" s="902" t="s">
        <v>5015</v>
      </c>
      <c r="AD1649" s="901" t="s">
        <v>5014</v>
      </c>
    </row>
    <row r="1650" spans="29:30" ht="14.5" x14ac:dyDescent="0.35">
      <c r="AC1650" s="900" t="s">
        <v>5017</v>
      </c>
      <c r="AD1650" s="899" t="s">
        <v>5016</v>
      </c>
    </row>
    <row r="1651" spans="29:30" ht="14.5" x14ac:dyDescent="0.35">
      <c r="AC1651" s="902" t="s">
        <v>5019</v>
      </c>
      <c r="AD1651" s="901" t="s">
        <v>5018</v>
      </c>
    </row>
    <row r="1652" spans="29:30" ht="14.5" x14ac:dyDescent="0.35">
      <c r="AC1652" s="900" t="s">
        <v>5021</v>
      </c>
      <c r="AD1652" s="899" t="s">
        <v>5020</v>
      </c>
    </row>
    <row r="1653" spans="29:30" ht="14.5" x14ac:dyDescent="0.35">
      <c r="AC1653" s="902" t="s">
        <v>5023</v>
      </c>
      <c r="AD1653" s="901" t="s">
        <v>5022</v>
      </c>
    </row>
    <row r="1654" spans="29:30" ht="14.5" x14ac:dyDescent="0.35">
      <c r="AC1654" s="900" t="s">
        <v>5025</v>
      </c>
      <c r="AD1654" s="899" t="s">
        <v>5024</v>
      </c>
    </row>
    <row r="1655" spans="29:30" ht="14.5" x14ac:dyDescent="0.35">
      <c r="AC1655" s="902" t="s">
        <v>5027</v>
      </c>
      <c r="AD1655" s="901" t="s">
        <v>5026</v>
      </c>
    </row>
    <row r="1656" spans="29:30" ht="14.5" x14ac:dyDescent="0.35">
      <c r="AC1656" s="900" t="s">
        <v>5029</v>
      </c>
      <c r="AD1656" s="899" t="s">
        <v>5028</v>
      </c>
    </row>
    <row r="1657" spans="29:30" ht="14.5" x14ac:dyDescent="0.35">
      <c r="AC1657" s="902" t="s">
        <v>5031</v>
      </c>
      <c r="AD1657" s="901" t="s">
        <v>5030</v>
      </c>
    </row>
    <row r="1658" spans="29:30" ht="14.5" x14ac:dyDescent="0.35">
      <c r="AC1658" s="900" t="s">
        <v>5033</v>
      </c>
      <c r="AD1658" s="899" t="s">
        <v>5032</v>
      </c>
    </row>
    <row r="1659" spans="29:30" ht="14.5" x14ac:dyDescent="0.35">
      <c r="AC1659" s="902" t="s">
        <v>5035</v>
      </c>
      <c r="AD1659" s="901" t="s">
        <v>5034</v>
      </c>
    </row>
    <row r="1660" spans="29:30" ht="14.5" x14ac:dyDescent="0.35">
      <c r="AC1660" s="900" t="s">
        <v>5037</v>
      </c>
      <c r="AD1660" s="899" t="s">
        <v>5036</v>
      </c>
    </row>
    <row r="1661" spans="29:30" ht="14.5" x14ac:dyDescent="0.35">
      <c r="AC1661" s="902" t="s">
        <v>5039</v>
      </c>
      <c r="AD1661" s="901" t="s">
        <v>5038</v>
      </c>
    </row>
    <row r="1662" spans="29:30" ht="14.5" x14ac:dyDescent="0.35">
      <c r="AC1662" s="900" t="s">
        <v>5041</v>
      </c>
      <c r="AD1662" s="899" t="s">
        <v>5040</v>
      </c>
    </row>
    <row r="1663" spans="29:30" ht="14.5" x14ac:dyDescent="0.35">
      <c r="AC1663" s="902" t="s">
        <v>5043</v>
      </c>
      <c r="AD1663" s="901" t="s">
        <v>5042</v>
      </c>
    </row>
    <row r="1664" spans="29:30" ht="14.5" x14ac:dyDescent="0.35">
      <c r="AC1664" s="900" t="s">
        <v>5045</v>
      </c>
      <c r="AD1664" s="899" t="s">
        <v>5044</v>
      </c>
    </row>
    <row r="1665" spans="29:30" ht="14.5" x14ac:dyDescent="0.35">
      <c r="AC1665" s="902" t="s">
        <v>5047</v>
      </c>
      <c r="AD1665" s="901" t="s">
        <v>5046</v>
      </c>
    </row>
    <row r="1666" spans="29:30" ht="14.5" x14ac:dyDescent="0.35">
      <c r="AC1666" s="900" t="s">
        <v>5049</v>
      </c>
      <c r="AD1666" s="899" t="s">
        <v>5048</v>
      </c>
    </row>
    <row r="1667" spans="29:30" ht="14.5" x14ac:dyDescent="0.35">
      <c r="AC1667" s="902" t="s">
        <v>5051</v>
      </c>
      <c r="AD1667" s="901" t="s">
        <v>5050</v>
      </c>
    </row>
    <row r="1668" spans="29:30" ht="14.5" x14ac:dyDescent="0.35">
      <c r="AC1668" s="900" t="s">
        <v>5053</v>
      </c>
      <c r="AD1668" s="899" t="s">
        <v>5052</v>
      </c>
    </row>
    <row r="1669" spans="29:30" ht="14.5" x14ac:dyDescent="0.35">
      <c r="AC1669" s="902" t="s">
        <v>5055</v>
      </c>
      <c r="AD1669" s="901" t="s">
        <v>5054</v>
      </c>
    </row>
    <row r="1670" spans="29:30" ht="14.5" x14ac:dyDescent="0.35">
      <c r="AC1670" s="900" t="s">
        <v>5057</v>
      </c>
      <c r="AD1670" s="899" t="s">
        <v>5056</v>
      </c>
    </row>
    <row r="1671" spans="29:30" ht="14.5" x14ac:dyDescent="0.35">
      <c r="AC1671" s="902" t="s">
        <v>5059</v>
      </c>
      <c r="AD1671" s="901" t="s">
        <v>5058</v>
      </c>
    </row>
    <row r="1672" spans="29:30" ht="14.5" x14ac:dyDescent="0.35">
      <c r="AC1672" s="900" t="s">
        <v>5061</v>
      </c>
      <c r="AD1672" s="899" t="s">
        <v>5060</v>
      </c>
    </row>
    <row r="1673" spans="29:30" ht="14.5" x14ac:dyDescent="0.35">
      <c r="AC1673" s="902" t="s">
        <v>5063</v>
      </c>
      <c r="AD1673" s="901" t="s">
        <v>5062</v>
      </c>
    </row>
    <row r="1674" spans="29:30" ht="14.5" x14ac:dyDescent="0.35">
      <c r="AC1674" s="900" t="s">
        <v>5065</v>
      </c>
      <c r="AD1674" s="899" t="s">
        <v>5064</v>
      </c>
    </row>
    <row r="1675" spans="29:30" ht="14.5" x14ac:dyDescent="0.35">
      <c r="AC1675" s="902" t="s">
        <v>5067</v>
      </c>
      <c r="AD1675" s="901" t="s">
        <v>5066</v>
      </c>
    </row>
    <row r="1676" spans="29:30" ht="14.5" x14ac:dyDescent="0.35">
      <c r="AC1676" s="900" t="s">
        <v>5069</v>
      </c>
      <c r="AD1676" s="899" t="s">
        <v>5068</v>
      </c>
    </row>
    <row r="1677" spans="29:30" ht="14.5" x14ac:dyDescent="0.35">
      <c r="AC1677" s="902" t="s">
        <v>5071</v>
      </c>
      <c r="AD1677" s="901" t="s">
        <v>5070</v>
      </c>
    </row>
    <row r="1678" spans="29:30" ht="14.5" x14ac:dyDescent="0.35">
      <c r="AC1678" s="900" t="s">
        <v>5073</v>
      </c>
      <c r="AD1678" s="899" t="s">
        <v>5072</v>
      </c>
    </row>
    <row r="1679" spans="29:30" ht="14.5" x14ac:dyDescent="0.35">
      <c r="AC1679" s="902" t="s">
        <v>5075</v>
      </c>
      <c r="AD1679" s="901" t="s">
        <v>5074</v>
      </c>
    </row>
    <row r="1680" spans="29:30" ht="14.5" x14ac:dyDescent="0.35">
      <c r="AC1680" s="900" t="s">
        <v>5077</v>
      </c>
      <c r="AD1680" s="899" t="s">
        <v>5076</v>
      </c>
    </row>
    <row r="1681" spans="29:30" ht="14.5" x14ac:dyDescent="0.35">
      <c r="AC1681" s="902" t="s">
        <v>5079</v>
      </c>
      <c r="AD1681" s="901" t="s">
        <v>5078</v>
      </c>
    </row>
    <row r="1682" spans="29:30" ht="14.5" x14ac:dyDescent="0.35">
      <c r="AC1682" s="900" t="s">
        <v>5081</v>
      </c>
      <c r="AD1682" s="899" t="s">
        <v>5080</v>
      </c>
    </row>
    <row r="1683" spans="29:30" ht="14.5" x14ac:dyDescent="0.35">
      <c r="AC1683" s="902" t="s">
        <v>5083</v>
      </c>
      <c r="AD1683" s="901" t="s">
        <v>5082</v>
      </c>
    </row>
    <row r="1684" spans="29:30" ht="14.5" x14ac:dyDescent="0.35">
      <c r="AC1684" s="900" t="s">
        <v>5085</v>
      </c>
      <c r="AD1684" s="899" t="s">
        <v>5084</v>
      </c>
    </row>
    <row r="1685" spans="29:30" ht="14.5" x14ac:dyDescent="0.35">
      <c r="AC1685" s="902" t="s">
        <v>5087</v>
      </c>
      <c r="AD1685" s="901" t="s">
        <v>5086</v>
      </c>
    </row>
    <row r="1686" spans="29:30" ht="14.5" x14ac:dyDescent="0.35">
      <c r="AC1686" s="900" t="s">
        <v>5089</v>
      </c>
      <c r="AD1686" s="899" t="s">
        <v>5088</v>
      </c>
    </row>
    <row r="1687" spans="29:30" ht="14.5" x14ac:dyDescent="0.35">
      <c r="AC1687" s="902" t="s">
        <v>5091</v>
      </c>
      <c r="AD1687" s="901" t="s">
        <v>5090</v>
      </c>
    </row>
    <row r="1688" spans="29:30" ht="14.5" x14ac:dyDescent="0.35">
      <c r="AC1688" s="900" t="s">
        <v>5093</v>
      </c>
      <c r="AD1688" s="899" t="s">
        <v>5092</v>
      </c>
    </row>
    <row r="1689" spans="29:30" ht="14.5" x14ac:dyDescent="0.35">
      <c r="AC1689" s="902" t="s">
        <v>5095</v>
      </c>
      <c r="AD1689" s="901" t="s">
        <v>5094</v>
      </c>
    </row>
    <row r="1690" spans="29:30" ht="14.5" x14ac:dyDescent="0.35">
      <c r="AC1690" s="900" t="s">
        <v>5097</v>
      </c>
      <c r="AD1690" s="899" t="s">
        <v>5096</v>
      </c>
    </row>
    <row r="1691" spans="29:30" ht="14.5" x14ac:dyDescent="0.35">
      <c r="AC1691" s="902" t="s">
        <v>5099</v>
      </c>
      <c r="AD1691" s="901" t="s">
        <v>5098</v>
      </c>
    </row>
    <row r="1692" spans="29:30" ht="14.5" x14ac:dyDescent="0.35">
      <c r="AC1692" s="900" t="s">
        <v>5101</v>
      </c>
      <c r="AD1692" s="899" t="s">
        <v>5100</v>
      </c>
    </row>
    <row r="1693" spans="29:30" ht="14.5" x14ac:dyDescent="0.35">
      <c r="AC1693" s="902" t="s">
        <v>5103</v>
      </c>
      <c r="AD1693" s="901" t="s">
        <v>5102</v>
      </c>
    </row>
    <row r="1694" spans="29:30" ht="14.5" x14ac:dyDescent="0.35">
      <c r="AC1694" s="900" t="s">
        <v>5105</v>
      </c>
      <c r="AD1694" s="899" t="s">
        <v>5104</v>
      </c>
    </row>
    <row r="1695" spans="29:30" ht="14.5" x14ac:dyDescent="0.35">
      <c r="AC1695" s="902" t="s">
        <v>5107</v>
      </c>
      <c r="AD1695" s="901" t="s">
        <v>5106</v>
      </c>
    </row>
    <row r="1696" spans="29:30" ht="14.5" x14ac:dyDescent="0.35">
      <c r="AC1696" s="900" t="s">
        <v>5109</v>
      </c>
      <c r="AD1696" s="899" t="s">
        <v>5108</v>
      </c>
    </row>
    <row r="1697" spans="29:30" ht="14.5" x14ac:dyDescent="0.35">
      <c r="AC1697" s="902" t="s">
        <v>5111</v>
      </c>
      <c r="AD1697" s="901" t="s">
        <v>5110</v>
      </c>
    </row>
    <row r="1698" spans="29:30" ht="14.5" x14ac:dyDescent="0.35">
      <c r="AC1698" s="900" t="s">
        <v>5113</v>
      </c>
      <c r="AD1698" s="899" t="s">
        <v>5112</v>
      </c>
    </row>
    <row r="1699" spans="29:30" ht="14.5" x14ac:dyDescent="0.35">
      <c r="AC1699" s="902" t="s">
        <v>5115</v>
      </c>
      <c r="AD1699" s="901" t="s">
        <v>5114</v>
      </c>
    </row>
    <row r="1700" spans="29:30" ht="14.5" x14ac:dyDescent="0.35">
      <c r="AC1700" s="900" t="s">
        <v>5117</v>
      </c>
      <c r="AD1700" s="899" t="s">
        <v>5116</v>
      </c>
    </row>
    <row r="1701" spans="29:30" ht="14.5" x14ac:dyDescent="0.35">
      <c r="AC1701" s="902" t="s">
        <v>5119</v>
      </c>
      <c r="AD1701" s="901" t="s">
        <v>5118</v>
      </c>
    </row>
    <row r="1702" spans="29:30" ht="14.5" x14ac:dyDescent="0.35">
      <c r="AC1702" s="900" t="s">
        <v>5121</v>
      </c>
      <c r="AD1702" s="899" t="s">
        <v>5120</v>
      </c>
    </row>
    <row r="1703" spans="29:30" ht="14.5" x14ac:dyDescent="0.35">
      <c r="AC1703" s="902" t="s">
        <v>5123</v>
      </c>
      <c r="AD1703" s="901" t="s">
        <v>5122</v>
      </c>
    </row>
    <row r="1704" spans="29:30" ht="14.5" x14ac:dyDescent="0.35">
      <c r="AC1704" s="900" t="s">
        <v>5125</v>
      </c>
      <c r="AD1704" s="899" t="s">
        <v>5124</v>
      </c>
    </row>
    <row r="1705" spans="29:30" ht="14.5" x14ac:dyDescent="0.35">
      <c r="AC1705" s="902" t="s">
        <v>5127</v>
      </c>
      <c r="AD1705" s="901" t="s">
        <v>5126</v>
      </c>
    </row>
    <row r="1706" spans="29:30" ht="14.5" x14ac:dyDescent="0.35">
      <c r="AC1706" s="900" t="s">
        <v>5129</v>
      </c>
      <c r="AD1706" s="899" t="s">
        <v>5128</v>
      </c>
    </row>
    <row r="1707" spans="29:30" ht="14.5" x14ac:dyDescent="0.35">
      <c r="AC1707" s="902" t="s">
        <v>5131</v>
      </c>
      <c r="AD1707" s="901" t="s">
        <v>5130</v>
      </c>
    </row>
    <row r="1708" spans="29:30" ht="14.5" x14ac:dyDescent="0.35">
      <c r="AC1708" s="900" t="s">
        <v>5133</v>
      </c>
      <c r="AD1708" s="899" t="s">
        <v>5132</v>
      </c>
    </row>
    <row r="1709" spans="29:30" ht="14.5" x14ac:dyDescent="0.35">
      <c r="AC1709" s="902" t="s">
        <v>5135</v>
      </c>
      <c r="AD1709" s="901" t="s">
        <v>5134</v>
      </c>
    </row>
    <row r="1710" spans="29:30" ht="14.5" x14ac:dyDescent="0.35">
      <c r="AC1710" s="900" t="s">
        <v>5137</v>
      </c>
      <c r="AD1710" s="899" t="s">
        <v>5136</v>
      </c>
    </row>
    <row r="1711" spans="29:30" ht="14.5" x14ac:dyDescent="0.35">
      <c r="AC1711" s="902" t="s">
        <v>5139</v>
      </c>
      <c r="AD1711" s="901" t="s">
        <v>5138</v>
      </c>
    </row>
    <row r="1712" spans="29:30" ht="14.5" x14ac:dyDescent="0.35">
      <c r="AC1712" s="900" t="s">
        <v>5141</v>
      </c>
      <c r="AD1712" s="899" t="s">
        <v>5140</v>
      </c>
    </row>
    <row r="1713" spans="29:30" ht="14.5" x14ac:dyDescent="0.35">
      <c r="AC1713" s="902" t="s">
        <v>5143</v>
      </c>
      <c r="AD1713" s="901" t="s">
        <v>5142</v>
      </c>
    </row>
    <row r="1714" spans="29:30" ht="14.5" x14ac:dyDescent="0.35">
      <c r="AC1714" s="900" t="s">
        <v>5145</v>
      </c>
      <c r="AD1714" s="899" t="s">
        <v>5144</v>
      </c>
    </row>
    <row r="1715" spans="29:30" ht="14.5" x14ac:dyDescent="0.35">
      <c r="AC1715" s="902" t="s">
        <v>5147</v>
      </c>
      <c r="AD1715" s="901" t="s">
        <v>5146</v>
      </c>
    </row>
    <row r="1716" spans="29:30" ht="14.5" x14ac:dyDescent="0.35">
      <c r="AC1716" s="900" t="s">
        <v>5149</v>
      </c>
      <c r="AD1716" s="899" t="s">
        <v>5148</v>
      </c>
    </row>
    <row r="1717" spans="29:30" ht="14.5" x14ac:dyDescent="0.35">
      <c r="AC1717" s="902" t="s">
        <v>5151</v>
      </c>
      <c r="AD1717" s="901" t="s">
        <v>5150</v>
      </c>
    </row>
    <row r="1718" spans="29:30" ht="14.5" x14ac:dyDescent="0.35">
      <c r="AC1718" s="900" t="s">
        <v>5153</v>
      </c>
      <c r="AD1718" s="899" t="s">
        <v>5152</v>
      </c>
    </row>
    <row r="1719" spans="29:30" ht="14.5" x14ac:dyDescent="0.35">
      <c r="AC1719" s="902" t="s">
        <v>5155</v>
      </c>
      <c r="AD1719" s="901" t="s">
        <v>5154</v>
      </c>
    </row>
    <row r="1720" spans="29:30" ht="14.5" x14ac:dyDescent="0.35">
      <c r="AC1720" s="900" t="s">
        <v>5157</v>
      </c>
      <c r="AD1720" s="899" t="s">
        <v>5156</v>
      </c>
    </row>
    <row r="1721" spans="29:30" ht="14.5" x14ac:dyDescent="0.35">
      <c r="AC1721" s="902" t="s">
        <v>5159</v>
      </c>
      <c r="AD1721" s="901" t="s">
        <v>5158</v>
      </c>
    </row>
    <row r="1722" spans="29:30" ht="14.5" x14ac:dyDescent="0.35">
      <c r="AC1722" s="900" t="s">
        <v>5161</v>
      </c>
      <c r="AD1722" s="899" t="s">
        <v>5160</v>
      </c>
    </row>
    <row r="1723" spans="29:30" ht="14.5" x14ac:dyDescent="0.35">
      <c r="AC1723" s="902" t="s">
        <v>5163</v>
      </c>
      <c r="AD1723" s="901" t="s">
        <v>5162</v>
      </c>
    </row>
    <row r="1724" spans="29:30" ht="14.5" x14ac:dyDescent="0.35">
      <c r="AC1724" s="900" t="s">
        <v>5165</v>
      </c>
      <c r="AD1724" s="899" t="s">
        <v>5164</v>
      </c>
    </row>
    <row r="1725" spans="29:30" ht="14.5" x14ac:dyDescent="0.35">
      <c r="AC1725" s="902" t="s">
        <v>5167</v>
      </c>
      <c r="AD1725" s="901" t="s">
        <v>5166</v>
      </c>
    </row>
    <row r="1726" spans="29:30" ht="14.5" x14ac:dyDescent="0.35">
      <c r="AC1726" s="900" t="s">
        <v>5169</v>
      </c>
      <c r="AD1726" s="899" t="s">
        <v>5168</v>
      </c>
    </row>
    <row r="1727" spans="29:30" ht="14.5" x14ac:dyDescent="0.35">
      <c r="AC1727" s="902" t="s">
        <v>5171</v>
      </c>
      <c r="AD1727" s="901" t="s">
        <v>5170</v>
      </c>
    </row>
    <row r="1728" spans="29:30" ht="14.5" x14ac:dyDescent="0.35">
      <c r="AC1728" s="900" t="s">
        <v>5173</v>
      </c>
      <c r="AD1728" s="899" t="s">
        <v>5172</v>
      </c>
    </row>
    <row r="1729" spans="29:30" ht="14.5" x14ac:dyDescent="0.35">
      <c r="AC1729" s="902" t="s">
        <v>5175</v>
      </c>
      <c r="AD1729" s="901" t="s">
        <v>5174</v>
      </c>
    </row>
    <row r="1730" spans="29:30" ht="14.5" x14ac:dyDescent="0.35">
      <c r="AC1730" s="900" t="s">
        <v>5177</v>
      </c>
      <c r="AD1730" s="899" t="s">
        <v>5176</v>
      </c>
    </row>
    <row r="1731" spans="29:30" ht="14.5" x14ac:dyDescent="0.35">
      <c r="AC1731" s="902" t="s">
        <v>5179</v>
      </c>
      <c r="AD1731" s="901" t="s">
        <v>5178</v>
      </c>
    </row>
    <row r="1732" spans="29:30" ht="14.5" x14ac:dyDescent="0.35">
      <c r="AC1732" s="900" t="s">
        <v>5181</v>
      </c>
      <c r="AD1732" s="899" t="s">
        <v>5180</v>
      </c>
    </row>
    <row r="1733" spans="29:30" ht="14.5" x14ac:dyDescent="0.35">
      <c r="AC1733" s="902" t="s">
        <v>5183</v>
      </c>
      <c r="AD1733" s="901" t="s">
        <v>5182</v>
      </c>
    </row>
    <row r="1734" spans="29:30" ht="14.5" x14ac:dyDescent="0.35">
      <c r="AC1734" s="900" t="s">
        <v>5185</v>
      </c>
      <c r="AD1734" s="899" t="s">
        <v>5184</v>
      </c>
    </row>
    <row r="1735" spans="29:30" ht="14.5" x14ac:dyDescent="0.35">
      <c r="AC1735" s="902" t="s">
        <v>5187</v>
      </c>
      <c r="AD1735" s="901" t="s">
        <v>5186</v>
      </c>
    </row>
    <row r="1736" spans="29:30" ht="14.5" x14ac:dyDescent="0.35">
      <c r="AC1736" s="900" t="s">
        <v>5189</v>
      </c>
      <c r="AD1736" s="899" t="s">
        <v>5188</v>
      </c>
    </row>
    <row r="1737" spans="29:30" ht="14.5" x14ac:dyDescent="0.35">
      <c r="AC1737" s="902" t="s">
        <v>5191</v>
      </c>
      <c r="AD1737" s="901" t="s">
        <v>5190</v>
      </c>
    </row>
    <row r="1738" spans="29:30" ht="14.5" x14ac:dyDescent="0.35">
      <c r="AC1738" s="900" t="s">
        <v>5193</v>
      </c>
      <c r="AD1738" s="899" t="s">
        <v>5192</v>
      </c>
    </row>
    <row r="1739" spans="29:30" ht="14.5" x14ac:dyDescent="0.35">
      <c r="AC1739" s="902" t="s">
        <v>5195</v>
      </c>
      <c r="AD1739" s="901" t="s">
        <v>5194</v>
      </c>
    </row>
    <row r="1740" spans="29:30" ht="14.5" x14ac:dyDescent="0.35">
      <c r="AC1740" s="900" t="s">
        <v>5197</v>
      </c>
      <c r="AD1740" s="899" t="s">
        <v>5196</v>
      </c>
    </row>
    <row r="1741" spans="29:30" ht="14.5" x14ac:dyDescent="0.35">
      <c r="AC1741" s="902" t="s">
        <v>5199</v>
      </c>
      <c r="AD1741" s="901" t="s">
        <v>5198</v>
      </c>
    </row>
    <row r="1742" spans="29:30" ht="14.5" x14ac:dyDescent="0.35">
      <c r="AC1742" s="900" t="s">
        <v>5201</v>
      </c>
      <c r="AD1742" s="899" t="s">
        <v>5200</v>
      </c>
    </row>
    <row r="1743" spans="29:30" ht="14.5" x14ac:dyDescent="0.35">
      <c r="AC1743" s="902" t="s">
        <v>5203</v>
      </c>
      <c r="AD1743" s="901" t="s">
        <v>5202</v>
      </c>
    </row>
    <row r="1744" spans="29:30" ht="14.5" x14ac:dyDescent="0.35">
      <c r="AC1744" s="900" t="s">
        <v>5205</v>
      </c>
      <c r="AD1744" s="899" t="s">
        <v>5204</v>
      </c>
    </row>
    <row r="1745" spans="29:30" ht="14.5" x14ac:dyDescent="0.35">
      <c r="AC1745" s="902" t="s">
        <v>5207</v>
      </c>
      <c r="AD1745" s="901" t="s">
        <v>5206</v>
      </c>
    </row>
    <row r="1746" spans="29:30" ht="14.5" x14ac:dyDescent="0.35">
      <c r="AC1746" s="900" t="s">
        <v>5209</v>
      </c>
      <c r="AD1746" s="899" t="s">
        <v>5208</v>
      </c>
    </row>
    <row r="1747" spans="29:30" ht="14.5" x14ac:dyDescent="0.35">
      <c r="AC1747" s="902" t="s">
        <v>5211</v>
      </c>
      <c r="AD1747" s="901" t="s">
        <v>5210</v>
      </c>
    </row>
    <row r="1748" spans="29:30" ht="14.5" x14ac:dyDescent="0.35">
      <c r="AC1748" s="900" t="s">
        <v>5213</v>
      </c>
      <c r="AD1748" s="899" t="s">
        <v>5212</v>
      </c>
    </row>
    <row r="1749" spans="29:30" ht="14.5" x14ac:dyDescent="0.35">
      <c r="AC1749" s="902" t="s">
        <v>5215</v>
      </c>
      <c r="AD1749" s="901" t="s">
        <v>5214</v>
      </c>
    </row>
    <row r="1750" spans="29:30" ht="14.5" x14ac:dyDescent="0.35">
      <c r="AC1750" s="900" t="s">
        <v>5217</v>
      </c>
      <c r="AD1750" s="899" t="s">
        <v>5216</v>
      </c>
    </row>
    <row r="1751" spans="29:30" ht="14.5" x14ac:dyDescent="0.35">
      <c r="AC1751" s="902" t="s">
        <v>5219</v>
      </c>
      <c r="AD1751" s="901" t="s">
        <v>5218</v>
      </c>
    </row>
    <row r="1752" spans="29:30" ht="14.5" x14ac:dyDescent="0.35">
      <c r="AC1752" s="900" t="s">
        <v>5221</v>
      </c>
      <c r="AD1752" s="899" t="s">
        <v>5220</v>
      </c>
    </row>
    <row r="1753" spans="29:30" ht="14.5" x14ac:dyDescent="0.35">
      <c r="AC1753" s="902" t="s">
        <v>5223</v>
      </c>
      <c r="AD1753" s="901" t="s">
        <v>5222</v>
      </c>
    </row>
    <row r="1754" spans="29:30" ht="14.5" x14ac:dyDescent="0.35">
      <c r="AC1754" s="900" t="s">
        <v>5225</v>
      </c>
      <c r="AD1754" s="899" t="s">
        <v>5224</v>
      </c>
    </row>
    <row r="1755" spans="29:30" ht="14.5" x14ac:dyDescent="0.35">
      <c r="AC1755" s="902" t="s">
        <v>5227</v>
      </c>
      <c r="AD1755" s="901" t="s">
        <v>5226</v>
      </c>
    </row>
    <row r="1756" spans="29:30" ht="14.5" x14ac:dyDescent="0.35">
      <c r="AC1756" s="900" t="s">
        <v>5229</v>
      </c>
      <c r="AD1756" s="899" t="s">
        <v>5228</v>
      </c>
    </row>
    <row r="1757" spans="29:30" ht="14.5" x14ac:dyDescent="0.35">
      <c r="AC1757" s="902" t="s">
        <v>5231</v>
      </c>
      <c r="AD1757" s="901" t="s">
        <v>5230</v>
      </c>
    </row>
    <row r="1758" spans="29:30" ht="14.5" x14ac:dyDescent="0.35">
      <c r="AC1758" s="900" t="s">
        <v>5233</v>
      </c>
      <c r="AD1758" s="899" t="s">
        <v>5232</v>
      </c>
    </row>
    <row r="1759" spans="29:30" ht="14.5" x14ac:dyDescent="0.35">
      <c r="AC1759" s="902" t="s">
        <v>5235</v>
      </c>
      <c r="AD1759" s="901" t="s">
        <v>5234</v>
      </c>
    </row>
    <row r="1760" spans="29:30" ht="14.5" x14ac:dyDescent="0.35">
      <c r="AC1760" s="900" t="s">
        <v>5237</v>
      </c>
      <c r="AD1760" s="899" t="s">
        <v>5236</v>
      </c>
    </row>
    <row r="1761" spans="29:30" ht="14.5" x14ac:dyDescent="0.35">
      <c r="AC1761" s="902" t="s">
        <v>5239</v>
      </c>
      <c r="AD1761" s="901" t="s">
        <v>5238</v>
      </c>
    </row>
    <row r="1762" spans="29:30" ht="14.5" x14ac:dyDescent="0.35">
      <c r="AC1762" s="900" t="s">
        <v>5241</v>
      </c>
      <c r="AD1762" s="899" t="s">
        <v>5240</v>
      </c>
    </row>
    <row r="1763" spans="29:30" ht="14.5" x14ac:dyDescent="0.35">
      <c r="AC1763" s="902" t="s">
        <v>5243</v>
      </c>
      <c r="AD1763" s="901" t="s">
        <v>5242</v>
      </c>
    </row>
    <row r="1764" spans="29:30" ht="14.5" x14ac:dyDescent="0.35">
      <c r="AC1764" s="900" t="s">
        <v>5245</v>
      </c>
      <c r="AD1764" s="899" t="s">
        <v>5244</v>
      </c>
    </row>
    <row r="1765" spans="29:30" ht="14.5" x14ac:dyDescent="0.35">
      <c r="AC1765" s="902" t="s">
        <v>5247</v>
      </c>
      <c r="AD1765" s="901" t="s">
        <v>5246</v>
      </c>
    </row>
    <row r="1766" spans="29:30" ht="14.5" x14ac:dyDescent="0.35">
      <c r="AC1766" s="900" t="s">
        <v>5249</v>
      </c>
      <c r="AD1766" s="899" t="s">
        <v>5248</v>
      </c>
    </row>
    <row r="1767" spans="29:30" ht="14.5" x14ac:dyDescent="0.35">
      <c r="AC1767" s="902" t="s">
        <v>5251</v>
      </c>
      <c r="AD1767" s="901" t="s">
        <v>5250</v>
      </c>
    </row>
    <row r="1768" spans="29:30" ht="14.5" x14ac:dyDescent="0.35">
      <c r="AC1768" s="900" t="s">
        <v>5253</v>
      </c>
      <c r="AD1768" s="899" t="s">
        <v>5252</v>
      </c>
    </row>
    <row r="1769" spans="29:30" ht="14.5" x14ac:dyDescent="0.35">
      <c r="AC1769" s="902" t="s">
        <v>5255</v>
      </c>
      <c r="AD1769" s="901" t="s">
        <v>5254</v>
      </c>
    </row>
    <row r="1770" spans="29:30" ht="14.5" x14ac:dyDescent="0.35">
      <c r="AC1770" s="900" t="s">
        <v>5257</v>
      </c>
      <c r="AD1770" s="899" t="s">
        <v>5256</v>
      </c>
    </row>
    <row r="1771" spans="29:30" ht="14.5" x14ac:dyDescent="0.35">
      <c r="AC1771" s="902" t="s">
        <v>5259</v>
      </c>
      <c r="AD1771" s="901" t="s">
        <v>5258</v>
      </c>
    </row>
    <row r="1772" spans="29:30" ht="14.5" x14ac:dyDescent="0.35">
      <c r="AC1772" s="900" t="s">
        <v>5261</v>
      </c>
      <c r="AD1772" s="899" t="s">
        <v>5260</v>
      </c>
    </row>
    <row r="1773" spans="29:30" ht="14.5" x14ac:dyDescent="0.35">
      <c r="AC1773" s="902" t="s">
        <v>5263</v>
      </c>
      <c r="AD1773" s="901" t="s">
        <v>5262</v>
      </c>
    </row>
    <row r="1774" spans="29:30" ht="14.5" x14ac:dyDescent="0.35">
      <c r="AC1774" s="900" t="s">
        <v>5265</v>
      </c>
      <c r="AD1774" s="899" t="s">
        <v>5264</v>
      </c>
    </row>
    <row r="1775" spans="29:30" ht="14.5" x14ac:dyDescent="0.35">
      <c r="AC1775" s="902" t="s">
        <v>5267</v>
      </c>
      <c r="AD1775" s="901" t="s">
        <v>5266</v>
      </c>
    </row>
    <row r="1776" spans="29:30" ht="14.5" x14ac:dyDescent="0.35">
      <c r="AC1776" s="900" t="s">
        <v>5269</v>
      </c>
      <c r="AD1776" s="899" t="s">
        <v>5268</v>
      </c>
    </row>
    <row r="1777" spans="29:30" ht="14.5" x14ac:dyDescent="0.35">
      <c r="AC1777" s="902" t="s">
        <v>5271</v>
      </c>
      <c r="AD1777" s="901" t="s">
        <v>5270</v>
      </c>
    </row>
    <row r="1778" spans="29:30" ht="14.5" x14ac:dyDescent="0.35">
      <c r="AC1778" s="900" t="s">
        <v>5273</v>
      </c>
      <c r="AD1778" s="899" t="s">
        <v>5272</v>
      </c>
    </row>
    <row r="1779" spans="29:30" ht="14.5" x14ac:dyDescent="0.35">
      <c r="AC1779" s="902" t="s">
        <v>5275</v>
      </c>
      <c r="AD1779" s="901" t="s">
        <v>5274</v>
      </c>
    </row>
    <row r="1780" spans="29:30" ht="14.5" x14ac:dyDescent="0.35">
      <c r="AC1780" s="900" t="s">
        <v>5277</v>
      </c>
      <c r="AD1780" s="899" t="s">
        <v>5276</v>
      </c>
    </row>
    <row r="1781" spans="29:30" ht="14.5" x14ac:dyDescent="0.35">
      <c r="AC1781" s="902" t="s">
        <v>5279</v>
      </c>
      <c r="AD1781" s="901" t="s">
        <v>5278</v>
      </c>
    </row>
    <row r="1782" spans="29:30" ht="14.5" x14ac:dyDescent="0.35">
      <c r="AC1782" s="900" t="s">
        <v>5281</v>
      </c>
      <c r="AD1782" s="899" t="s">
        <v>5280</v>
      </c>
    </row>
    <row r="1783" spans="29:30" ht="14.5" x14ac:dyDescent="0.35">
      <c r="AC1783" s="902" t="s">
        <v>5283</v>
      </c>
      <c r="AD1783" s="901" t="s">
        <v>5282</v>
      </c>
    </row>
    <row r="1784" spans="29:30" ht="14.5" x14ac:dyDescent="0.35">
      <c r="AC1784" s="900" t="s">
        <v>5285</v>
      </c>
      <c r="AD1784" s="899" t="s">
        <v>5284</v>
      </c>
    </row>
    <row r="1785" spans="29:30" ht="14.5" x14ac:dyDescent="0.35">
      <c r="AC1785" s="902" t="s">
        <v>5287</v>
      </c>
      <c r="AD1785" s="901" t="s">
        <v>5286</v>
      </c>
    </row>
    <row r="1786" spans="29:30" ht="14.5" x14ac:dyDescent="0.35">
      <c r="AC1786" s="900" t="s">
        <v>5289</v>
      </c>
      <c r="AD1786" s="899" t="s">
        <v>5288</v>
      </c>
    </row>
    <row r="1787" spans="29:30" ht="14.5" x14ac:dyDescent="0.35">
      <c r="AC1787" s="902" t="s">
        <v>5291</v>
      </c>
      <c r="AD1787" s="901" t="s">
        <v>5290</v>
      </c>
    </row>
    <row r="1788" spans="29:30" ht="14.5" x14ac:dyDescent="0.35">
      <c r="AC1788" s="900" t="s">
        <v>5293</v>
      </c>
      <c r="AD1788" s="899" t="s">
        <v>5292</v>
      </c>
    </row>
    <row r="1789" spans="29:30" ht="14.5" x14ac:dyDescent="0.35">
      <c r="AC1789" s="902" t="s">
        <v>5295</v>
      </c>
      <c r="AD1789" s="901" t="s">
        <v>5294</v>
      </c>
    </row>
    <row r="1790" spans="29:30" ht="14.5" x14ac:dyDescent="0.35">
      <c r="AC1790" s="900" t="s">
        <v>5297</v>
      </c>
      <c r="AD1790" s="899" t="s">
        <v>5296</v>
      </c>
    </row>
    <row r="1791" spans="29:30" ht="14.5" x14ac:dyDescent="0.35">
      <c r="AC1791" s="902" t="s">
        <v>5299</v>
      </c>
      <c r="AD1791" s="901" t="s">
        <v>5298</v>
      </c>
    </row>
    <row r="1792" spans="29:30" ht="14.5" x14ac:dyDescent="0.35">
      <c r="AC1792" s="900" t="s">
        <v>5301</v>
      </c>
      <c r="AD1792" s="899" t="s">
        <v>5300</v>
      </c>
    </row>
    <row r="1793" spans="29:30" ht="14.5" x14ac:dyDescent="0.35">
      <c r="AC1793" s="902" t="s">
        <v>5303</v>
      </c>
      <c r="AD1793" s="901" t="s">
        <v>5302</v>
      </c>
    </row>
    <row r="1794" spans="29:30" ht="14.5" x14ac:dyDescent="0.35">
      <c r="AC1794" s="900" t="s">
        <v>5305</v>
      </c>
      <c r="AD1794" s="899" t="s">
        <v>5304</v>
      </c>
    </row>
    <row r="1795" spans="29:30" ht="14.5" x14ac:dyDescent="0.35">
      <c r="AC1795" s="902" t="s">
        <v>5307</v>
      </c>
      <c r="AD1795" s="901" t="s">
        <v>5306</v>
      </c>
    </row>
    <row r="1796" spans="29:30" ht="14.5" x14ac:dyDescent="0.35">
      <c r="AC1796" s="900" t="s">
        <v>5309</v>
      </c>
      <c r="AD1796" s="899" t="s">
        <v>5308</v>
      </c>
    </row>
    <row r="1797" spans="29:30" ht="14.5" x14ac:dyDescent="0.35">
      <c r="AC1797" s="902" t="s">
        <v>5311</v>
      </c>
      <c r="AD1797" s="901" t="s">
        <v>5310</v>
      </c>
    </row>
    <row r="1798" spans="29:30" ht="14.5" x14ac:dyDescent="0.35">
      <c r="AC1798" s="900" t="s">
        <v>5313</v>
      </c>
      <c r="AD1798" s="899" t="s">
        <v>5312</v>
      </c>
    </row>
    <row r="1799" spans="29:30" ht="14.5" x14ac:dyDescent="0.35">
      <c r="AC1799" s="902" t="s">
        <v>5315</v>
      </c>
      <c r="AD1799" s="901" t="s">
        <v>5314</v>
      </c>
    </row>
    <row r="1800" spans="29:30" ht="14.5" x14ac:dyDescent="0.35">
      <c r="AC1800" s="900" t="s">
        <v>5317</v>
      </c>
      <c r="AD1800" s="899" t="s">
        <v>5316</v>
      </c>
    </row>
    <row r="1801" spans="29:30" ht="14.5" x14ac:dyDescent="0.35">
      <c r="AC1801" s="902" t="s">
        <v>5319</v>
      </c>
      <c r="AD1801" s="901" t="s">
        <v>5318</v>
      </c>
    </row>
    <row r="1802" spans="29:30" ht="14.5" x14ac:dyDescent="0.35">
      <c r="AC1802" s="900" t="s">
        <v>5321</v>
      </c>
      <c r="AD1802" s="899" t="s">
        <v>5320</v>
      </c>
    </row>
    <row r="1803" spans="29:30" ht="14.5" x14ac:dyDescent="0.35">
      <c r="AC1803" s="902" t="s">
        <v>5323</v>
      </c>
      <c r="AD1803" s="901" t="s">
        <v>5322</v>
      </c>
    </row>
    <row r="1804" spans="29:30" ht="14.5" x14ac:dyDescent="0.35">
      <c r="AC1804" s="900" t="s">
        <v>5325</v>
      </c>
      <c r="AD1804" s="899" t="s">
        <v>5324</v>
      </c>
    </row>
    <row r="1805" spans="29:30" ht="14.5" x14ac:dyDescent="0.35">
      <c r="AC1805" s="902" t="s">
        <v>5327</v>
      </c>
      <c r="AD1805" s="901" t="s">
        <v>5326</v>
      </c>
    </row>
    <row r="1806" spans="29:30" ht="14.5" x14ac:dyDescent="0.35">
      <c r="AC1806" s="900" t="s">
        <v>5329</v>
      </c>
      <c r="AD1806" s="899" t="s">
        <v>5328</v>
      </c>
    </row>
    <row r="1807" spans="29:30" ht="14.5" x14ac:dyDescent="0.35">
      <c r="AC1807" s="902" t="s">
        <v>5331</v>
      </c>
      <c r="AD1807" s="901" t="s">
        <v>5330</v>
      </c>
    </row>
    <row r="1808" spans="29:30" ht="14.5" x14ac:dyDescent="0.35">
      <c r="AC1808" s="900" t="s">
        <v>5333</v>
      </c>
      <c r="AD1808" s="899" t="s">
        <v>5332</v>
      </c>
    </row>
    <row r="1809" spans="29:30" ht="14.5" x14ac:dyDescent="0.35">
      <c r="AC1809" s="902" t="s">
        <v>5335</v>
      </c>
      <c r="AD1809" s="901" t="s">
        <v>5334</v>
      </c>
    </row>
    <row r="1810" spans="29:30" ht="14.5" x14ac:dyDescent="0.35">
      <c r="AC1810" s="900" t="s">
        <v>5337</v>
      </c>
      <c r="AD1810" s="899" t="s">
        <v>5336</v>
      </c>
    </row>
    <row r="1811" spans="29:30" ht="14.5" x14ac:dyDescent="0.35">
      <c r="AC1811" s="902" t="s">
        <v>5339</v>
      </c>
      <c r="AD1811" s="901" t="s">
        <v>5338</v>
      </c>
    </row>
    <row r="1812" spans="29:30" ht="14.5" x14ac:dyDescent="0.35">
      <c r="AC1812" s="900" t="s">
        <v>5341</v>
      </c>
      <c r="AD1812" s="899" t="s">
        <v>5340</v>
      </c>
    </row>
    <row r="1813" spans="29:30" ht="14.5" x14ac:dyDescent="0.35">
      <c r="AC1813" s="902" t="s">
        <v>5343</v>
      </c>
      <c r="AD1813" s="901" t="s">
        <v>5342</v>
      </c>
    </row>
    <row r="1814" spans="29:30" ht="14.5" x14ac:dyDescent="0.35">
      <c r="AC1814" s="900" t="s">
        <v>5345</v>
      </c>
      <c r="AD1814" s="899" t="s">
        <v>5344</v>
      </c>
    </row>
    <row r="1815" spans="29:30" ht="14.5" x14ac:dyDescent="0.35">
      <c r="AC1815" s="902" t="s">
        <v>5347</v>
      </c>
      <c r="AD1815" s="901" t="s">
        <v>5346</v>
      </c>
    </row>
    <row r="1816" spans="29:30" ht="14.5" x14ac:dyDescent="0.35">
      <c r="AC1816" s="900" t="s">
        <v>5349</v>
      </c>
      <c r="AD1816" s="899" t="s">
        <v>5348</v>
      </c>
    </row>
    <row r="1817" spans="29:30" ht="14.5" x14ac:dyDescent="0.35">
      <c r="AC1817" s="902" t="s">
        <v>5351</v>
      </c>
      <c r="AD1817" s="901" t="s">
        <v>5350</v>
      </c>
    </row>
    <row r="1818" spans="29:30" ht="14.5" x14ac:dyDescent="0.35">
      <c r="AC1818" s="900" t="s">
        <v>5353</v>
      </c>
      <c r="AD1818" s="899" t="s">
        <v>5352</v>
      </c>
    </row>
    <row r="1819" spans="29:30" ht="14.5" x14ac:dyDescent="0.35">
      <c r="AC1819" s="902" t="s">
        <v>5355</v>
      </c>
      <c r="AD1819" s="901" t="s">
        <v>5354</v>
      </c>
    </row>
    <row r="1820" spans="29:30" ht="14.5" x14ac:dyDescent="0.35">
      <c r="AC1820" s="900" t="s">
        <v>5357</v>
      </c>
      <c r="AD1820" s="899" t="s">
        <v>5356</v>
      </c>
    </row>
    <row r="1821" spans="29:30" ht="14.5" x14ac:dyDescent="0.35">
      <c r="AC1821" s="902" t="s">
        <v>5359</v>
      </c>
      <c r="AD1821" s="901" t="s">
        <v>5358</v>
      </c>
    </row>
    <row r="1822" spans="29:30" ht="14.5" x14ac:dyDescent="0.35">
      <c r="AC1822" s="900" t="s">
        <v>5361</v>
      </c>
      <c r="AD1822" s="899" t="s">
        <v>5360</v>
      </c>
    </row>
    <row r="1823" spans="29:30" ht="14.5" x14ac:dyDescent="0.35">
      <c r="AC1823" s="902" t="s">
        <v>5363</v>
      </c>
      <c r="AD1823" s="901" t="s">
        <v>5362</v>
      </c>
    </row>
    <row r="1824" spans="29:30" ht="14.5" x14ac:dyDescent="0.35">
      <c r="AC1824" s="900" t="s">
        <v>5365</v>
      </c>
      <c r="AD1824" s="899" t="s">
        <v>5364</v>
      </c>
    </row>
    <row r="1825" spans="29:30" ht="14.5" x14ac:dyDescent="0.35">
      <c r="AC1825" s="902" t="s">
        <v>5367</v>
      </c>
      <c r="AD1825" s="901" t="s">
        <v>5366</v>
      </c>
    </row>
    <row r="1826" spans="29:30" ht="14.5" x14ac:dyDescent="0.35">
      <c r="AC1826" s="900" t="s">
        <v>5369</v>
      </c>
      <c r="AD1826" s="899" t="s">
        <v>5368</v>
      </c>
    </row>
    <row r="1827" spans="29:30" ht="14.5" x14ac:dyDescent="0.35">
      <c r="AC1827" s="902" t="s">
        <v>5371</v>
      </c>
      <c r="AD1827" s="901" t="s">
        <v>5370</v>
      </c>
    </row>
    <row r="1828" spans="29:30" ht="14.5" x14ac:dyDescent="0.35">
      <c r="AC1828" s="900" t="s">
        <v>5373</v>
      </c>
      <c r="AD1828" s="899" t="s">
        <v>5372</v>
      </c>
    </row>
    <row r="1829" spans="29:30" ht="14.5" x14ac:dyDescent="0.35">
      <c r="AC1829" s="902" t="s">
        <v>5375</v>
      </c>
      <c r="AD1829" s="901" t="s">
        <v>5374</v>
      </c>
    </row>
    <row r="1830" spans="29:30" ht="14.5" x14ac:dyDescent="0.35">
      <c r="AC1830" s="900" t="s">
        <v>5377</v>
      </c>
      <c r="AD1830" s="899" t="s">
        <v>5376</v>
      </c>
    </row>
    <row r="1831" spans="29:30" ht="14.5" x14ac:dyDescent="0.35">
      <c r="AC1831" s="902" t="s">
        <v>5379</v>
      </c>
      <c r="AD1831" s="901" t="s">
        <v>5378</v>
      </c>
    </row>
    <row r="1832" spans="29:30" ht="14.5" x14ac:dyDescent="0.35">
      <c r="AC1832" s="900" t="s">
        <v>5381</v>
      </c>
      <c r="AD1832" s="899" t="s">
        <v>5380</v>
      </c>
    </row>
    <row r="1833" spans="29:30" ht="14.5" x14ac:dyDescent="0.35">
      <c r="AC1833" s="902" t="s">
        <v>5383</v>
      </c>
      <c r="AD1833" s="901" t="s">
        <v>5382</v>
      </c>
    </row>
    <row r="1834" spans="29:30" ht="14.5" x14ac:dyDescent="0.35">
      <c r="AC1834" s="900" t="s">
        <v>5385</v>
      </c>
      <c r="AD1834" s="899" t="s">
        <v>5384</v>
      </c>
    </row>
    <row r="1835" spans="29:30" ht="14.5" x14ac:dyDescent="0.35">
      <c r="AC1835" s="902" t="s">
        <v>5387</v>
      </c>
      <c r="AD1835" s="901" t="s">
        <v>5386</v>
      </c>
    </row>
  </sheetData>
  <autoFilter ref="A60:I82" xr:uid="{289732D6-9471-4D3D-9D46-21B4F323D6C6}">
    <filterColumn colId="0" showButton="0"/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</autoFilter>
  <mergeCells count="156">
    <mergeCell ref="E80:F80"/>
    <mergeCell ref="A106:C106"/>
    <mergeCell ref="E106:H106"/>
    <mergeCell ref="A8:I8"/>
    <mergeCell ref="B45:I45"/>
    <mergeCell ref="H100:I100"/>
    <mergeCell ref="H101:I101"/>
    <mergeCell ref="H102:I102"/>
    <mergeCell ref="H104:I104"/>
    <mergeCell ref="D103:F103"/>
    <mergeCell ref="D102:F102"/>
    <mergeCell ref="D89:F89"/>
    <mergeCell ref="D90:F90"/>
    <mergeCell ref="D91:F91"/>
    <mergeCell ref="D92:F92"/>
    <mergeCell ref="D93:F93"/>
    <mergeCell ref="D94:F94"/>
    <mergeCell ref="D95:F95"/>
    <mergeCell ref="A84:I84"/>
    <mergeCell ref="A85:C85"/>
    <mergeCell ref="B79:C79"/>
    <mergeCell ref="E79:F79"/>
    <mergeCell ref="H88:I88"/>
    <mergeCell ref="H89:I89"/>
    <mergeCell ref="H90:I90"/>
    <mergeCell ref="A7:I7"/>
    <mergeCell ref="A31:I31"/>
    <mergeCell ref="D32:G32"/>
    <mergeCell ref="A67:F67"/>
    <mergeCell ref="G62:I62"/>
    <mergeCell ref="A81:C82"/>
    <mergeCell ref="D81:F82"/>
    <mergeCell ref="G76:I76"/>
    <mergeCell ref="D87:F87"/>
    <mergeCell ref="D88:F88"/>
    <mergeCell ref="A38:I38"/>
    <mergeCell ref="E55:F55"/>
    <mergeCell ref="H49:I49"/>
    <mergeCell ref="H50:I50"/>
    <mergeCell ref="H51:I51"/>
    <mergeCell ref="H52:I52"/>
    <mergeCell ref="H53:I53"/>
    <mergeCell ref="H54:I54"/>
    <mergeCell ref="H55:I55"/>
    <mergeCell ref="E49:F49"/>
    <mergeCell ref="E50:F50"/>
    <mergeCell ref="E51:F51"/>
    <mergeCell ref="E52:F52"/>
    <mergeCell ref="D101:F101"/>
    <mergeCell ref="H91:I91"/>
    <mergeCell ref="H92:I92"/>
    <mergeCell ref="H93:I93"/>
    <mergeCell ref="H94:I94"/>
    <mergeCell ref="H95:I95"/>
    <mergeCell ref="H96:I96"/>
    <mergeCell ref="H97:I97"/>
    <mergeCell ref="H98:I98"/>
    <mergeCell ref="H99:I99"/>
    <mergeCell ref="D96:F96"/>
    <mergeCell ref="D98:F98"/>
    <mergeCell ref="D99:F99"/>
    <mergeCell ref="D100:F100"/>
    <mergeCell ref="E54:F54"/>
    <mergeCell ref="A44:B44"/>
    <mergeCell ref="D44:E44"/>
    <mergeCell ref="G44:H44"/>
    <mergeCell ref="B73:C73"/>
    <mergeCell ref="B74:C74"/>
    <mergeCell ref="B75:C75"/>
    <mergeCell ref="B76:C76"/>
    <mergeCell ref="A58:C59"/>
    <mergeCell ref="D58:F59"/>
    <mergeCell ref="G58:I59"/>
    <mergeCell ref="A60:I60"/>
    <mergeCell ref="A66:B66"/>
    <mergeCell ref="D66:E66"/>
    <mergeCell ref="B70:C70"/>
    <mergeCell ref="G61:I61"/>
    <mergeCell ref="E70:F70"/>
    <mergeCell ref="B56:C56"/>
    <mergeCell ref="E56:F56"/>
    <mergeCell ref="H56:I56"/>
    <mergeCell ref="B54:C54"/>
    <mergeCell ref="B55:C55"/>
    <mergeCell ref="B48:C48"/>
    <mergeCell ref="E48:F48"/>
    <mergeCell ref="B77:C77"/>
    <mergeCell ref="E77:F77"/>
    <mergeCell ref="E78:F78"/>
    <mergeCell ref="E71:F71"/>
    <mergeCell ref="E72:F72"/>
    <mergeCell ref="E73:F73"/>
    <mergeCell ref="E74:F74"/>
    <mergeCell ref="E75:F75"/>
    <mergeCell ref="E76:F76"/>
    <mergeCell ref="B78:C78"/>
    <mergeCell ref="B71:C71"/>
    <mergeCell ref="B72:C72"/>
    <mergeCell ref="H48:I48"/>
    <mergeCell ref="B49:C49"/>
    <mergeCell ref="B50:C50"/>
    <mergeCell ref="B51:C51"/>
    <mergeCell ref="B52:C52"/>
    <mergeCell ref="B53:C53"/>
    <mergeCell ref="A35:B35"/>
    <mergeCell ref="D35:G35"/>
    <mergeCell ref="A36:B36"/>
    <mergeCell ref="D36:G36"/>
    <mergeCell ref="A37:B37"/>
    <mergeCell ref="D37:G37"/>
    <mergeCell ref="E53:F53"/>
    <mergeCell ref="A30:C30"/>
    <mergeCell ref="A33:B33"/>
    <mergeCell ref="D33:G33"/>
    <mergeCell ref="A34:B34"/>
    <mergeCell ref="D34:G34"/>
    <mergeCell ref="A16:C16"/>
    <mergeCell ref="D16:E16"/>
    <mergeCell ref="G16:I16"/>
    <mergeCell ref="A25:I25"/>
    <mergeCell ref="A26:I26"/>
    <mergeCell ref="A27:B27"/>
    <mergeCell ref="D27:I27"/>
    <mergeCell ref="A28:C28"/>
    <mergeCell ref="A29:C29"/>
    <mergeCell ref="A20:I20"/>
    <mergeCell ref="A21:C21"/>
    <mergeCell ref="D21:I21"/>
    <mergeCell ref="A22:C22"/>
    <mergeCell ref="D22:I22"/>
    <mergeCell ref="A23:C23"/>
    <mergeCell ref="D23:I23"/>
    <mergeCell ref="D104:F104"/>
    <mergeCell ref="D86:G86"/>
    <mergeCell ref="H86:I86"/>
    <mergeCell ref="D3:I5"/>
    <mergeCell ref="B9:I9"/>
    <mergeCell ref="B10:I10"/>
    <mergeCell ref="B11:I11"/>
    <mergeCell ref="A12:I12"/>
    <mergeCell ref="A13:B13"/>
    <mergeCell ref="C13:D13"/>
    <mergeCell ref="E13:F13"/>
    <mergeCell ref="G13:I13"/>
    <mergeCell ref="A17:F17"/>
    <mergeCell ref="H17:I17"/>
    <mergeCell ref="A18:F18"/>
    <mergeCell ref="H18:I18"/>
    <mergeCell ref="A19:F19"/>
    <mergeCell ref="G19:I19"/>
    <mergeCell ref="A14:C14"/>
    <mergeCell ref="D14:E14"/>
    <mergeCell ref="F14:G14"/>
    <mergeCell ref="H14:I14"/>
    <mergeCell ref="E85:I85"/>
    <mergeCell ref="A15:I15"/>
  </mergeCells>
  <conditionalFormatting sqref="H86">
    <cfRule type="cellIs" dxfId="99" priority="20" operator="notEqual">
      <formula>$B$86</formula>
    </cfRule>
    <cfRule type="cellIs" dxfId="98" priority="21" operator="equal">
      <formula>$B$86</formula>
    </cfRule>
  </conditionalFormatting>
  <conditionalFormatting sqref="G75">
    <cfRule type="cellIs" dxfId="97" priority="7" operator="lessThan">
      <formula>0.166666666666667</formula>
    </cfRule>
    <cfRule type="cellIs" dxfId="96" priority="9" operator="greaterThan">
      <formula>0.25</formula>
    </cfRule>
    <cfRule type="cellIs" dxfId="95" priority="11" operator="notBetween">
      <formula>0.166666666666667</formula>
      <formula>0.25</formula>
    </cfRule>
  </conditionalFormatting>
  <conditionalFormatting sqref="H75">
    <cfRule type="cellIs" dxfId="94" priority="8" operator="greaterThan">
      <formula>0.416666666666667</formula>
    </cfRule>
    <cfRule type="cellIs" dxfId="93" priority="10" operator="greaterThan">
      <formula>0.333333333333333</formula>
    </cfRule>
  </conditionalFormatting>
  <conditionalFormatting sqref="I69">
    <cfRule type="cellIs" dxfId="92" priority="2" operator="lessThan">
      <formula>0.99</formula>
    </cfRule>
    <cfRule type="cellIs" dxfId="91" priority="3" operator="greaterThan">
      <formula>1.01</formula>
    </cfRule>
  </conditionalFormatting>
  <conditionalFormatting sqref="H88:I99">
    <cfRule type="cellIs" dxfId="90" priority="1" operator="equal">
      <formula>"No cumple"</formula>
    </cfRule>
  </conditionalFormatting>
  <dataValidations count="10">
    <dataValidation type="list" allowBlank="1" showInputMessage="1" showErrorMessage="1" sqref="C27" xr:uid="{82E365A0-62C7-4F27-8749-5D2229C9DF23}">
      <formula1>$M$2:$M$48</formula1>
    </dataValidation>
    <dataValidation type="list" allowBlank="1" showInputMessage="1" showErrorMessage="1" sqref="C36" xr:uid="{AEA533FB-ADB3-4F7D-A927-5881B3B082F2}">
      <formula1>$AA$2:$AA$96</formula1>
    </dataValidation>
    <dataValidation type="list" allowBlank="1" showInputMessage="1" showErrorMessage="1" sqref="C34" xr:uid="{13DD5923-1901-4D2D-9F54-F0D0411D486A}">
      <formula1>$U$2:$U$264</formula1>
    </dataValidation>
    <dataValidation type="list" allowBlank="1" showInputMessage="1" showErrorMessage="1" sqref="C33" xr:uid="{45769AF6-78E2-4A74-9C81-A378FED966FF}">
      <formula1>$S$2:$S$137</formula1>
    </dataValidation>
    <dataValidation type="list" allowBlank="1" showInputMessage="1" showErrorMessage="1" sqref="E61 B61" xr:uid="{713350E9-AA23-47FC-85B8-5245BBB18310}">
      <formula1>$O$2:$O$57</formula1>
    </dataValidation>
    <dataValidation type="list" allowBlank="1" showInputMessage="1" showErrorMessage="1" sqref="H39 E39 B39" xr:uid="{2B1E6176-737A-469B-9BFF-318B8C5FC013}">
      <formula1>$Q$2:$Q$119</formula1>
    </dataValidation>
    <dataValidation type="list" allowBlank="1" showInputMessage="1" showErrorMessage="1" sqref="C37" xr:uid="{852160E8-B3C0-4C73-8427-E538D1B68326}">
      <formula1>$Y$2:$Y$8</formula1>
    </dataValidation>
    <dataValidation type="list" allowBlank="1" showInputMessage="1" showErrorMessage="1" sqref="C35" xr:uid="{37E747F0-32C2-4B11-8758-59E83E263FFB}">
      <formula1>$W$2:$W$11</formula1>
    </dataValidation>
    <dataValidation type="list" allowBlank="1" showInputMessage="1" showErrorMessage="1" sqref="D22" xr:uid="{75AF724C-8DE8-4F5B-8A0F-35F5430D6FBD}">
      <formula1>$K$9:$K$11</formula1>
    </dataValidation>
    <dataValidation type="list" allowBlank="1" showInputMessage="1" showErrorMessage="1" sqref="H14 D28 G19:H19 C44 F44 I44 C66 F66 H89 G100" xr:uid="{D63ACF64-96CA-41E9-A806-C470523C25D4}">
      <formula1>$K$6:$K$7</formula1>
    </dataValidation>
  </dataValidations>
  <pageMargins left="0.82677165354330717" right="0.23622047244094491" top="0.35433070866141736" bottom="0.35433070866141736" header="0.31496062992125984" footer="0.31496062992125984"/>
  <pageSetup scale="47" orientation="portrait" r:id="rId1"/>
  <headerFooter alignWithMargins="0"/>
  <ignoredErrors>
    <ignoredError sqref="C86 B86 B96:B99 B88:B91 B93:B95" unlockedFormula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AB254EF-2615-4E01-94C8-201C8F41B2B9}">
          <x14:formula1>
            <xm:f>'2° Granulometrías'!$AI$27:$AI$32</xm:f>
          </x14:formula1>
          <xm:sqref>B46 E46 H46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indexed="13"/>
  </sheetPr>
  <dimension ref="A1:AA240"/>
  <sheetViews>
    <sheetView showGridLines="0" topLeftCell="A5" zoomScaleNormal="100" workbookViewId="0">
      <pane ySplit="7" topLeftCell="A17" activePane="bottomLeft" state="frozen"/>
      <selection activeCell="A5" sqref="A5"/>
      <selection pane="bottomLeft" activeCell="I8" sqref="I8"/>
    </sheetView>
  </sheetViews>
  <sheetFormatPr baseColWidth="10" defaultColWidth="9.26953125" defaultRowHeight="12.5" x14ac:dyDescent="0.25"/>
  <cols>
    <col min="1" max="1" width="9.26953125" style="1"/>
    <col min="2" max="2" width="10.453125" style="1" bestFit="1" customWidth="1"/>
    <col min="3" max="3" width="9" style="1" bestFit="1" customWidth="1"/>
    <col min="4" max="4" width="7.453125" style="1" customWidth="1"/>
    <col min="5" max="6" width="9.26953125" style="1" customWidth="1"/>
    <col min="7" max="7" width="5.7265625" style="571" hidden="1" customWidth="1"/>
    <col min="8" max="8" width="10.26953125" style="1" bestFit="1" customWidth="1"/>
    <col min="9" max="10" width="8.26953125" style="1" bestFit="1" customWidth="1"/>
    <col min="11" max="11" width="8.7265625" style="1" bestFit="1" customWidth="1"/>
    <col min="12" max="12" width="8.26953125" style="1" customWidth="1"/>
    <col min="13" max="13" width="9.7265625" style="1" customWidth="1"/>
    <col min="14" max="14" width="8.26953125" style="1" bestFit="1" customWidth="1"/>
    <col min="15" max="15" width="6.54296875" style="1" customWidth="1"/>
    <col min="16" max="16" width="9.7265625" style="1" customWidth="1"/>
    <col min="17" max="17" width="10" style="1" customWidth="1"/>
    <col min="18" max="18" width="13.54296875" style="1" bestFit="1" customWidth="1"/>
    <col min="19" max="19" width="14.453125" style="1" bestFit="1" customWidth="1"/>
    <col min="20" max="20" width="26.1796875" style="1" customWidth="1"/>
    <col min="21" max="22" width="9.54296875" style="1" hidden="1" customWidth="1"/>
    <col min="23" max="23" width="9" style="1" hidden="1" customWidth="1"/>
    <col min="24" max="24" width="2.7265625" style="1" hidden="1" customWidth="1"/>
    <col min="25" max="25" width="12.1796875" style="1" customWidth="1"/>
    <col min="26" max="27" width="9.54296875" style="1" customWidth="1"/>
    <col min="28" max="16384" width="9.26953125" style="1"/>
  </cols>
  <sheetData>
    <row r="1" spans="1:25" ht="19.5" x14ac:dyDescent="0.35">
      <c r="A1" s="1141"/>
      <c r="B1" s="1141"/>
      <c r="C1" s="1141"/>
      <c r="D1" s="1141"/>
      <c r="E1" s="1141"/>
      <c r="F1" s="1141"/>
      <c r="G1" s="1141"/>
      <c r="H1" s="1141"/>
      <c r="I1" s="1141"/>
      <c r="J1" s="1141"/>
      <c r="K1" s="1141"/>
      <c r="L1" s="1141"/>
      <c r="M1" s="1141"/>
      <c r="N1" s="1141"/>
      <c r="O1" s="1141"/>
      <c r="P1" s="1141"/>
      <c r="Q1" s="1141"/>
      <c r="R1" s="1141"/>
    </row>
    <row r="2" spans="1:25" ht="18.5" thickBot="1" x14ac:dyDescent="0.45">
      <c r="A2" s="1142"/>
      <c r="B2" s="1142"/>
      <c r="C2" s="1142"/>
      <c r="D2" s="1142"/>
      <c r="E2" s="1142"/>
      <c r="F2" s="1142"/>
      <c r="G2" s="1142"/>
      <c r="H2" s="1142"/>
      <c r="I2" s="1142"/>
      <c r="J2" s="1142"/>
      <c r="K2" s="1142"/>
      <c r="L2" s="1142"/>
      <c r="M2" s="1142"/>
      <c r="N2" s="1142"/>
      <c r="O2" s="1142"/>
      <c r="P2" s="1142"/>
      <c r="Q2" s="1142"/>
      <c r="R2" s="1142"/>
    </row>
    <row r="3" spans="1:25" ht="16" thickTop="1" x14ac:dyDescent="0.35">
      <c r="A3" s="1143" t="s">
        <v>0</v>
      </c>
      <c r="B3" s="1143"/>
      <c r="C3" s="1143"/>
      <c r="D3" s="1143"/>
      <c r="E3" s="1143"/>
      <c r="F3" s="1143"/>
      <c r="G3" s="1143"/>
      <c r="H3" s="1143"/>
      <c r="I3" s="1143"/>
      <c r="J3" s="1143"/>
      <c r="K3" s="1143"/>
      <c r="L3" s="1143"/>
      <c r="M3" s="1143"/>
      <c r="N3" s="1143"/>
      <c r="O3" s="1143"/>
      <c r="P3" s="1143"/>
      <c r="Q3" s="1143"/>
      <c r="R3" s="1143"/>
    </row>
    <row r="4" spans="1:25" ht="13" x14ac:dyDescent="0.3">
      <c r="A4" s="1144" t="s">
        <v>317</v>
      </c>
      <c r="B4" s="1144"/>
      <c r="C4" s="1144"/>
      <c r="D4" s="1144"/>
      <c r="E4" s="1144"/>
      <c r="F4" s="1144"/>
      <c r="G4" s="1144"/>
      <c r="H4" s="1144"/>
      <c r="I4" s="1144"/>
      <c r="J4" s="1144"/>
      <c r="K4" s="1144"/>
      <c r="L4" s="1144"/>
      <c r="M4" s="1144"/>
      <c r="N4" s="1144"/>
      <c r="O4" s="1144"/>
      <c r="P4" s="1144"/>
      <c r="Q4" s="1144"/>
      <c r="R4" s="1144"/>
    </row>
    <row r="5" spans="1:25" ht="6" customHeight="1" thickBot="1" x14ac:dyDescent="0.3"/>
    <row r="6" spans="1:25" ht="13" x14ac:dyDescent="0.3">
      <c r="A6" s="1150" t="s">
        <v>1</v>
      </c>
      <c r="B6" s="1151"/>
      <c r="C6" s="1151"/>
      <c r="D6" s="1151"/>
      <c r="E6" s="1151"/>
      <c r="F6" s="1151"/>
      <c r="G6" s="1151"/>
      <c r="H6" s="1151"/>
      <c r="I6" s="1151"/>
      <c r="J6" s="1151"/>
      <c r="K6" s="1151"/>
      <c r="L6" s="1151"/>
      <c r="M6" s="1151"/>
      <c r="N6" s="1151"/>
      <c r="O6" s="1151"/>
      <c r="P6" s="1151"/>
      <c r="Q6" s="1151"/>
      <c r="R6" s="1152"/>
      <c r="U6" s="1">
        <v>1</v>
      </c>
      <c r="V6" s="1">
        <v>10</v>
      </c>
    </row>
    <row r="7" spans="1:25" ht="18" customHeight="1" x14ac:dyDescent="0.25">
      <c r="A7" s="2" t="s">
        <v>2</v>
      </c>
      <c r="B7" s="3"/>
      <c r="C7" s="1140" t="str">
        <f>+'Formato Pisocret'!B10</f>
        <v>Hazama</v>
      </c>
      <c r="D7" s="1140"/>
      <c r="E7" s="1140"/>
      <c r="F7" s="1140"/>
      <c r="G7" s="1140"/>
      <c r="H7" s="1140"/>
      <c r="I7" s="1140"/>
      <c r="J7" s="3"/>
      <c r="K7" s="3"/>
      <c r="L7" s="3"/>
      <c r="M7" s="4"/>
      <c r="O7" s="7" t="s">
        <v>120</v>
      </c>
      <c r="P7" s="4" t="s">
        <v>3</v>
      </c>
      <c r="Q7" s="1153" t="s">
        <v>321</v>
      </c>
      <c r="R7" s="1154"/>
      <c r="U7" s="1">
        <v>2</v>
      </c>
      <c r="V7" s="1">
        <v>20</v>
      </c>
    </row>
    <row r="8" spans="1:25" ht="18" customHeight="1" x14ac:dyDescent="0.25">
      <c r="A8" s="5" t="s">
        <v>4</v>
      </c>
      <c r="C8" s="1135" t="str">
        <f>+'Formato Pisocret'!E85</f>
        <v>B-042-4-B-28-14-0-O-110</v>
      </c>
      <c r="D8" s="1135"/>
      <c r="E8" s="1135"/>
      <c r="F8" s="1135"/>
      <c r="G8" s="928"/>
      <c r="H8" s="6" t="s">
        <v>5</v>
      </c>
      <c r="I8" s="929">
        <f>'4° Resumen'!Z24</f>
        <v>335</v>
      </c>
      <c r="J8" s="7" t="s">
        <v>120</v>
      </c>
      <c r="K8" s="6" t="s">
        <v>6</v>
      </c>
      <c r="L8" s="930">
        <f>'4° Resumen'!Z23</f>
        <v>1.04</v>
      </c>
      <c r="M8" s="8" t="s">
        <v>121</v>
      </c>
      <c r="N8" s="931">
        <v>1000</v>
      </c>
      <c r="O8" s="7" t="s">
        <v>122</v>
      </c>
      <c r="Q8" s="9"/>
      <c r="R8" s="10"/>
      <c r="U8" s="1">
        <v>3</v>
      </c>
      <c r="V8" s="1">
        <v>13</v>
      </c>
      <c r="W8" s="433">
        <f>MID(C8,7,1)*1</f>
        <v>4</v>
      </c>
      <c r="X8" s="1">
        <f>VLOOKUP(W8,U6:V10,2,FALSE)</f>
        <v>40</v>
      </c>
      <c r="Y8" s="1">
        <f>MID(C8,14,2)*1</f>
        <v>14</v>
      </c>
    </row>
    <row r="9" spans="1:25" ht="18" customHeight="1" x14ac:dyDescent="0.25">
      <c r="A9" s="5" t="s">
        <v>7</v>
      </c>
      <c r="B9" s="932" t="str">
        <f>+MID(C8,3,3)</f>
        <v>042</v>
      </c>
      <c r="C9" s="11" t="s">
        <v>8</v>
      </c>
      <c r="D9" s="12" t="s">
        <v>9</v>
      </c>
      <c r="E9" s="933" t="str">
        <f>+MID('Formato Pisocret'!E85:I85,14,2)</f>
        <v>14</v>
      </c>
      <c r="F9" s="13" t="s">
        <v>10</v>
      </c>
      <c r="G9" s="572"/>
      <c r="H9" s="6" t="s">
        <v>11</v>
      </c>
      <c r="I9" s="934">
        <f>'4° Resumen'!Z25</f>
        <v>175</v>
      </c>
      <c r="J9" s="445" t="s">
        <v>123</v>
      </c>
      <c r="K9" s="6" t="s">
        <v>12</v>
      </c>
      <c r="L9" s="935">
        <f>'4° Resumen'!Z26</f>
        <v>0.02</v>
      </c>
      <c r="M9" s="8" t="s">
        <v>13</v>
      </c>
      <c r="N9" s="936">
        <v>35</v>
      </c>
      <c r="O9" s="7" t="s">
        <v>122</v>
      </c>
      <c r="P9" s="1165" t="s">
        <v>14</v>
      </c>
      <c r="Q9" s="1165"/>
      <c r="R9" s="1166"/>
      <c r="U9" s="1">
        <v>4</v>
      </c>
      <c r="V9" s="1">
        <v>40</v>
      </c>
    </row>
    <row r="10" spans="1:25" ht="18" customHeight="1" x14ac:dyDescent="0.25">
      <c r="A10" s="5" t="s">
        <v>15</v>
      </c>
      <c r="B10" s="7"/>
      <c r="C10" s="14"/>
      <c r="D10" s="14"/>
      <c r="E10" s="15"/>
      <c r="H10" s="6"/>
      <c r="I10" s="937" t="s">
        <v>322</v>
      </c>
      <c r="J10" s="7"/>
      <c r="K10" s="6"/>
      <c r="L10" s="4" t="s">
        <v>16</v>
      </c>
      <c r="M10" s="8"/>
      <c r="N10" s="16"/>
      <c r="O10" s="7"/>
      <c r="P10" s="4" t="s">
        <v>17</v>
      </c>
      <c r="Q10" s="1167"/>
      <c r="R10" s="1168"/>
      <c r="U10" s="1">
        <v>5</v>
      </c>
      <c r="V10" s="1">
        <v>25</v>
      </c>
    </row>
    <row r="11" spans="1:25" ht="12.75" customHeight="1" thickBot="1" x14ac:dyDescent="0.3">
      <c r="A11" s="17"/>
      <c r="B11" s="18"/>
      <c r="C11" s="18"/>
      <c r="D11" s="18"/>
      <c r="E11" s="18"/>
      <c r="F11" s="18"/>
      <c r="G11" s="573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9"/>
    </row>
    <row r="12" spans="1:25" ht="6.75" customHeight="1" x14ac:dyDescent="0.25">
      <c r="A12" s="20"/>
      <c r="B12" s="21"/>
      <c r="C12" s="21"/>
      <c r="D12" s="21"/>
      <c r="E12" s="21"/>
      <c r="F12" s="21"/>
      <c r="G12" s="574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T12" s="1197" t="s">
        <v>19</v>
      </c>
    </row>
    <row r="13" spans="1:25" ht="13" thickBot="1" x14ac:dyDescent="0.3">
      <c r="A13" s="1145" t="s">
        <v>18</v>
      </c>
      <c r="B13" s="1146"/>
      <c r="C13" s="1146"/>
      <c r="D13" s="1146"/>
      <c r="E13" s="1146"/>
      <c r="F13" s="1146"/>
      <c r="G13" s="1146"/>
      <c r="H13" s="1146"/>
      <c r="I13" s="1146"/>
      <c r="J13" s="1146"/>
      <c r="K13" s="1146"/>
      <c r="L13" s="1146"/>
      <c r="M13" s="1146"/>
      <c r="N13" s="1146"/>
      <c r="O13" s="1146"/>
      <c r="P13" s="1146"/>
      <c r="Q13" s="1146"/>
      <c r="R13" s="1147"/>
      <c r="T13" s="1198"/>
    </row>
    <row r="14" spans="1:25" x14ac:dyDescent="0.25">
      <c r="A14" s="22" t="s">
        <v>20</v>
      </c>
      <c r="B14" s="23" t="s">
        <v>21</v>
      </c>
      <c r="C14" s="24" t="s">
        <v>22</v>
      </c>
      <c r="D14" s="25"/>
      <c r="E14" s="24" t="s">
        <v>23</v>
      </c>
      <c r="F14" s="26" t="s">
        <v>24</v>
      </c>
      <c r="G14" s="575"/>
      <c r="H14" s="27" t="s">
        <v>25</v>
      </c>
      <c r="I14" s="28" t="s">
        <v>26</v>
      </c>
      <c r="J14" s="24" t="s">
        <v>22</v>
      </c>
      <c r="K14" s="25"/>
      <c r="L14" s="24" t="s">
        <v>27</v>
      </c>
      <c r="M14" s="29"/>
      <c r="N14" s="28" t="s">
        <v>28</v>
      </c>
      <c r="O14" s="24" t="s">
        <v>22</v>
      </c>
      <c r="P14" s="25"/>
      <c r="Q14" s="30" t="s">
        <v>27</v>
      </c>
      <c r="R14" s="31"/>
      <c r="T14" s="938" t="str" cm="1">
        <f t="array" ref="T14:Y14">+'Formato Pisocret'!D21:I21</f>
        <v>Carlos Alberto Magallón Guerrero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</row>
    <row r="15" spans="1:25" ht="18" customHeight="1" x14ac:dyDescent="0.25">
      <c r="A15" s="939" t="str">
        <f>+'Formato Pisocret'!C27</f>
        <v>CO</v>
      </c>
      <c r="B15" s="940" t="str">
        <f>+'Formato Pisocret'!H28</f>
        <v>Huichapan</v>
      </c>
      <c r="C15" s="941">
        <v>3.12</v>
      </c>
      <c r="D15" s="32" t="s">
        <v>29</v>
      </c>
      <c r="E15" s="33"/>
      <c r="F15" s="34"/>
      <c r="G15" s="576"/>
      <c r="H15" s="37">
        <v>1</v>
      </c>
      <c r="I15" s="942" t="s">
        <v>1222</v>
      </c>
      <c r="J15" s="941">
        <f>+'Formato Pisocret'!I33</f>
        <v>1</v>
      </c>
      <c r="K15" s="32" t="str">
        <f t="shared" ref="K15:K20" si="0">IF(I15&lt;&gt;"","g / cm3","")</f>
        <v>g / cm3</v>
      </c>
      <c r="L15" s="941">
        <v>5</v>
      </c>
      <c r="M15" s="35"/>
      <c r="N15" s="942">
        <f>'Formato Pisocret'!C36</f>
        <v>0</v>
      </c>
      <c r="O15" s="941">
        <f>'Formato Pisocret'!I36</f>
        <v>0</v>
      </c>
      <c r="P15" s="32" t="str">
        <f t="shared" ref="P15:P20" si="1">IF(N15&lt;&gt;"","g / cm3","")</f>
        <v>g / cm3</v>
      </c>
      <c r="Q15" s="941">
        <f>+'Formato Pisocret'!H36</f>
        <v>0</v>
      </c>
      <c r="R15" s="36"/>
      <c r="T15" s="938" t="s">
        <v>302</v>
      </c>
    </row>
    <row r="16" spans="1:25" ht="18" customHeight="1" x14ac:dyDescent="0.25">
      <c r="A16" s="943"/>
      <c r="B16" s="944"/>
      <c r="C16" s="941"/>
      <c r="D16" s="32" t="str">
        <f>IF(A16&lt;&gt;"","g / cm3","")</f>
        <v/>
      </c>
      <c r="E16" s="33"/>
      <c r="F16" s="34"/>
      <c r="G16" s="576"/>
      <c r="H16" s="37" t="str">
        <f>IF(H15&lt;1,1-H15,"")</f>
        <v/>
      </c>
      <c r="I16" s="942" t="str">
        <f>'Formato Pisocret'!C34</f>
        <v>ECG</v>
      </c>
      <c r="J16" s="941">
        <v>1</v>
      </c>
      <c r="K16" s="32" t="str">
        <f t="shared" si="0"/>
        <v>g / cm3</v>
      </c>
      <c r="L16" s="941">
        <f>'Formato Pisocret'!H34</f>
        <v>4</v>
      </c>
      <c r="M16" s="35"/>
      <c r="N16" s="945"/>
      <c r="O16" s="941"/>
      <c r="P16" s="32" t="str">
        <f t="shared" si="1"/>
        <v/>
      </c>
      <c r="Q16" s="941"/>
      <c r="R16" s="38"/>
      <c r="T16" s="938" t="s">
        <v>303</v>
      </c>
    </row>
    <row r="17" spans="1:20" ht="18" customHeight="1" x14ac:dyDescent="0.25">
      <c r="A17" s="939" t="str">
        <f>'Formato Pisocret'!B61</f>
        <v>AC2</v>
      </c>
      <c r="B17" s="944" t="s">
        <v>5425</v>
      </c>
      <c r="C17" s="946">
        <f>+'Formato Pisocret'!B62</f>
        <v>2.68</v>
      </c>
      <c r="D17" s="32" t="s">
        <v>29</v>
      </c>
      <c r="E17" s="947">
        <f>+'Formato Pisocret'!B63</f>
        <v>3.6999999999999998E-2</v>
      </c>
      <c r="F17" s="947">
        <f>'Formato Pisocret'!B64</f>
        <v>1.83E-2</v>
      </c>
      <c r="G17" s="948"/>
      <c r="H17" s="37">
        <f>+'Formato Pisocret'!B68</f>
        <v>1</v>
      </c>
      <c r="I17" s="942" t="str">
        <f>'Formato Pisocret'!J35</f>
        <v>EDF</v>
      </c>
      <c r="J17" s="949">
        <v>1</v>
      </c>
      <c r="K17" s="32" t="str">
        <f t="shared" si="0"/>
        <v>g / cm3</v>
      </c>
      <c r="L17" s="941">
        <v>0.1</v>
      </c>
      <c r="M17" s="35"/>
      <c r="N17" s="942"/>
      <c r="O17" s="949"/>
      <c r="P17" s="32" t="str">
        <f t="shared" si="1"/>
        <v/>
      </c>
      <c r="Q17" s="941"/>
      <c r="R17" s="38"/>
      <c r="T17" s="938" t="s">
        <v>304</v>
      </c>
    </row>
    <row r="18" spans="1:20" ht="18" customHeight="1" x14ac:dyDescent="0.25">
      <c r="A18" s="939"/>
      <c r="B18" s="944"/>
      <c r="C18" s="946"/>
      <c r="D18" s="32"/>
      <c r="E18" s="947"/>
      <c r="F18" s="947"/>
      <c r="G18" s="948"/>
      <c r="H18" s="37"/>
      <c r="I18" s="942"/>
      <c r="J18" s="949"/>
      <c r="K18" s="32" t="str">
        <f t="shared" si="0"/>
        <v/>
      </c>
      <c r="L18" s="941"/>
      <c r="M18" s="35"/>
      <c r="N18" s="945"/>
      <c r="O18" s="949"/>
      <c r="P18" s="32" t="str">
        <f t="shared" si="1"/>
        <v/>
      </c>
      <c r="Q18" s="941"/>
      <c r="R18" s="36"/>
      <c r="T18" s="938" t="s">
        <v>312</v>
      </c>
    </row>
    <row r="19" spans="1:20" ht="18" customHeight="1" x14ac:dyDescent="0.25">
      <c r="A19" s="939" t="str">
        <f>'Formato Pisocret'!B39</f>
        <v>GB2</v>
      </c>
      <c r="B19" s="944" t="str">
        <f>+'Formato Pisocret'!B56</f>
        <v>Garcia A.</v>
      </c>
      <c r="C19" s="946">
        <f>+'Formato Pisocret'!B40</f>
        <v>2.71</v>
      </c>
      <c r="D19" s="32" t="str">
        <f>IF((OR(H49=5,H49=6)),"","g / cm3")</f>
        <v>g / cm3</v>
      </c>
      <c r="E19" s="950">
        <f>+'Formato Pisocret'!B41</f>
        <v>2.6200000000000001E-2</v>
      </c>
      <c r="F19" s="947">
        <f>'Formato Pisocret'!B42</f>
        <v>0.01</v>
      </c>
      <c r="G19" s="948"/>
      <c r="H19" s="37">
        <f>'4° Resumen'!Z28</f>
        <v>1</v>
      </c>
      <c r="I19" s="945"/>
      <c r="J19" s="949"/>
      <c r="K19" s="32" t="str">
        <f t="shared" si="0"/>
        <v/>
      </c>
      <c r="L19" s="941"/>
      <c r="M19" s="35"/>
      <c r="N19" s="945"/>
      <c r="O19" s="949"/>
      <c r="P19" s="32" t="str">
        <f t="shared" si="1"/>
        <v/>
      </c>
      <c r="Q19" s="941"/>
      <c r="R19" s="36"/>
      <c r="T19" s="938" t="s">
        <v>313</v>
      </c>
    </row>
    <row r="20" spans="1:20" ht="18" customHeight="1" x14ac:dyDescent="0.25">
      <c r="A20" s="939"/>
      <c r="B20" s="944"/>
      <c r="C20" s="946"/>
      <c r="D20" s="32"/>
      <c r="E20" s="947"/>
      <c r="F20" s="947"/>
      <c r="G20" s="948"/>
      <c r="H20" s="37"/>
      <c r="I20" s="945"/>
      <c r="J20" s="949"/>
      <c r="K20" s="32" t="str">
        <f t="shared" si="0"/>
        <v/>
      </c>
      <c r="L20" s="941"/>
      <c r="M20" s="35"/>
      <c r="N20" s="945"/>
      <c r="O20" s="949"/>
      <c r="P20" s="32" t="str">
        <f t="shared" si="1"/>
        <v/>
      </c>
      <c r="Q20" s="941"/>
      <c r="R20" s="36"/>
      <c r="T20" s="951" t="s">
        <v>314</v>
      </c>
    </row>
    <row r="21" spans="1:20" ht="18" customHeight="1" x14ac:dyDescent="0.25">
      <c r="A21" s="939"/>
      <c r="B21" s="944"/>
      <c r="C21" s="946"/>
      <c r="D21" s="32"/>
      <c r="E21" s="947"/>
      <c r="F21" s="952"/>
      <c r="G21" s="577"/>
      <c r="H21" s="37"/>
      <c r="I21" s="945"/>
      <c r="J21" s="953"/>
      <c r="K21" s="32"/>
      <c r="L21" s="953"/>
      <c r="M21" s="35"/>
      <c r="N21" s="945"/>
      <c r="O21" s="953"/>
      <c r="P21" s="32"/>
      <c r="Q21" s="953"/>
      <c r="R21" s="36"/>
      <c r="T21" s="445"/>
    </row>
    <row r="22" spans="1:20" ht="3.75" customHeight="1" thickBot="1" x14ac:dyDescent="0.3">
      <c r="A22" s="39"/>
      <c r="B22" s="40"/>
      <c r="C22" s="41"/>
      <c r="D22" s="42"/>
      <c r="E22" s="40"/>
      <c r="F22" s="40"/>
      <c r="G22" s="578"/>
      <c r="H22" s="43"/>
      <c r="I22" s="42"/>
      <c r="J22" s="41"/>
      <c r="K22" s="42"/>
      <c r="L22" s="41"/>
      <c r="M22" s="44"/>
      <c r="N22" s="42"/>
      <c r="O22" s="41"/>
      <c r="P22" s="42"/>
      <c r="Q22" s="41"/>
      <c r="R22" s="45"/>
    </row>
    <row r="23" spans="1:20" ht="6.75" customHeight="1" x14ac:dyDescent="0.25">
      <c r="A23" s="7"/>
      <c r="B23" s="7"/>
      <c r="C23" s="7"/>
      <c r="D23" s="7"/>
      <c r="E23" s="7"/>
      <c r="F23" s="7"/>
      <c r="G23" s="579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</row>
    <row r="24" spans="1:20" s="7" customFormat="1" ht="12.75" hidden="1" customHeight="1" x14ac:dyDescent="0.2">
      <c r="A24" s="46" t="str">
        <f>+A15</f>
        <v>CO</v>
      </c>
      <c r="B24" s="47">
        <f>IF(H15&gt;0,(I8*H15)/C15,0)</f>
        <v>107.37179487179486</v>
      </c>
      <c r="C24" s="7" t="s">
        <v>123</v>
      </c>
      <c r="G24" s="579"/>
      <c r="I24" s="48" t="str">
        <f>+I15</f>
        <v>EDV</v>
      </c>
      <c r="J24" s="7">
        <f t="shared" ref="J24:J29" si="2">+K24*J15</f>
        <v>1.675</v>
      </c>
      <c r="K24" s="7">
        <f t="shared" ref="K24:K29" si="3">IF(C49=2,L15*I$8/1000,L15)</f>
        <v>1.675</v>
      </c>
      <c r="L24" s="7" t="s">
        <v>123</v>
      </c>
      <c r="N24" s="48">
        <f>+N15</f>
        <v>0</v>
      </c>
      <c r="O24" s="7">
        <f t="shared" ref="O24:O29" si="4">IF(E49=1,Q15*I$8/100,Q15)</f>
        <v>0</v>
      </c>
      <c r="P24" s="7">
        <f t="shared" ref="P24:P29" si="5">IF(O15=0,0,IF(Q15&lt;&gt;"",O24/O15,0))</f>
        <v>0</v>
      </c>
      <c r="Q24" s="7" t="s">
        <v>123</v>
      </c>
    </row>
    <row r="25" spans="1:20" s="7" customFormat="1" ht="12.75" hidden="1" customHeight="1" x14ac:dyDescent="0.2">
      <c r="A25" s="46">
        <f>+A16</f>
        <v>0</v>
      </c>
      <c r="B25" s="47">
        <f>IF(H16="",0,(I8*H16)/C16)</f>
        <v>0</v>
      </c>
      <c r="C25" s="7" t="s">
        <v>123</v>
      </c>
      <c r="G25" s="579"/>
      <c r="I25" s="48" t="str">
        <f>I16</f>
        <v>ECG</v>
      </c>
      <c r="J25" s="7">
        <f t="shared" si="2"/>
        <v>1.34</v>
      </c>
      <c r="K25" s="7">
        <f t="shared" si="3"/>
        <v>1.34</v>
      </c>
      <c r="L25" s="7" t="s">
        <v>123</v>
      </c>
      <c r="N25" s="48">
        <f>N16</f>
        <v>0</v>
      </c>
      <c r="O25" s="7">
        <f t="shared" si="4"/>
        <v>0</v>
      </c>
      <c r="P25" s="7">
        <f t="shared" si="5"/>
        <v>0</v>
      </c>
      <c r="Q25" s="7" t="s">
        <v>123</v>
      </c>
    </row>
    <row r="26" spans="1:20" s="7" customFormat="1" ht="12.75" hidden="1" customHeight="1" x14ac:dyDescent="0.2">
      <c r="A26" s="46" t="str">
        <f>+H9</f>
        <v>Agua</v>
      </c>
      <c r="B26" s="47">
        <f>IF(I9&gt;0,I9,0)</f>
        <v>175</v>
      </c>
      <c r="C26" s="7" t="s">
        <v>123</v>
      </c>
      <c r="G26" s="579"/>
      <c r="I26" s="48" t="str">
        <f>I17</f>
        <v>EDF</v>
      </c>
      <c r="J26" s="7">
        <f t="shared" si="2"/>
        <v>0.1</v>
      </c>
      <c r="K26" s="7">
        <f t="shared" si="3"/>
        <v>0.1</v>
      </c>
      <c r="L26" s="7" t="s">
        <v>123</v>
      </c>
      <c r="N26" s="48">
        <f>N17</f>
        <v>0</v>
      </c>
      <c r="O26" s="7">
        <f t="shared" si="4"/>
        <v>0</v>
      </c>
      <c r="P26" s="7">
        <f t="shared" si="5"/>
        <v>0</v>
      </c>
      <c r="Q26" s="7" t="s">
        <v>123</v>
      </c>
    </row>
    <row r="27" spans="1:20" s="7" customFormat="1" ht="12.75" hidden="1" customHeight="1" x14ac:dyDescent="0.2">
      <c r="A27" s="46" t="s">
        <v>30</v>
      </c>
      <c r="B27" s="7">
        <f>+N8*L9</f>
        <v>20</v>
      </c>
      <c r="C27" s="7" t="s">
        <v>123</v>
      </c>
      <c r="G27" s="579"/>
      <c r="I27" s="48">
        <f>I18</f>
        <v>0</v>
      </c>
      <c r="J27" s="7">
        <f t="shared" si="2"/>
        <v>0</v>
      </c>
      <c r="K27" s="7">
        <f t="shared" si="3"/>
        <v>0</v>
      </c>
      <c r="L27" s="7" t="s">
        <v>123</v>
      </c>
      <c r="N27" s="48">
        <f>N18</f>
        <v>0</v>
      </c>
      <c r="O27" s="7">
        <f t="shared" si="4"/>
        <v>0</v>
      </c>
      <c r="P27" s="7">
        <f t="shared" si="5"/>
        <v>0</v>
      </c>
      <c r="Q27" s="7" t="s">
        <v>123</v>
      </c>
    </row>
    <row r="28" spans="1:20" s="7" customFormat="1" ht="12.75" hidden="1" customHeight="1" x14ac:dyDescent="0.2">
      <c r="G28" s="579"/>
      <c r="I28" s="48">
        <f>I19</f>
        <v>0</v>
      </c>
      <c r="J28" s="7">
        <f t="shared" si="2"/>
        <v>0</v>
      </c>
      <c r="K28" s="7">
        <f t="shared" si="3"/>
        <v>0</v>
      </c>
      <c r="L28" s="7" t="s">
        <v>123</v>
      </c>
      <c r="N28" s="48">
        <f>N19</f>
        <v>0</v>
      </c>
      <c r="O28" s="7">
        <f t="shared" si="4"/>
        <v>0</v>
      </c>
      <c r="P28" s="7">
        <f t="shared" si="5"/>
        <v>0</v>
      </c>
      <c r="Q28" s="7" t="s">
        <v>123</v>
      </c>
    </row>
    <row r="29" spans="1:20" s="7" customFormat="1" ht="12.75" hidden="1" customHeight="1" x14ac:dyDescent="0.2">
      <c r="G29" s="579"/>
      <c r="I29" s="48">
        <f>I20</f>
        <v>0</v>
      </c>
      <c r="J29" s="7">
        <f t="shared" si="2"/>
        <v>0</v>
      </c>
      <c r="K29" s="7">
        <f t="shared" si="3"/>
        <v>0</v>
      </c>
      <c r="L29" s="7" t="s">
        <v>123</v>
      </c>
      <c r="N29" s="48">
        <f>N20</f>
        <v>0</v>
      </c>
      <c r="O29" s="7">
        <f t="shared" si="4"/>
        <v>0</v>
      </c>
      <c r="P29" s="7">
        <f t="shared" si="5"/>
        <v>0</v>
      </c>
      <c r="Q29" s="7" t="s">
        <v>123</v>
      </c>
    </row>
    <row r="30" spans="1:20" s="7" customFormat="1" ht="12.75" hidden="1" customHeight="1" x14ac:dyDescent="0.2">
      <c r="B30" s="49" t="s">
        <v>31</v>
      </c>
      <c r="C30" s="50"/>
      <c r="G30" s="579"/>
      <c r="J30" s="51" t="s">
        <v>32</v>
      </c>
      <c r="K30" s="49" t="s">
        <v>33</v>
      </c>
      <c r="L30" s="50"/>
      <c r="O30" s="51" t="s">
        <v>32</v>
      </c>
      <c r="P30" s="49" t="s">
        <v>34</v>
      </c>
      <c r="Q30" s="50"/>
    </row>
    <row r="31" spans="1:20" s="7" customFormat="1" ht="12.75" hidden="1" customHeight="1" x14ac:dyDescent="0.2">
      <c r="B31" s="52">
        <f>SUM(B24:B27)</f>
        <v>302.37179487179486</v>
      </c>
      <c r="C31" s="53" t="s">
        <v>123</v>
      </c>
      <c r="G31" s="579"/>
      <c r="J31" s="54">
        <f>SUM(J24:J29)</f>
        <v>3.1150000000000002</v>
      </c>
      <c r="K31" s="55">
        <f>SUM(K24:K29)</f>
        <v>3.1150000000000002</v>
      </c>
      <c r="L31" s="53" t="s">
        <v>123</v>
      </c>
      <c r="O31" s="54">
        <f>SUM(O24:O29)</f>
        <v>0</v>
      </c>
      <c r="P31" s="55">
        <f>SUM(P24:P29)</f>
        <v>0</v>
      </c>
      <c r="Q31" s="53" t="s">
        <v>123</v>
      </c>
    </row>
    <row r="32" spans="1:20" s="7" customFormat="1" ht="12.75" hidden="1" customHeight="1" x14ac:dyDescent="0.2">
      <c r="C32" s="47"/>
      <c r="G32" s="579"/>
    </row>
    <row r="33" spans="1:27" s="7" customFormat="1" ht="12.75" hidden="1" customHeight="1" x14ac:dyDescent="0.35">
      <c r="A33" s="7" t="s">
        <v>124</v>
      </c>
      <c r="B33" s="47">
        <f>+B31+K31+P31</f>
        <v>305.48679487179487</v>
      </c>
      <c r="C33" s="7" t="s">
        <v>123</v>
      </c>
      <c r="D33" s="7" t="s">
        <v>125</v>
      </c>
      <c r="E33" s="56">
        <f>+N8-B33</f>
        <v>694.51320512820507</v>
      </c>
      <c r="G33" s="579"/>
    </row>
    <row r="34" spans="1:27" s="7" customFormat="1" ht="12.75" hidden="1" customHeight="1" thickBot="1" x14ac:dyDescent="0.25">
      <c r="B34" s="47"/>
      <c r="G34" s="579"/>
    </row>
    <row r="35" spans="1:27" s="7" customFormat="1" ht="10.5" hidden="1" thickBot="1" x14ac:dyDescent="0.25">
      <c r="B35" s="1199">
        <v>1</v>
      </c>
      <c r="C35" s="1200"/>
      <c r="D35" s="1199">
        <v>2</v>
      </c>
      <c r="E35" s="1201"/>
      <c r="F35" s="1200">
        <v>3</v>
      </c>
      <c r="G35" s="1200"/>
      <c r="H35" s="1200"/>
      <c r="I35" s="1199">
        <v>4</v>
      </c>
      <c r="J35" s="1201"/>
      <c r="K35" s="1200">
        <v>5</v>
      </c>
      <c r="L35" s="1200"/>
      <c r="M35" s="1199">
        <v>6</v>
      </c>
      <c r="N35" s="1201"/>
      <c r="O35" s="1202" t="s">
        <v>330</v>
      </c>
      <c r="P35" s="1202"/>
      <c r="Q35" s="1203" t="s">
        <v>331</v>
      </c>
      <c r="R35" s="1204"/>
    </row>
    <row r="36" spans="1:27" s="7" customFormat="1" ht="10" hidden="1" x14ac:dyDescent="0.2">
      <c r="B36" s="57" t="s">
        <v>35</v>
      </c>
      <c r="C36" s="58"/>
      <c r="D36" s="59" t="s">
        <v>36</v>
      </c>
      <c r="E36" s="58"/>
      <c r="F36" s="57" t="s">
        <v>37</v>
      </c>
      <c r="G36" s="580"/>
      <c r="H36" s="58"/>
      <c r="I36" s="57" t="s">
        <v>38</v>
      </c>
      <c r="J36" s="58"/>
      <c r="K36" s="57" t="s">
        <v>39</v>
      </c>
      <c r="L36" s="58"/>
      <c r="M36" s="57" t="s">
        <v>40</v>
      </c>
      <c r="N36" s="58"/>
      <c r="O36" s="620" t="s">
        <v>326</v>
      </c>
      <c r="P36" s="621"/>
      <c r="Q36" s="620" t="s">
        <v>327</v>
      </c>
      <c r="R36" s="621"/>
      <c r="S36" s="57" t="s">
        <v>41</v>
      </c>
      <c r="T36" s="58"/>
      <c r="V36" s="445" t="s">
        <v>333</v>
      </c>
      <c r="W36" s="7">
        <f>+E33/(1+L8)</f>
        <v>340.44764957264954</v>
      </c>
    </row>
    <row r="37" spans="1:27" s="7" customFormat="1" ht="10" hidden="1" x14ac:dyDescent="0.2">
      <c r="B37" s="60" t="s">
        <v>42</v>
      </c>
      <c r="C37" s="61" t="s">
        <v>43</v>
      </c>
      <c r="D37" s="60" t="s">
        <v>42</v>
      </c>
      <c r="E37" s="61" t="s">
        <v>43</v>
      </c>
      <c r="F37" s="60" t="s">
        <v>42</v>
      </c>
      <c r="G37" s="581"/>
      <c r="H37" s="61" t="s">
        <v>43</v>
      </c>
      <c r="I37" s="60" t="s">
        <v>42</v>
      </c>
      <c r="J37" s="61" t="s">
        <v>43</v>
      </c>
      <c r="K37" s="60" t="s">
        <v>42</v>
      </c>
      <c r="L37" s="61" t="s">
        <v>43</v>
      </c>
      <c r="M37" s="60" t="s">
        <v>42</v>
      </c>
      <c r="N37" s="61" t="s">
        <v>43</v>
      </c>
      <c r="O37" s="622" t="s">
        <v>42</v>
      </c>
      <c r="P37" s="623" t="s">
        <v>43</v>
      </c>
      <c r="Q37" s="622" t="s">
        <v>42</v>
      </c>
      <c r="R37" s="623" t="s">
        <v>43</v>
      </c>
      <c r="S37" s="62" t="s">
        <v>44</v>
      </c>
      <c r="T37" s="61" t="s">
        <v>43</v>
      </c>
      <c r="V37" s="445" t="s">
        <v>280</v>
      </c>
      <c r="W37" s="56">
        <f>+E33-W36</f>
        <v>354.06555555555553</v>
      </c>
    </row>
    <row r="38" spans="1:27" s="7" customFormat="1" ht="10" hidden="1" x14ac:dyDescent="0.2">
      <c r="A38" s="46" t="str">
        <f>IF(OR(A24=0,I8=0),0,A15)</f>
        <v>CO</v>
      </c>
      <c r="B38" s="63">
        <f>C38*C15</f>
        <v>335</v>
      </c>
      <c r="C38" s="64">
        <f>B24</f>
        <v>107.37179487179486</v>
      </c>
      <c r="D38" s="63">
        <f>+E38*C15</f>
        <v>335</v>
      </c>
      <c r="E38" s="64">
        <f>+B24</f>
        <v>107.37179487179486</v>
      </c>
      <c r="F38" s="63">
        <f>H38*C15</f>
        <v>335</v>
      </c>
      <c r="G38" s="582"/>
      <c r="H38" s="64">
        <f>B24</f>
        <v>107.37179487179486</v>
      </c>
      <c r="I38" s="63">
        <f>J38*C15</f>
        <v>335</v>
      </c>
      <c r="J38" s="64">
        <f>B24</f>
        <v>107.37179487179486</v>
      </c>
      <c r="K38" s="63">
        <f>L38*C15</f>
        <v>335</v>
      </c>
      <c r="L38" s="64">
        <f>B24</f>
        <v>107.37179487179486</v>
      </c>
      <c r="M38" s="63">
        <f>N38*C15</f>
        <v>335</v>
      </c>
      <c r="N38" s="64">
        <f>B24</f>
        <v>107.37179487179486</v>
      </c>
      <c r="O38" s="624">
        <f>+P38*C15</f>
        <v>335</v>
      </c>
      <c r="P38" s="625">
        <f>+B24</f>
        <v>107.37179487179486</v>
      </c>
      <c r="Q38" s="624">
        <f>+R38*C15</f>
        <v>335</v>
      </c>
      <c r="R38" s="625">
        <f>+B24</f>
        <v>107.37179487179486</v>
      </c>
      <c r="S38" s="560">
        <f>IF(H$49=8,Q38,(IF(H$49=7,O38,(IF(H$49=6,M38,(IF(H$49=5,K38,(IF(H$49=4,I38,(IF(H$49=3,F38,(IF(H$49=2,D38,B38)))))))))))))</f>
        <v>335</v>
      </c>
      <c r="T38" s="61">
        <f>IF(H$49=8,R38,(IF(H$49=7,P38,IF(H$49=6,N38,(IF(H$49=5,L38,(IF(H$49=4,J38,(IF(H$49=3,H38,(IF(H$49=2,E38,C38))))))))))))</f>
        <v>107.37179487179486</v>
      </c>
    </row>
    <row r="39" spans="1:27" s="7" customFormat="1" ht="10" hidden="1" x14ac:dyDescent="0.2">
      <c r="A39" s="46">
        <f>A16</f>
        <v>0</v>
      </c>
      <c r="B39" s="63">
        <f>C39*C16</f>
        <v>0</v>
      </c>
      <c r="C39" s="64">
        <f>B25</f>
        <v>0</v>
      </c>
      <c r="D39" s="63">
        <f>+E39*C16</f>
        <v>0</v>
      </c>
      <c r="E39" s="64">
        <f>+B25</f>
        <v>0</v>
      </c>
      <c r="F39" s="63">
        <f>H39*C16</f>
        <v>0</v>
      </c>
      <c r="G39" s="582"/>
      <c r="H39" s="64">
        <f>B25</f>
        <v>0</v>
      </c>
      <c r="I39" s="63">
        <f>J39*C16</f>
        <v>0</v>
      </c>
      <c r="J39" s="64">
        <f>B25</f>
        <v>0</v>
      </c>
      <c r="K39" s="63">
        <f>L39*C16</f>
        <v>0</v>
      </c>
      <c r="L39" s="64">
        <f>B25</f>
        <v>0</v>
      </c>
      <c r="M39" s="63">
        <f>N39*C16</f>
        <v>0</v>
      </c>
      <c r="N39" s="64">
        <f>B25</f>
        <v>0</v>
      </c>
      <c r="O39" s="624">
        <f>+P39*C16</f>
        <v>0</v>
      </c>
      <c r="P39" s="625">
        <f>+B25</f>
        <v>0</v>
      </c>
      <c r="Q39" s="624">
        <f>+R39*C16</f>
        <v>0</v>
      </c>
      <c r="R39" s="625">
        <f>+B25</f>
        <v>0</v>
      </c>
      <c r="S39" s="560">
        <f t="shared" ref="S39:S45" si="6">IF(H$49=8,Q39,(IF(H$49=7,O39,(IF(H$49=6,M39,(IF(H$49=5,K39,(IF(H$49=4,I39,(IF(H$49=3,F39,(IF(H$49=2,D39,B39)))))))))))))</f>
        <v>0</v>
      </c>
      <c r="T39" s="61">
        <f t="shared" ref="T39:T45" si="7">IF(H$49=8,R39,(IF(H$49=7,P39,IF(H$49=6,N39,(IF(H$49=5,L39,(IF(H$49=4,J39,(IF(H$49=3,H39,(IF(H$49=2,E39,C39))))))))))))</f>
        <v>0</v>
      </c>
    </row>
    <row r="40" spans="1:27" s="7" customFormat="1" ht="10" hidden="1" x14ac:dyDescent="0.2">
      <c r="A40" s="46" t="s">
        <v>45</v>
      </c>
      <c r="B40" s="63">
        <f>C40</f>
        <v>175</v>
      </c>
      <c r="C40" s="64">
        <f>+B26</f>
        <v>175</v>
      </c>
      <c r="D40" s="63">
        <f>E40</f>
        <v>175</v>
      </c>
      <c r="E40" s="64">
        <f>+B26</f>
        <v>175</v>
      </c>
      <c r="F40" s="63">
        <f>H40</f>
        <v>175</v>
      </c>
      <c r="G40" s="582"/>
      <c r="H40" s="64">
        <f>+B26</f>
        <v>175</v>
      </c>
      <c r="I40" s="63">
        <f>J40</f>
        <v>175</v>
      </c>
      <c r="J40" s="64">
        <f>+B26</f>
        <v>175</v>
      </c>
      <c r="K40" s="63">
        <f>L40</f>
        <v>175</v>
      </c>
      <c r="L40" s="64">
        <f>+B26</f>
        <v>175</v>
      </c>
      <c r="M40" s="63">
        <f>N40</f>
        <v>175</v>
      </c>
      <c r="N40" s="64">
        <f>+B26</f>
        <v>175</v>
      </c>
      <c r="O40" s="624">
        <f>P40</f>
        <v>175</v>
      </c>
      <c r="P40" s="625">
        <f>+B26</f>
        <v>175</v>
      </c>
      <c r="Q40" s="624">
        <f>R40</f>
        <v>175</v>
      </c>
      <c r="R40" s="625">
        <f>+B26</f>
        <v>175</v>
      </c>
      <c r="S40" s="560">
        <f t="shared" si="6"/>
        <v>175</v>
      </c>
      <c r="T40" s="61">
        <f t="shared" si="7"/>
        <v>175</v>
      </c>
    </row>
    <row r="41" spans="1:27" s="7" customFormat="1" ht="10" hidden="1" x14ac:dyDescent="0.2">
      <c r="A41" s="566" t="str">
        <f>A17</f>
        <v>AC2</v>
      </c>
      <c r="B41" s="63">
        <f>C41*C17</f>
        <v>917.57813181349184</v>
      </c>
      <c r="C41" s="64">
        <f>E33/(1+(L8*C17/C19))</f>
        <v>342.37989993040736</v>
      </c>
      <c r="D41" s="63" t="e">
        <f>E41*C17</f>
        <v>#DIV/0!</v>
      </c>
      <c r="E41" s="64" t="e">
        <f>$E$33/((1+(($C$17*$H$18)/($C$18*$H$17)))+((($L$8*$C$17*$H$19)/($C$19*$H$17))*(1+(($C$19*$H$20)/($C$20*$H$19)))))</f>
        <v>#DIV/0!</v>
      </c>
      <c r="F41" s="63" t="e">
        <f>H41*C17</f>
        <v>#DIV/0!</v>
      </c>
      <c r="G41" s="582"/>
      <c r="H41" s="64" t="e">
        <f>$E$33/(1+((($L$8*$C$17*$H$19)/$C$19)*(1+(($C$19*$H$20)/($C$20*$H$19)))))</f>
        <v>#DIV/0!</v>
      </c>
      <c r="I41" s="63" t="e">
        <f>J41*C17</f>
        <v>#DIV/0!</v>
      </c>
      <c r="J41" s="64" t="e">
        <f>E33/((1+((C17*H18)/(C18*H17)))+((L8*C17)/(C19*H17)))</f>
        <v>#DIV/0!</v>
      </c>
      <c r="K41" s="63">
        <f>L41*C17</f>
        <v>1861.2953897435898</v>
      </c>
      <c r="L41" s="64">
        <f>E33</f>
        <v>694.51320512820507</v>
      </c>
      <c r="M41" s="63" t="e">
        <f>N41*C17</f>
        <v>#DIV/0!</v>
      </c>
      <c r="N41" s="64" t="e">
        <f>E33/(1+(C17*H18/(C18*H17)))</f>
        <v>#DIV/0!</v>
      </c>
      <c r="O41" s="624">
        <f>P41*C17</f>
        <v>912.39970085470077</v>
      </c>
      <c r="P41" s="625">
        <f>+W36*H17</f>
        <v>340.44764957264954</v>
      </c>
      <c r="Q41" s="624">
        <f>R41*C17</f>
        <v>912.39970085470077</v>
      </c>
      <c r="R41" s="625">
        <f>+W36*100%</f>
        <v>340.44764957264954</v>
      </c>
      <c r="S41" s="567">
        <f t="shared" si="6"/>
        <v>917.57813181349184</v>
      </c>
      <c r="T41" s="61">
        <f t="shared" si="7"/>
        <v>342.37989993040736</v>
      </c>
      <c r="AA41" s="7">
        <f>+T41+T42</f>
        <v>342.37989993040736</v>
      </c>
    </row>
    <row r="42" spans="1:27" s="7" customFormat="1" ht="10" hidden="1" x14ac:dyDescent="0.2">
      <c r="A42" s="46">
        <f>IF(OR(H49=1,H49=3,H49=5,H49=8),0,A18)</f>
        <v>0</v>
      </c>
      <c r="B42" s="65"/>
      <c r="C42" s="66"/>
      <c r="D42" s="63" t="e">
        <f>E42*C18</f>
        <v>#DIV/0!</v>
      </c>
      <c r="E42" s="64" t="e">
        <f>((E41*C17*H18)/(C18*H17))</f>
        <v>#DIV/0!</v>
      </c>
      <c r="F42" s="65"/>
      <c r="G42" s="582"/>
      <c r="H42" s="67"/>
      <c r="I42" s="63" t="e">
        <f>J42*C18</f>
        <v>#DIV/0!</v>
      </c>
      <c r="J42" s="64" t="e">
        <f>(J41*C17*H18)/(C18*H17)</f>
        <v>#DIV/0!</v>
      </c>
      <c r="K42" s="65"/>
      <c r="L42" s="66"/>
      <c r="M42" s="63" t="e">
        <f>N42*C18</f>
        <v>#DIV/0!</v>
      </c>
      <c r="N42" s="64" t="e">
        <f>(N41*C17*H18)/(C18*H17)</f>
        <v>#DIV/0!</v>
      </c>
      <c r="O42" s="624">
        <f>P42*C18</f>
        <v>0</v>
      </c>
      <c r="P42" s="625">
        <f>+W36*H18</f>
        <v>0</v>
      </c>
      <c r="Q42" s="654"/>
      <c r="R42" s="655"/>
      <c r="S42" s="567">
        <f t="shared" si="6"/>
        <v>0</v>
      </c>
      <c r="T42" s="61">
        <f t="shared" si="7"/>
        <v>0</v>
      </c>
    </row>
    <row r="43" spans="1:27" s="7" customFormat="1" ht="10" hidden="1" x14ac:dyDescent="0.2">
      <c r="A43" s="46" t="str">
        <f>IF(OR(H49=5,H49=6),0,A19)</f>
        <v>GB2</v>
      </c>
      <c r="B43" s="63">
        <f>C43*C19</f>
        <v>954.28125708603159</v>
      </c>
      <c r="C43" s="64">
        <f>(L8*C41*C17)/C19</f>
        <v>352.13330519779765</v>
      </c>
      <c r="D43" s="63" t="e">
        <f>E43*C19</f>
        <v>#DIV/0!</v>
      </c>
      <c r="E43" s="64" t="e">
        <f>(L8*E41*C17*H19)/(C19*H17)</f>
        <v>#DIV/0!</v>
      </c>
      <c r="F43" s="63" t="e">
        <f>H43*C19</f>
        <v>#DIV/0!</v>
      </c>
      <c r="G43" s="582"/>
      <c r="H43" s="64" t="e">
        <f>($L$8*$H$41*$C$17*$H$19)/$C$19</f>
        <v>#DIV/0!</v>
      </c>
      <c r="I43" s="63" t="e">
        <f>J43*C19</f>
        <v>#DIV/0!</v>
      </c>
      <c r="J43" s="64" t="e">
        <f>(L8*J41*C17)/(C19*H17)</f>
        <v>#DIV/0!</v>
      </c>
      <c r="K43" s="65"/>
      <c r="L43" s="66"/>
      <c r="M43" s="65"/>
      <c r="N43" s="66"/>
      <c r="O43" s="624">
        <f>P43*C19</f>
        <v>959.51765555555551</v>
      </c>
      <c r="P43" s="625">
        <f>+$W$37*$H$19</f>
        <v>354.06555555555553</v>
      </c>
      <c r="Q43" s="624">
        <f>R43*C19</f>
        <v>959.51765555555551</v>
      </c>
      <c r="R43" s="625">
        <f>+$W$37*$H$19</f>
        <v>354.06555555555553</v>
      </c>
      <c r="S43" s="567">
        <f t="shared" si="6"/>
        <v>954.28125708603159</v>
      </c>
      <c r="T43" s="61">
        <f t="shared" si="7"/>
        <v>352.13330519779765</v>
      </c>
      <c r="AA43" s="7">
        <f>+T43+T44+T45</f>
        <v>352.13330519779765</v>
      </c>
    </row>
    <row r="44" spans="1:27" s="7" customFormat="1" ht="10" hidden="1" x14ac:dyDescent="0.2">
      <c r="A44" s="46">
        <f>IF(OR(H49=1,H49=4,H49=5,H49=6),0,A20)</f>
        <v>0</v>
      </c>
      <c r="B44" s="68"/>
      <c r="C44" s="67"/>
      <c r="D44" s="63" t="e">
        <f>E44*C20</f>
        <v>#DIV/0!</v>
      </c>
      <c r="E44" s="64" t="e">
        <f>(E43*C19*H20)/(C20*H19)</f>
        <v>#DIV/0!</v>
      </c>
      <c r="F44" s="63" t="e">
        <f>H44*C20</f>
        <v>#DIV/0!</v>
      </c>
      <c r="G44" s="582"/>
      <c r="H44" s="64" t="e">
        <f>($H$43*$C$19*$H$20)/($C$20*$H$19)</f>
        <v>#DIV/0!</v>
      </c>
      <c r="I44" s="69"/>
      <c r="J44" s="67"/>
      <c r="K44" s="69"/>
      <c r="L44" s="67"/>
      <c r="M44" s="69"/>
      <c r="N44" s="67"/>
      <c r="O44" s="624">
        <f>P44*C20</f>
        <v>0</v>
      </c>
      <c r="P44" s="625">
        <f>+$W$37*$H$20</f>
        <v>0</v>
      </c>
      <c r="Q44" s="624">
        <f>R44*C20</f>
        <v>0</v>
      </c>
      <c r="R44" s="625">
        <f>+$W$37*$H$20</f>
        <v>0</v>
      </c>
      <c r="S44" s="567">
        <f t="shared" si="6"/>
        <v>0</v>
      </c>
      <c r="T44" s="61">
        <f t="shared" si="7"/>
        <v>0</v>
      </c>
    </row>
    <row r="45" spans="1:27" s="7" customFormat="1" ht="10" hidden="1" x14ac:dyDescent="0.2">
      <c r="A45" s="566">
        <f>IF(OR(H49=1,H49=2,H49=3,H49=4,H49=5,H49=6),0,A21)</f>
        <v>0</v>
      </c>
      <c r="B45" s="68"/>
      <c r="C45" s="67"/>
      <c r="D45" s="63"/>
      <c r="E45" s="64"/>
      <c r="F45" s="63"/>
      <c r="G45" s="582"/>
      <c r="H45" s="64"/>
      <c r="I45" s="69"/>
      <c r="J45" s="67"/>
      <c r="K45" s="69"/>
      <c r="L45" s="67"/>
      <c r="M45" s="69"/>
      <c r="N45" s="67"/>
      <c r="O45" s="624">
        <f>P45*C21</f>
        <v>0</v>
      </c>
      <c r="P45" s="625">
        <f>+$W$37*$G$21</f>
        <v>0</v>
      </c>
      <c r="Q45" s="624">
        <f>+R45*C21</f>
        <v>0</v>
      </c>
      <c r="R45" s="625">
        <f>+$W$37*$G$21</f>
        <v>0</v>
      </c>
      <c r="S45" s="567">
        <f t="shared" si="6"/>
        <v>0</v>
      </c>
      <c r="T45" s="61">
        <f t="shared" si="7"/>
        <v>0</v>
      </c>
    </row>
    <row r="46" spans="1:27" s="7" customFormat="1" ht="10.5" hidden="1" thickBot="1" x14ac:dyDescent="0.25">
      <c r="A46" s="7" t="s">
        <v>46</v>
      </c>
      <c r="B46" s="70">
        <f>SUM(B38:B44)+J31+O31</f>
        <v>2384.9743888995231</v>
      </c>
      <c r="C46" s="71">
        <f>SUM(C38:C44)+B27+K31+P31</f>
        <v>999.99999999999989</v>
      </c>
      <c r="D46" s="70" t="e">
        <f>SUM(D38:D44)+J31+O31</f>
        <v>#DIV/0!</v>
      </c>
      <c r="E46" s="71" t="e">
        <f>SUM(E38:E44)+B27+K31+P31</f>
        <v>#DIV/0!</v>
      </c>
      <c r="F46" s="70" t="e">
        <f>SUM(F38:F44)+J31+O31</f>
        <v>#DIV/0!</v>
      </c>
      <c r="G46" s="583"/>
      <c r="H46" s="71" t="e">
        <f>SUM(H38:H44)+B27+K31+P31</f>
        <v>#DIV/0!</v>
      </c>
      <c r="I46" s="70" t="e">
        <f>SUM(I38:I44)+J31+O31</f>
        <v>#DIV/0!</v>
      </c>
      <c r="J46" s="71" t="e">
        <f>SUM(J38:J44)+B27+K31+P31</f>
        <v>#DIV/0!</v>
      </c>
      <c r="K46" s="70">
        <f>SUM(K38:K44)+J31+O31</f>
        <v>2374.4103897435898</v>
      </c>
      <c r="L46" s="71">
        <f>SUM(L38:L44)+B27+K31+P31</f>
        <v>1000</v>
      </c>
      <c r="M46" s="70" t="e">
        <f>SUM(M38:M44)+J31+O31</f>
        <v>#DIV/0!</v>
      </c>
      <c r="N46" s="71" t="e">
        <f>SUM(N38:N44)+B27+K31+P31</f>
        <v>#DIV/0!</v>
      </c>
      <c r="O46" s="626">
        <f>SUM(O38:O45)+T31+Y31</f>
        <v>2381.9173564102562</v>
      </c>
      <c r="P46" s="627">
        <f>SUM(P38:P45)+B27+K31+P31</f>
        <v>999.99999999999989</v>
      </c>
      <c r="Q46" s="626">
        <f>SUM(Q38:Q44)+V31+AA31</f>
        <v>2381.9173564102562</v>
      </c>
      <c r="R46" s="627">
        <f>SUM(R38:R45)+B27+K31+P31</f>
        <v>999.99999999999989</v>
      </c>
      <c r="S46" s="568">
        <f>IF(H$9=8,Q46,(IF(H$9=7,O46,(IF(H$49=6,M46,(IF(H$49=5,K46,(IF(H$49=4,I46,(IF(H$49=3,F46,(IF(H$49=2,D46,B46)))))))))))))</f>
        <v>2384.9743888995231</v>
      </c>
      <c r="T46" s="19">
        <f>IF(H$49=6,N46,(IF(H$49=5,L46,(IF(H$49=4,J46,(IF(H$49=3,H46,(IF(H$49=2,E46,C46)))))))))</f>
        <v>999.99999999999989</v>
      </c>
    </row>
    <row r="47" spans="1:27" s="7" customFormat="1" ht="10" hidden="1" x14ac:dyDescent="0.2">
      <c r="B47" s="72"/>
      <c r="C47" s="72"/>
      <c r="D47" s="72"/>
      <c r="E47" s="72"/>
      <c r="F47" s="72"/>
      <c r="G47" s="584"/>
      <c r="H47" s="72"/>
      <c r="I47" s="72"/>
      <c r="J47" s="72"/>
      <c r="K47" s="72"/>
      <c r="L47" s="72"/>
      <c r="M47" s="72"/>
      <c r="N47" s="72"/>
    </row>
    <row r="48" spans="1:27" s="7" customFormat="1" hidden="1" x14ac:dyDescent="0.25">
      <c r="B48" s="73" t="s">
        <v>47</v>
      </c>
      <c r="C48" s="74"/>
      <c r="D48" s="73" t="s">
        <v>48</v>
      </c>
      <c r="E48" s="74"/>
      <c r="F48" s="73" t="s">
        <v>49</v>
      </c>
      <c r="G48" s="585"/>
      <c r="H48" s="74"/>
      <c r="I48" s="72"/>
      <c r="J48" s="47"/>
      <c r="L48" s="72"/>
      <c r="M48" s="72"/>
      <c r="N48" s="72"/>
      <c r="S48" s="240">
        <f>SUM(S41:S45)</f>
        <v>1871.8593888995233</v>
      </c>
      <c r="T48" s="7">
        <f>(S44+S43+S45)/S48</f>
        <v>0.50980392156862753</v>
      </c>
    </row>
    <row r="49" spans="1:20" s="7" customFormat="1" hidden="1" x14ac:dyDescent="0.25">
      <c r="B49" s="75" t="s">
        <v>50</v>
      </c>
      <c r="C49" s="35">
        <v>2</v>
      </c>
      <c r="D49" s="76" t="s">
        <v>51</v>
      </c>
      <c r="E49" s="35">
        <v>2</v>
      </c>
      <c r="F49" s="75" t="s">
        <v>296</v>
      </c>
      <c r="G49" s="571"/>
      <c r="H49" s="35">
        <v>1</v>
      </c>
      <c r="I49" s="72"/>
      <c r="L49" s="72"/>
      <c r="M49" s="72"/>
      <c r="N49" s="72"/>
      <c r="T49" s="7">
        <f>(S42+S41)/S48</f>
        <v>0.49019607843137258</v>
      </c>
    </row>
    <row r="50" spans="1:20" s="7" customFormat="1" hidden="1" x14ac:dyDescent="0.25">
      <c r="B50" s="75" t="s">
        <v>52</v>
      </c>
      <c r="C50" s="35">
        <v>2</v>
      </c>
      <c r="D50" s="76" t="s">
        <v>126</v>
      </c>
      <c r="E50" s="35">
        <v>2</v>
      </c>
      <c r="F50" s="75" t="s">
        <v>297</v>
      </c>
      <c r="G50" s="571"/>
      <c r="H50" s="35"/>
      <c r="I50" s="72"/>
      <c r="L50" s="72"/>
      <c r="M50" s="72"/>
      <c r="N50" s="72"/>
    </row>
    <row r="51" spans="1:20" s="7" customFormat="1" hidden="1" x14ac:dyDescent="0.25">
      <c r="B51" s="75"/>
      <c r="C51" s="35">
        <v>1</v>
      </c>
      <c r="D51" s="75"/>
      <c r="E51" s="35">
        <v>2</v>
      </c>
      <c r="F51" s="75" t="s">
        <v>298</v>
      </c>
      <c r="G51" s="571"/>
      <c r="H51" s="35"/>
      <c r="I51" s="72"/>
      <c r="L51" s="72"/>
      <c r="M51" s="72"/>
      <c r="N51" s="72"/>
    </row>
    <row r="52" spans="1:20" s="7" customFormat="1" hidden="1" x14ac:dyDescent="0.25">
      <c r="B52" s="75"/>
      <c r="C52" s="35">
        <v>2</v>
      </c>
      <c r="D52" s="75"/>
      <c r="E52" s="35">
        <v>2</v>
      </c>
      <c r="F52" s="75" t="s">
        <v>299</v>
      </c>
      <c r="G52" s="571"/>
      <c r="H52" s="35"/>
      <c r="I52" s="72"/>
      <c r="L52" s="72"/>
      <c r="M52" s="72"/>
      <c r="N52" s="72"/>
    </row>
    <row r="53" spans="1:20" s="7" customFormat="1" hidden="1" x14ac:dyDescent="0.25">
      <c r="B53" s="75"/>
      <c r="C53" s="35">
        <v>2</v>
      </c>
      <c r="D53" s="75"/>
      <c r="E53" s="35">
        <v>1</v>
      </c>
      <c r="F53" s="558" t="s">
        <v>300</v>
      </c>
      <c r="G53" s="586"/>
      <c r="H53" s="35"/>
      <c r="I53" s="72"/>
      <c r="L53" s="72"/>
      <c r="M53" s="72"/>
      <c r="N53" s="72"/>
    </row>
    <row r="54" spans="1:20" s="7" customFormat="1" hidden="1" x14ac:dyDescent="0.25">
      <c r="B54" s="75"/>
      <c r="C54" s="78">
        <v>1</v>
      </c>
      <c r="D54" s="75"/>
      <c r="E54" s="78">
        <v>2</v>
      </c>
      <c r="F54" s="558" t="s">
        <v>301</v>
      </c>
      <c r="G54" s="586"/>
      <c r="H54" s="35"/>
      <c r="I54" s="72"/>
      <c r="L54" s="72"/>
      <c r="M54" s="72"/>
      <c r="N54" s="72"/>
    </row>
    <row r="55" spans="1:20" s="7" customFormat="1" hidden="1" x14ac:dyDescent="0.25">
      <c r="B55" s="75"/>
      <c r="D55" s="75"/>
      <c r="F55" s="558" t="s">
        <v>328</v>
      </c>
      <c r="G55" s="586"/>
      <c r="H55" s="35"/>
      <c r="I55" s="72"/>
      <c r="L55" s="72"/>
      <c r="M55" s="72"/>
      <c r="N55" s="72"/>
    </row>
    <row r="56" spans="1:20" s="7" customFormat="1" hidden="1" x14ac:dyDescent="0.25">
      <c r="B56" s="77"/>
      <c r="D56" s="77"/>
      <c r="F56" s="564" t="s">
        <v>329</v>
      </c>
      <c r="G56" s="587"/>
      <c r="H56" s="78"/>
      <c r="I56" s="72"/>
      <c r="L56" s="72"/>
      <c r="M56" s="72"/>
      <c r="N56" s="72"/>
    </row>
    <row r="57" spans="1:20" s="7" customFormat="1" hidden="1" x14ac:dyDescent="0.25">
      <c r="B57" s="1"/>
      <c r="C57" s="1"/>
      <c r="D57" s="1"/>
      <c r="E57" s="1"/>
      <c r="F57" s="1"/>
      <c r="G57" s="571"/>
      <c r="H57" s="1"/>
      <c r="I57" s="72"/>
      <c r="L57" s="72"/>
      <c r="M57" s="72"/>
      <c r="N57" s="72"/>
    </row>
    <row r="58" spans="1:20" s="7" customFormat="1" ht="13" hidden="1" thickBot="1" x14ac:dyDescent="0.3">
      <c r="B58" s="1"/>
      <c r="C58" s="1"/>
      <c r="D58" s="1"/>
      <c r="E58" s="1"/>
      <c r="F58" s="1"/>
      <c r="G58" s="571"/>
      <c r="H58" s="1"/>
      <c r="I58" s="72"/>
      <c r="L58" s="72"/>
      <c r="M58" s="72"/>
      <c r="N58" s="72"/>
    </row>
    <row r="59" spans="1:20" s="7" customFormat="1" ht="10" hidden="1" x14ac:dyDescent="0.2">
      <c r="B59" s="57" t="s">
        <v>53</v>
      </c>
      <c r="C59" s="58"/>
      <c r="D59" s="57" t="s">
        <v>54</v>
      </c>
      <c r="E59" s="58"/>
      <c r="G59" s="579"/>
    </row>
    <row r="60" spans="1:20" s="7" customFormat="1" ht="10" hidden="1" x14ac:dyDescent="0.2">
      <c r="A60" s="7" t="s">
        <v>20</v>
      </c>
      <c r="B60" s="62" t="s">
        <v>55</v>
      </c>
      <c r="C60" s="61" t="s">
        <v>56</v>
      </c>
      <c r="D60" s="62" t="s">
        <v>55</v>
      </c>
      <c r="E60" s="61" t="s">
        <v>56</v>
      </c>
      <c r="G60" s="579"/>
      <c r="H60" s="79" t="s">
        <v>30</v>
      </c>
      <c r="I60" s="79" t="s">
        <v>57</v>
      </c>
      <c r="J60" s="79" t="s">
        <v>58</v>
      </c>
      <c r="K60" s="7" t="s">
        <v>59</v>
      </c>
    </row>
    <row r="61" spans="1:20" s="7" customFormat="1" ht="10" hidden="1" x14ac:dyDescent="0.2">
      <c r="A61" s="46" t="str">
        <f>IF(OR(A24=0,I8=0),0,A15)</f>
        <v>CO</v>
      </c>
      <c r="B61" s="63">
        <f>+S38</f>
        <v>335</v>
      </c>
      <c r="C61" s="64">
        <f>+B61/C15</f>
        <v>107.37179487179486</v>
      </c>
      <c r="D61" s="62">
        <f>B61*N9/N8</f>
        <v>11.725</v>
      </c>
      <c r="E61" s="61">
        <f>+D61/C15</f>
        <v>3.7580128205128203</v>
      </c>
      <c r="G61" s="579"/>
      <c r="H61" s="79">
        <f>B27*N9/N8</f>
        <v>0.7</v>
      </c>
      <c r="I61" s="79">
        <f>J31*N9/N8</f>
        <v>0.10902500000000001</v>
      </c>
      <c r="J61" s="79">
        <f>O31*N9/N8</f>
        <v>0</v>
      </c>
      <c r="K61" s="7" t="s">
        <v>60</v>
      </c>
    </row>
    <row r="62" spans="1:20" s="7" customFormat="1" ht="10" hidden="1" x14ac:dyDescent="0.2">
      <c r="A62" s="46">
        <f>A16</f>
        <v>0</v>
      </c>
      <c r="B62" s="63">
        <f>+S39</f>
        <v>0</v>
      </c>
      <c r="C62" s="64" t="str">
        <f>IF(B62=0,"",+B62/C16)</f>
        <v/>
      </c>
      <c r="D62" s="62">
        <f>+B62*N9/N8</f>
        <v>0</v>
      </c>
      <c r="E62" s="61" t="str">
        <f>IF(D62=0,"",+D62/C16)</f>
        <v/>
      </c>
      <c r="G62" s="579"/>
      <c r="H62" s="79">
        <f>B27*N9/N8</f>
        <v>0.7</v>
      </c>
      <c r="I62" s="79">
        <f>K31*N9/N8</f>
        <v>0.10902500000000001</v>
      </c>
      <c r="J62" s="79">
        <f>P31*N9/N8</f>
        <v>0</v>
      </c>
      <c r="K62" s="7" t="s">
        <v>43</v>
      </c>
    </row>
    <row r="63" spans="1:20" s="7" customFormat="1" ht="10" hidden="1" x14ac:dyDescent="0.2">
      <c r="A63" s="46" t="s">
        <v>45</v>
      </c>
      <c r="B63" s="63">
        <f>+(B64*E17+B65*E18+B66*E19+B67*E20)+S40</f>
        <v>232.1028825902647</v>
      </c>
      <c r="C63" s="64">
        <f>IF(B63=0,"",B63/1)</f>
        <v>232.1028825902647</v>
      </c>
      <c r="D63" s="62">
        <f>+B63*N9/N8</f>
        <v>8.1236008906592634</v>
      </c>
      <c r="E63" s="80">
        <f>IF(D63=0,"",D63/1)</f>
        <v>8.1236008906592634</v>
      </c>
      <c r="G63" s="579"/>
    </row>
    <row r="64" spans="1:20" s="7" customFormat="1" ht="10" hidden="1" x14ac:dyDescent="0.2">
      <c r="A64" s="46" t="str">
        <f>A17</f>
        <v>AC2</v>
      </c>
      <c r="B64" s="63">
        <f>S41/(1+E17)</f>
        <v>884.83908564464025</v>
      </c>
      <c r="C64" s="64">
        <f>IF(B64=0,"",B64/C17)</f>
        <v>330.16383792710457</v>
      </c>
      <c r="D64" s="62">
        <f>+B64*N9/N8</f>
        <v>30.969367997562408</v>
      </c>
      <c r="E64" s="80">
        <f>IF(D64=0,"",D64/C17)</f>
        <v>11.555734327448659</v>
      </c>
      <c r="G64" s="579"/>
    </row>
    <row r="65" spans="1:18" s="7" customFormat="1" ht="10" hidden="1" x14ac:dyDescent="0.2">
      <c r="A65" s="46">
        <f>IF(OR(H49=1,H49=3,H49=5),0,A18)</f>
        <v>0</v>
      </c>
      <c r="B65" s="63">
        <f>S42/(1+E18)</f>
        <v>0</v>
      </c>
      <c r="C65" s="64" t="str">
        <f>IF(B65=0,"",B65/C18)</f>
        <v/>
      </c>
      <c r="D65" s="62">
        <f>+B65*N9/N8</f>
        <v>0</v>
      </c>
      <c r="E65" s="61" t="str">
        <f>IF(D65=0,"",D65/C18)</f>
        <v/>
      </c>
      <c r="G65" s="579"/>
    </row>
    <row r="66" spans="1:18" s="7" customFormat="1" ht="10" hidden="1" x14ac:dyDescent="0.2">
      <c r="A66" s="46" t="str">
        <f>IF(OR(H49=5,H49=6),0,A19)</f>
        <v>GB2</v>
      </c>
      <c r="B66" s="63">
        <f>+S43/(1+E19)</f>
        <v>929.91742066461859</v>
      </c>
      <c r="C66" s="64">
        <f>IF(B66=0,"",B66/C19)</f>
        <v>343.14295965484081</v>
      </c>
      <c r="D66" s="62">
        <f>+B66*N9/N8</f>
        <v>32.547109723261649</v>
      </c>
      <c r="E66" s="61">
        <f>IF(D66=0,"",D66/C19)</f>
        <v>12.010003587919428</v>
      </c>
      <c r="G66" s="579"/>
    </row>
    <row r="67" spans="1:18" s="7" customFormat="1" ht="10" hidden="1" x14ac:dyDescent="0.2">
      <c r="A67" s="46">
        <f>IF(OR(H49=1,H49=4,H49=5,H49=6),0,A20)</f>
        <v>0</v>
      </c>
      <c r="B67" s="63">
        <f>+S44/(1+E20)</f>
        <v>0</v>
      </c>
      <c r="C67" s="81" t="str">
        <f>IF(B67=0,"",B67/C20)</f>
        <v/>
      </c>
      <c r="D67" s="62">
        <f>+B67*$N$9/$N$8</f>
        <v>0</v>
      </c>
      <c r="E67" s="61" t="str">
        <f>IF(D67=0,"",D67/C20)</f>
        <v/>
      </c>
      <c r="G67" s="579"/>
    </row>
    <row r="68" spans="1:18" s="7" customFormat="1" ht="10" hidden="1" x14ac:dyDescent="0.2">
      <c r="A68" s="566">
        <f>IF(OR(H50=1,H50=2,H50=3,H50=4,H50=5,H50=6),0,A21)</f>
        <v>0</v>
      </c>
      <c r="B68" s="560">
        <f>+S45/(1+E21)</f>
        <v>0</v>
      </c>
      <c r="C68" s="561" t="str">
        <f>IF(B68=0,"",B68/C21)</f>
        <v/>
      </c>
      <c r="D68" s="565">
        <f>+B68*$N$9/$N$8</f>
        <v>0</v>
      </c>
      <c r="E68" s="559" t="str">
        <f>IF(D68=0,"",D68/C21)</f>
        <v/>
      </c>
      <c r="G68" s="579"/>
    </row>
    <row r="69" spans="1:18" s="7" customFormat="1" ht="10.5" hidden="1" thickBot="1" x14ac:dyDescent="0.25">
      <c r="A69" s="7" t="s">
        <v>46</v>
      </c>
      <c r="B69" s="562">
        <f>SUM(B61:B68)+J31+O31</f>
        <v>2384.9743888995231</v>
      </c>
      <c r="C69" s="563">
        <f>SUM(C61:C68)+K31+P31+B27</f>
        <v>1035.896475044005</v>
      </c>
      <c r="D69" s="569">
        <f>SUM(D61:D68)+I61+J61</f>
        <v>83.474103611483315</v>
      </c>
      <c r="E69" s="563">
        <f>SUM(E61:E68)+I62+J62+H62</f>
        <v>36.256376626540174</v>
      </c>
      <c r="G69" s="579"/>
    </row>
    <row r="70" spans="1:18" s="7" customFormat="1" ht="10" hidden="1" x14ac:dyDescent="0.2">
      <c r="B70" s="72"/>
      <c r="C70" s="72"/>
      <c r="D70" s="72"/>
      <c r="E70" s="72"/>
      <c r="F70" s="72"/>
      <c r="G70" s="584"/>
      <c r="H70" s="72"/>
      <c r="I70" s="72"/>
      <c r="J70" s="72"/>
      <c r="K70" s="72"/>
      <c r="L70" s="72"/>
      <c r="M70" s="72"/>
      <c r="N70" s="72"/>
    </row>
    <row r="71" spans="1:18" s="7" customFormat="1" ht="4.1500000000000004" hidden="1" customHeight="1" x14ac:dyDescent="0.2">
      <c r="E71" s="82"/>
      <c r="G71" s="579"/>
    </row>
    <row r="72" spans="1:18" s="7" customFormat="1" ht="13" x14ac:dyDescent="0.3">
      <c r="A72" s="1169" t="s">
        <v>61</v>
      </c>
      <c r="B72" s="1170"/>
      <c r="C72" s="1170"/>
      <c r="D72" s="1170"/>
      <c r="E72" s="1170"/>
      <c r="F72" s="1170"/>
      <c r="G72" s="1170"/>
      <c r="H72" s="1170"/>
      <c r="I72" s="1170"/>
      <c r="J72" s="1170"/>
      <c r="K72" s="1170"/>
      <c r="L72" s="1170"/>
      <c r="M72" s="1170"/>
      <c r="N72" s="1170"/>
      <c r="O72" s="1170"/>
      <c r="P72" s="1171"/>
      <c r="Q72" s="1148" t="s">
        <v>62</v>
      </c>
      <c r="R72" s="1149"/>
    </row>
    <row r="73" spans="1:18" s="7" customFormat="1" ht="10.5" x14ac:dyDescent="0.25">
      <c r="A73" s="83" t="s">
        <v>20</v>
      </c>
      <c r="B73" s="84" t="s">
        <v>63</v>
      </c>
      <c r="C73" s="85" t="s">
        <v>64</v>
      </c>
      <c r="D73" s="86" t="s">
        <v>65</v>
      </c>
      <c r="E73" s="87" t="s">
        <v>64</v>
      </c>
      <c r="F73" s="88" t="s">
        <v>26</v>
      </c>
      <c r="G73" s="588"/>
      <c r="H73" s="86" t="s">
        <v>63</v>
      </c>
      <c r="I73" s="85" t="s">
        <v>64</v>
      </c>
      <c r="J73" s="89" t="s">
        <v>66</v>
      </c>
      <c r="K73" s="87" t="s">
        <v>64</v>
      </c>
      <c r="L73" s="88" t="s">
        <v>28</v>
      </c>
      <c r="M73" s="84" t="s">
        <v>63</v>
      </c>
      <c r="N73" s="85" t="s">
        <v>64</v>
      </c>
      <c r="O73" s="90" t="s">
        <v>66</v>
      </c>
      <c r="P73" s="91" t="s">
        <v>64</v>
      </c>
      <c r="Q73" s="92"/>
      <c r="R73" s="93"/>
    </row>
    <row r="74" spans="1:18" s="7" customFormat="1" ht="10.5" x14ac:dyDescent="0.25">
      <c r="A74" s="94" t="str">
        <f>IF(A38=0,"Falta cem",A38)</f>
        <v>CO</v>
      </c>
      <c r="B74" s="95">
        <f>IF(S38&gt;0,S38,"")</f>
        <v>335</v>
      </c>
      <c r="C74" s="96" t="str">
        <f>IF(S38&gt;0,"kg/m3","")</f>
        <v>kg/m3</v>
      </c>
      <c r="D74" s="97">
        <f>IF(T38&gt;0,T38,"")</f>
        <v>107.37179487179486</v>
      </c>
      <c r="E74" s="98" t="str">
        <f>IF(T38&gt;0,"l/m3","")</f>
        <v>l/m3</v>
      </c>
      <c r="F74" s="99" t="str">
        <f t="shared" ref="F74:F79" si="8">IF(L15&gt;0,I15,"")</f>
        <v>EDV</v>
      </c>
      <c r="G74" s="589"/>
      <c r="H74" s="100">
        <f t="shared" ref="H74:H79" si="9">IF(I24&gt;0,J24,"")</f>
        <v>1.675</v>
      </c>
      <c r="I74" s="96" t="str">
        <f t="shared" ref="I74:I79" si="10">IF(K24&gt;0,"kg/m3","")</f>
        <v>kg/m3</v>
      </c>
      <c r="J74" s="101">
        <f t="shared" ref="J74:J79" si="11">IF(I24&gt;0,K24,"")</f>
        <v>1.675</v>
      </c>
      <c r="K74" s="98" t="str">
        <f t="shared" ref="K74:K79" si="12">IF(K24&gt;0,"l/m3","")</f>
        <v>l/m3</v>
      </c>
      <c r="L74" s="99" t="str">
        <f t="shared" ref="L74:L79" si="13">IF(Q15&gt;0,N15,"")</f>
        <v/>
      </c>
      <c r="M74" s="95" t="str">
        <f t="shared" ref="M74:M79" si="14">IF(N24&gt;0,O24,"")</f>
        <v/>
      </c>
      <c r="N74" s="102" t="str">
        <f t="shared" ref="N74:N79" si="15">IF(N24&gt;0,"kg/m3","")</f>
        <v/>
      </c>
      <c r="O74" s="100" t="str">
        <f t="shared" ref="O74:O79" si="16">IF(N24&gt;0,P24,"")</f>
        <v/>
      </c>
      <c r="P74" s="103" t="str">
        <f t="shared" ref="P74:P79" si="17">IF(N24&gt;0,"l/m3","")</f>
        <v/>
      </c>
      <c r="Q74" s="104" t="s">
        <v>67</v>
      </c>
      <c r="R74" s="105" t="str">
        <f>FIXED((IF(S46&gt;0,S46,"")),0,1) &amp; " kg/m3"</f>
        <v>2385 kg/m3</v>
      </c>
    </row>
    <row r="75" spans="1:18" s="7" customFormat="1" ht="10.5" x14ac:dyDescent="0.25">
      <c r="A75" s="94" t="str">
        <f>IF(AND(A16="",H16&lt;&gt;""),"Error en %",IF(S39=0,"",A39))</f>
        <v/>
      </c>
      <c r="B75" s="95" t="str">
        <f>IF(AND(A16="",H16&lt;&gt;""),"Error en %",IF(S39&gt;0,S39,""))</f>
        <v/>
      </c>
      <c r="C75" s="96" t="str">
        <f>IF(AND(A16="",H16&lt;&gt;""),"Error en %",IF(S39&gt;0,"kg/m3",""))</f>
        <v/>
      </c>
      <c r="D75" s="97" t="str">
        <f>IF(AND(A16="",H16&lt;&gt;""),"Error en %",IF(T39&gt;0,T39,""))</f>
        <v/>
      </c>
      <c r="E75" s="98" t="str">
        <f>IF(AND(A16="",H16&lt;&gt;""),"Error en %",IF(T39&gt;0,"l/m3",""))</f>
        <v/>
      </c>
      <c r="F75" s="99" t="str">
        <f t="shared" si="8"/>
        <v>ECG</v>
      </c>
      <c r="G75" s="589"/>
      <c r="H75" s="100">
        <f t="shared" si="9"/>
        <v>1.34</v>
      </c>
      <c r="I75" s="96" t="str">
        <f t="shared" si="10"/>
        <v>kg/m3</v>
      </c>
      <c r="J75" s="101">
        <f t="shared" si="11"/>
        <v>1.34</v>
      </c>
      <c r="K75" s="98" t="str">
        <f t="shared" si="12"/>
        <v>l/m3</v>
      </c>
      <c r="L75" s="99" t="str">
        <f t="shared" si="13"/>
        <v/>
      </c>
      <c r="M75" s="95" t="str">
        <f t="shared" si="14"/>
        <v/>
      </c>
      <c r="N75" s="102" t="str">
        <f t="shared" si="15"/>
        <v/>
      </c>
      <c r="O75" s="100" t="str">
        <f t="shared" si="16"/>
        <v/>
      </c>
      <c r="P75" s="103" t="str">
        <f t="shared" si="17"/>
        <v/>
      </c>
      <c r="Q75" s="106" t="s">
        <v>68</v>
      </c>
      <c r="R75" s="107">
        <f>L9</f>
        <v>0.02</v>
      </c>
    </row>
    <row r="76" spans="1:18" s="7" customFormat="1" ht="10.5" x14ac:dyDescent="0.25">
      <c r="A76" s="94" t="str">
        <f>IF(S40=0,"Falta agua",A40)</f>
        <v>A1</v>
      </c>
      <c r="B76" s="95">
        <f>IF(S40&gt;0,S40,"")</f>
        <v>175</v>
      </c>
      <c r="C76" s="96" t="str">
        <f>IF(S40&gt;0,"l/m3","")</f>
        <v>l/m3</v>
      </c>
      <c r="D76" s="97">
        <f>IF(T40&gt;0,T40,"")</f>
        <v>175</v>
      </c>
      <c r="E76" s="98" t="str">
        <f t="shared" ref="E76:E81" si="18">IF(T40&gt;0,"l/m3","")</f>
        <v>l/m3</v>
      </c>
      <c r="F76" s="99" t="str">
        <f t="shared" si="8"/>
        <v>EDF</v>
      </c>
      <c r="G76" s="589"/>
      <c r="H76" s="100">
        <f t="shared" si="9"/>
        <v>0.1</v>
      </c>
      <c r="I76" s="96" t="str">
        <f t="shared" si="10"/>
        <v>kg/m3</v>
      </c>
      <c r="J76" s="101">
        <f t="shared" si="11"/>
        <v>0.1</v>
      </c>
      <c r="K76" s="98" t="str">
        <f t="shared" si="12"/>
        <v>l/m3</v>
      </c>
      <c r="L76" s="99" t="str">
        <f t="shared" si="13"/>
        <v/>
      </c>
      <c r="M76" s="95" t="str">
        <f t="shared" si="14"/>
        <v/>
      </c>
      <c r="N76" s="102" t="str">
        <f t="shared" si="15"/>
        <v/>
      </c>
      <c r="O76" s="100" t="str">
        <f t="shared" si="16"/>
        <v/>
      </c>
      <c r="P76" s="103" t="str">
        <f t="shared" si="17"/>
        <v/>
      </c>
      <c r="Q76" s="106" t="s">
        <v>69</v>
      </c>
      <c r="R76" s="108">
        <f>S40/(S38+S39)</f>
        <v>0.52238805970149249</v>
      </c>
    </row>
    <row r="77" spans="1:18" s="7" customFormat="1" ht="10.5" x14ac:dyDescent="0.25">
      <c r="A77" s="94" t="str">
        <f>IF(A41=0,"Falta arena",A41)</f>
        <v>AC2</v>
      </c>
      <c r="B77" s="95">
        <f>IF(AND(OR(H49=1,H49=3,H49=5),H17&lt;1),"Error en %",S41)</f>
        <v>917.57813181349184</v>
      </c>
      <c r="C77" s="96" t="str">
        <f>IF(S41&gt;0,"kg/m3","")</f>
        <v>kg/m3</v>
      </c>
      <c r="D77" s="97">
        <f>IF(T41&gt;0,T41,"")</f>
        <v>342.37989993040736</v>
      </c>
      <c r="E77" s="98" t="str">
        <f t="shared" si="18"/>
        <v>l/m3</v>
      </c>
      <c r="F77" s="99" t="str">
        <f t="shared" si="8"/>
        <v/>
      </c>
      <c r="G77" s="589"/>
      <c r="H77" s="100" t="str">
        <f t="shared" si="9"/>
        <v/>
      </c>
      <c r="I77" s="96" t="str">
        <f t="shared" si="10"/>
        <v/>
      </c>
      <c r="J77" s="101" t="str">
        <f t="shared" si="11"/>
        <v/>
      </c>
      <c r="K77" s="98" t="str">
        <f t="shared" si="12"/>
        <v/>
      </c>
      <c r="L77" s="99" t="str">
        <f t="shared" si="13"/>
        <v/>
      </c>
      <c r="M77" s="95" t="str">
        <f t="shared" si="14"/>
        <v/>
      </c>
      <c r="N77" s="102" t="str">
        <f t="shared" si="15"/>
        <v/>
      </c>
      <c r="O77" s="100" t="str">
        <f t="shared" si="16"/>
        <v/>
      </c>
      <c r="P77" s="103" t="str">
        <f t="shared" si="17"/>
        <v/>
      </c>
      <c r="Q77" s="106" t="s">
        <v>70</v>
      </c>
      <c r="R77" s="108">
        <f>(S41+S42)/(S38+S39)</f>
        <v>2.7390391994432592</v>
      </c>
    </row>
    <row r="78" spans="1:18" s="7" customFormat="1" ht="10.5" x14ac:dyDescent="0.25">
      <c r="A78" s="94" t="str">
        <f>IF(AND(A42=0,OR(H49=2,H49=4,H49=H655=7)),"Falta arena",IF(OR(H49=1,H49=3,H49=5,H49=8),"",A42))</f>
        <v/>
      </c>
      <c r="B78" s="95" t="str">
        <f>IF(AND(OR(H49=2,H49=4,H49=6),S42=0),"Asig %",IF(A42=0,"",S42))</f>
        <v/>
      </c>
      <c r="C78" s="96" t="str">
        <f>IF(S42&gt;0,"kg/m3","")</f>
        <v/>
      </c>
      <c r="D78" s="97" t="str">
        <f>IF(B78="","",IF(B78="Asig %","Error",T42))</f>
        <v/>
      </c>
      <c r="E78" s="98" t="str">
        <f t="shared" si="18"/>
        <v/>
      </c>
      <c r="F78" s="99" t="str">
        <f t="shared" si="8"/>
        <v/>
      </c>
      <c r="G78" s="589"/>
      <c r="H78" s="100" t="str">
        <f t="shared" si="9"/>
        <v/>
      </c>
      <c r="I78" s="96" t="str">
        <f t="shared" si="10"/>
        <v/>
      </c>
      <c r="J78" s="101" t="str">
        <f t="shared" si="11"/>
        <v/>
      </c>
      <c r="K78" s="98" t="str">
        <f t="shared" si="12"/>
        <v/>
      </c>
      <c r="L78" s="99" t="str">
        <f t="shared" si="13"/>
        <v/>
      </c>
      <c r="M78" s="95" t="str">
        <f t="shared" si="14"/>
        <v/>
      </c>
      <c r="N78" s="102" t="str">
        <f t="shared" si="15"/>
        <v/>
      </c>
      <c r="O78" s="100" t="str">
        <f t="shared" si="16"/>
        <v/>
      </c>
      <c r="P78" s="103" t="str">
        <f t="shared" si="17"/>
        <v/>
      </c>
      <c r="Q78" s="106" t="s">
        <v>71</v>
      </c>
      <c r="R78" s="108">
        <f>(S43+S44)/(S41+S42)</f>
        <v>1.04</v>
      </c>
    </row>
    <row r="79" spans="1:18" s="7" customFormat="1" ht="10.5" x14ac:dyDescent="0.25">
      <c r="A79" s="94" t="str">
        <f>IF(AND(A43=0,OR(H49=1,H49=2,H49=3,H49=4)),"Falta grava",IF(OR(H49=5,H49=6),"",A43))</f>
        <v>GB2</v>
      </c>
      <c r="B79" s="95">
        <f>IF(AND(OR(H49=1,H49=4),H19&lt;1),"Error en %",IF(OR(H49=5,H49=6),"",S43))</f>
        <v>954.28125708603159</v>
      </c>
      <c r="C79" s="96" t="str">
        <f>IF(S43&gt;0,"kg/m3","")</f>
        <v>kg/m3</v>
      </c>
      <c r="D79" s="97">
        <f>IF(T43&gt;0,T43,"")</f>
        <v>352.13330519779765</v>
      </c>
      <c r="E79" s="98" t="str">
        <f t="shared" si="18"/>
        <v>l/m3</v>
      </c>
      <c r="F79" s="99" t="str">
        <f t="shared" si="8"/>
        <v/>
      </c>
      <c r="G79" s="589"/>
      <c r="H79" s="100" t="str">
        <f t="shared" si="9"/>
        <v/>
      </c>
      <c r="I79" s="96" t="str">
        <f t="shared" si="10"/>
        <v/>
      </c>
      <c r="J79" s="101" t="str">
        <f t="shared" si="11"/>
        <v/>
      </c>
      <c r="K79" s="98" t="str">
        <f t="shared" si="12"/>
        <v/>
      </c>
      <c r="L79" s="99" t="str">
        <f t="shared" si="13"/>
        <v/>
      </c>
      <c r="M79" s="95" t="str">
        <f t="shared" si="14"/>
        <v/>
      </c>
      <c r="N79" s="102" t="str">
        <f t="shared" si="15"/>
        <v/>
      </c>
      <c r="O79" s="100" t="str">
        <f t="shared" si="16"/>
        <v/>
      </c>
      <c r="P79" s="103" t="str">
        <f t="shared" si="17"/>
        <v/>
      </c>
      <c r="Q79" s="106" t="s">
        <v>72</v>
      </c>
      <c r="R79" s="109" t="str">
        <f>FIXED((IF(T46&gt;0,T46,"")),0,1) &amp; "  litros"</f>
        <v>1000  litros</v>
      </c>
    </row>
    <row r="80" spans="1:18" s="7" customFormat="1" ht="10.5" x14ac:dyDescent="0.25">
      <c r="A80" s="94" t="str">
        <f>IF(AND(A44=0,OR(H49=2,H49=3,H49=7,H49=8)),"Falta grava",IF(OR(H49=1,H49=4,H49=5,H49=6,),"",A44))</f>
        <v/>
      </c>
      <c r="B80" s="95" t="str">
        <f>IF(AND(OR(H49=2,H49=3,H49=7,H49=8),S44=0),"Asig %",IF(A44=0,"",S44))</f>
        <v/>
      </c>
      <c r="C80" s="96" t="str">
        <f>IF(S44&gt;0,"kg/m3","")</f>
        <v/>
      </c>
      <c r="D80" s="97" t="str">
        <f>IF(B80="","",IF(B80="Asig %","Error",T44))</f>
        <v/>
      </c>
      <c r="E80" s="98" t="str">
        <f t="shared" si="18"/>
        <v/>
      </c>
      <c r="F80" s="99"/>
      <c r="G80" s="589"/>
      <c r="H80" s="100"/>
      <c r="I80" s="96"/>
      <c r="J80" s="101"/>
      <c r="K80" s="98"/>
      <c r="L80" s="99"/>
      <c r="M80" s="95"/>
      <c r="N80" s="102"/>
      <c r="O80" s="100"/>
      <c r="P80" s="103"/>
      <c r="Q80" s="106"/>
      <c r="R80" s="109"/>
    </row>
    <row r="81" spans="1:19" s="7" customFormat="1" ht="11" thickBot="1" x14ac:dyDescent="0.3">
      <c r="A81" s="110" t="str">
        <f>IF(AND(A45=0,OR(H49=7,H49=8)),"Falta grava",IF(OR(H49=1,H49=2,H49=3,H49=4,H49=5,H49=6,),"",A45))</f>
        <v/>
      </c>
      <c r="B81" s="111" t="str">
        <f>IF(AND(OR(H49=7,H49=8),S45=0),"Asig %",IF(A45=0,"",S45))</f>
        <v/>
      </c>
      <c r="C81" s="112" t="str">
        <f>IF(S45&gt;0,"kg/m3","")</f>
        <v/>
      </c>
      <c r="D81" s="113" t="str">
        <f>IF(B81="","",IF(B81="Asig %","Error",T45))</f>
        <v/>
      </c>
      <c r="E81" s="114" t="str">
        <f t="shared" si="18"/>
        <v/>
      </c>
      <c r="F81" s="115"/>
      <c r="G81" s="590"/>
      <c r="H81" s="116"/>
      <c r="I81" s="117"/>
      <c r="J81" s="118"/>
      <c r="K81" s="119"/>
      <c r="L81" s="115"/>
      <c r="M81" s="120"/>
      <c r="N81" s="121"/>
      <c r="O81" s="116"/>
      <c r="P81" s="122"/>
      <c r="Q81" s="123"/>
      <c r="R81" s="124"/>
    </row>
    <row r="82" spans="1:19" s="7" customFormat="1" ht="6.75" customHeight="1" thickBot="1" x14ac:dyDescent="0.25">
      <c r="G82" s="579"/>
      <c r="R82" s="125"/>
    </row>
    <row r="83" spans="1:19" s="7" customFormat="1" ht="13.5" thickBot="1" x14ac:dyDescent="0.35">
      <c r="A83" s="1182" t="str">
        <f>"Dosificación corregida por humedad y absorción para la cantidad de "&amp;N9&amp;" litros"</f>
        <v>Dosificación corregida por humedad y absorción para la cantidad de 35 litros</v>
      </c>
      <c r="B83" s="1183"/>
      <c r="C83" s="1183"/>
      <c r="D83" s="1183"/>
      <c r="E83" s="1183"/>
      <c r="F83" s="1183"/>
      <c r="G83" s="1183"/>
      <c r="H83" s="1183"/>
      <c r="I83" s="1183"/>
      <c r="J83" s="1183"/>
      <c r="K83" s="1183"/>
      <c r="L83" s="1183"/>
      <c r="M83" s="1183"/>
      <c r="N83" s="1183"/>
      <c r="O83" s="1183"/>
      <c r="P83" s="1155" t="s">
        <v>73</v>
      </c>
      <c r="Q83" s="1156"/>
      <c r="R83" s="1157"/>
    </row>
    <row r="84" spans="1:19" s="7" customFormat="1" ht="20.5" thickTop="1" x14ac:dyDescent="0.2">
      <c r="A84" s="126" t="s">
        <v>74</v>
      </c>
      <c r="B84" s="127" t="s">
        <v>75</v>
      </c>
      <c r="C84" s="128" t="s">
        <v>64</v>
      </c>
      <c r="D84" s="129" t="s">
        <v>23</v>
      </c>
      <c r="E84" s="130" t="s">
        <v>24</v>
      </c>
      <c r="F84" s="131" t="s">
        <v>74</v>
      </c>
      <c r="G84" s="591"/>
      <c r="H84" s="132" t="s">
        <v>76</v>
      </c>
      <c r="I84" s="133" t="s">
        <v>64</v>
      </c>
      <c r="J84" s="134" t="s">
        <v>26</v>
      </c>
      <c r="K84" s="133" t="s">
        <v>44</v>
      </c>
      <c r="L84" s="133" t="s">
        <v>64</v>
      </c>
      <c r="M84" s="134" t="s">
        <v>28</v>
      </c>
      <c r="N84" s="133" t="s">
        <v>44</v>
      </c>
      <c r="O84" s="133" t="s">
        <v>64</v>
      </c>
      <c r="P84" s="1158"/>
      <c r="Q84" s="1159"/>
      <c r="R84" s="1160"/>
    </row>
    <row r="85" spans="1:19" s="7" customFormat="1" ht="13" x14ac:dyDescent="0.35">
      <c r="A85" s="135" t="str">
        <f>IF(A38=0,"Falta cem",A74)</f>
        <v>CO</v>
      </c>
      <c r="B85" s="264">
        <f>IF(S38&gt;0,N$9*S38/N$8,"")</f>
        <v>11.725</v>
      </c>
      <c r="C85" s="136" t="str">
        <f>IF(S38&gt;0,"kg","")</f>
        <v>kg</v>
      </c>
      <c r="D85" s="137"/>
      <c r="E85" s="138"/>
      <c r="F85" s="139" t="str">
        <f>IF(S38=0,"",A74)</f>
        <v>CO</v>
      </c>
      <c r="G85" s="592"/>
      <c r="H85" s="971">
        <f>+B85</f>
        <v>11.725</v>
      </c>
      <c r="I85" s="140" t="str">
        <f>IF(S38&gt;0,"kg","")</f>
        <v>kg</v>
      </c>
      <c r="J85" s="141" t="str">
        <f t="shared" ref="J85:J90" si="19">IF(I24&gt;0,I15,"")</f>
        <v>EDV</v>
      </c>
      <c r="K85" s="973">
        <f t="shared" ref="K85:K90" si="20">IF(K24&gt;0,J74*N$9/N$8*1000,"")</f>
        <v>58.625</v>
      </c>
      <c r="L85" s="140" t="str">
        <f t="shared" ref="L85:L90" si="21">IF(K24&gt;0,"ml","")</f>
        <v>ml</v>
      </c>
      <c r="M85" s="141" t="str">
        <f t="shared" ref="M85:M90" si="22">IF(N24&gt;0,N15,"")</f>
        <v/>
      </c>
      <c r="N85" s="140" t="str">
        <f t="shared" ref="N85:N90" si="23">IF(O24&gt;0,M74*N$9/N$8*1000,"")</f>
        <v/>
      </c>
      <c r="O85" s="140" t="str">
        <f t="shared" ref="O85:O90" si="24">IF(N24&gt;0,"gr","")</f>
        <v/>
      </c>
      <c r="P85" s="628" t="s">
        <v>127</v>
      </c>
      <c r="Q85" s="961">
        <f>+B87</f>
        <v>6.125</v>
      </c>
      <c r="R85" s="629" t="s">
        <v>77</v>
      </c>
    </row>
    <row r="86" spans="1:19" s="7" customFormat="1" ht="13" x14ac:dyDescent="0.35">
      <c r="A86" s="142" t="str">
        <f>IF(S39=0,"",A75)</f>
        <v/>
      </c>
      <c r="B86" s="265" t="str">
        <f>IF(S39&gt;0,N$9*S39/N$8,"")</f>
        <v/>
      </c>
      <c r="C86" s="143" t="str">
        <f>IF(S39&gt;0,"kg","")</f>
        <v/>
      </c>
      <c r="D86" s="144"/>
      <c r="E86" s="145"/>
      <c r="F86" s="146" t="str">
        <f>IF(S39=0,"",A75)</f>
        <v/>
      </c>
      <c r="G86" s="593"/>
      <c r="H86" s="972" t="str">
        <f>+B86</f>
        <v/>
      </c>
      <c r="I86" s="147" t="str">
        <f>IF(S39&gt;0,"kg","")</f>
        <v/>
      </c>
      <c r="J86" s="148" t="str">
        <f t="shared" si="19"/>
        <v>ECG</v>
      </c>
      <c r="K86" s="974">
        <f t="shared" si="20"/>
        <v>46.900000000000006</v>
      </c>
      <c r="L86" s="147" t="str">
        <f t="shared" si="21"/>
        <v>ml</v>
      </c>
      <c r="M86" s="148" t="str">
        <f t="shared" si="22"/>
        <v/>
      </c>
      <c r="N86" s="147" t="str">
        <f t="shared" si="23"/>
        <v/>
      </c>
      <c r="O86" s="140" t="str">
        <f t="shared" si="24"/>
        <v/>
      </c>
      <c r="P86" s="628" t="s">
        <v>128</v>
      </c>
      <c r="Q86" s="961">
        <f>SUM(D88:D91)-SUM(E88:E91)</f>
        <v>1.1063903590712556</v>
      </c>
      <c r="R86" s="629" t="s">
        <v>77</v>
      </c>
    </row>
    <row r="87" spans="1:19" s="7" customFormat="1" ht="13" x14ac:dyDescent="0.35">
      <c r="A87" s="142" t="str">
        <f>IF(S40=0,"Falta agua",A76)</f>
        <v>A1</v>
      </c>
      <c r="B87" s="265">
        <f>IF(S40&gt;0,N$9*S40/N$8,"")</f>
        <v>6.125</v>
      </c>
      <c r="C87" s="143" t="str">
        <f>IF(S40&gt;0,"l","")</f>
        <v>l</v>
      </c>
      <c r="D87" s="144"/>
      <c r="E87" s="145" t="str">
        <f>+F76</f>
        <v>EDF</v>
      </c>
      <c r="F87" s="146" t="str">
        <f>IF(S40=0,"",A76)</f>
        <v>A1</v>
      </c>
      <c r="G87" s="593"/>
      <c r="H87" s="972">
        <f>+B87+(SUM(D88:D91))-(SUM(E88:E91))</f>
        <v>7.2313903590712565</v>
      </c>
      <c r="I87" s="147" t="str">
        <f>IF(S40&gt;0,"l","")</f>
        <v>l</v>
      </c>
      <c r="J87" s="148" t="str">
        <f t="shared" si="19"/>
        <v>EDF</v>
      </c>
      <c r="K87" s="149">
        <f t="shared" si="20"/>
        <v>3.5</v>
      </c>
      <c r="L87" s="147" t="str">
        <f t="shared" si="21"/>
        <v>ml</v>
      </c>
      <c r="M87" s="148" t="str">
        <f t="shared" si="22"/>
        <v/>
      </c>
      <c r="N87" s="147" t="str">
        <f t="shared" si="23"/>
        <v/>
      </c>
      <c r="O87" s="140" t="str">
        <f t="shared" si="24"/>
        <v/>
      </c>
      <c r="P87" s="628" t="s">
        <v>129</v>
      </c>
      <c r="Q87" s="962">
        <f>+Q85+Q86</f>
        <v>7.2313903590712556</v>
      </c>
      <c r="R87" s="629" t="s">
        <v>77</v>
      </c>
    </row>
    <row r="88" spans="1:19" s="7" customFormat="1" ht="13" x14ac:dyDescent="0.35">
      <c r="A88" s="142" t="str">
        <f>IF(A41=0,"Falta arena",A77)</f>
        <v>AC2</v>
      </c>
      <c r="B88" s="265">
        <f>IF(AND(OR(H49=1,H49=3,H49=5),H17&lt;1),"Error en %",IF(S41&gt;0,N$9*S41/N$8,""))</f>
        <v>32.115234613472211</v>
      </c>
      <c r="C88" s="143" t="str">
        <f>IF(S41&gt;0,"kg","")</f>
        <v>kg</v>
      </c>
      <c r="D88" s="150">
        <f>D64*E17</f>
        <v>1.145866615909809</v>
      </c>
      <c r="E88" s="151">
        <f>D64*F17</f>
        <v>0.56673943435539209</v>
      </c>
      <c r="F88" s="146" t="str">
        <f>IF(S41=0,"",A77)</f>
        <v>AC2</v>
      </c>
      <c r="G88" s="593"/>
      <c r="H88" s="972">
        <f>+B88-D88+E88</f>
        <v>31.536107431917792</v>
      </c>
      <c r="I88" s="147" t="str">
        <f>IF(S41&gt;0,"kg","")</f>
        <v>kg</v>
      </c>
      <c r="J88" s="148" t="str">
        <f t="shared" si="19"/>
        <v/>
      </c>
      <c r="K88" s="149" t="str">
        <f t="shared" si="20"/>
        <v/>
      </c>
      <c r="L88" s="147" t="str">
        <f t="shared" si="21"/>
        <v/>
      </c>
      <c r="M88" s="148" t="str">
        <f t="shared" si="22"/>
        <v/>
      </c>
      <c r="N88" s="147" t="str">
        <f t="shared" si="23"/>
        <v/>
      </c>
      <c r="O88" s="140" t="str">
        <f t="shared" si="24"/>
        <v/>
      </c>
      <c r="P88" s="628" t="s">
        <v>130</v>
      </c>
      <c r="Q88" s="963">
        <f>S46/Q98*N9</f>
        <v>35.102187301430625</v>
      </c>
      <c r="R88" s="629" t="s">
        <v>77</v>
      </c>
    </row>
    <row r="89" spans="1:19" s="7" customFormat="1" ht="13" x14ac:dyDescent="0.35">
      <c r="A89" s="142" t="str">
        <f>IF(OR(H49=1,H49=3,H49=5),"",A78)</f>
        <v/>
      </c>
      <c r="B89" s="265" t="str">
        <f>IF(AND(OR(H49=2,H49=4,H49=6),S42=0),"Asig %",IF(A42=0,"",N$9*S42/N$8))</f>
        <v/>
      </c>
      <c r="C89" s="143" t="str">
        <f>IF(S42&gt;0,"kg","")</f>
        <v/>
      </c>
      <c r="D89" s="150" t="str">
        <f>IF(D65=0,"",IF(B89="Asig %","Error",D65*E18))</f>
        <v/>
      </c>
      <c r="E89" s="151" t="str">
        <f>IF(S42=0,"",D65*F18)</f>
        <v/>
      </c>
      <c r="F89" s="146" t="str">
        <f>IF(B89="Asig %","Error",A78)</f>
        <v/>
      </c>
      <c r="G89" s="593"/>
      <c r="H89" s="972" t="str">
        <f>IF(S42=0,"",+B89-D89+E89)</f>
        <v/>
      </c>
      <c r="I89" s="147" t="str">
        <f>IF(S42&gt;0,"kg","")</f>
        <v/>
      </c>
      <c r="J89" s="148" t="str">
        <f t="shared" si="19"/>
        <v/>
      </c>
      <c r="K89" s="149" t="str">
        <f t="shared" si="20"/>
        <v/>
      </c>
      <c r="L89" s="147" t="str">
        <f t="shared" si="21"/>
        <v/>
      </c>
      <c r="M89" s="148" t="str">
        <f t="shared" si="22"/>
        <v/>
      </c>
      <c r="N89" s="147" t="str">
        <f t="shared" si="23"/>
        <v/>
      </c>
      <c r="O89" s="140" t="str">
        <f t="shared" si="24"/>
        <v/>
      </c>
      <c r="P89" s="628" t="s">
        <v>131</v>
      </c>
      <c r="Q89" s="961">
        <f>Q88/N9*100</f>
        <v>100.29196371837321</v>
      </c>
      <c r="R89" s="629" t="s">
        <v>51</v>
      </c>
    </row>
    <row r="90" spans="1:19" s="7" customFormat="1" ht="13" x14ac:dyDescent="0.35">
      <c r="A90" s="142" t="str">
        <f>IF(OR(H49=5,H49=6),"",A79)</f>
        <v>GB2</v>
      </c>
      <c r="B90" s="265">
        <f>IF(AND(OR(H49=1,H49=4),H19&lt;1),"Error en %",IF(OR(H49=5,H49=6),"",N$9*S43/N$8))</f>
        <v>33.399843998011107</v>
      </c>
      <c r="C90" s="143" t="str">
        <f>IF(S43&gt;0,"kg","")</f>
        <v>kg</v>
      </c>
      <c r="D90" s="150">
        <f>IF(OR(H49=5,H49=6),"",D66*E19)</f>
        <v>0.85273427474945518</v>
      </c>
      <c r="E90" s="151">
        <f>IF(OR(H49=5,H49=6),"",D66*F19)</f>
        <v>0.32547109723261647</v>
      </c>
      <c r="F90" s="146" t="str">
        <f>IF(S43=0,"",A79)</f>
        <v>GB2</v>
      </c>
      <c r="G90" s="593"/>
      <c r="H90" s="972">
        <f>IF(OR(H49=5,H49=6),"",B90-D90+E90)</f>
        <v>32.872580820494264</v>
      </c>
      <c r="I90" s="147" t="str">
        <f>IF(S43&gt;0,"kg","")</f>
        <v>kg</v>
      </c>
      <c r="J90" s="148" t="str">
        <f t="shared" si="19"/>
        <v/>
      </c>
      <c r="K90" s="266" t="str">
        <f t="shared" si="20"/>
        <v/>
      </c>
      <c r="L90" s="147" t="str">
        <f t="shared" si="21"/>
        <v/>
      </c>
      <c r="M90" s="148" t="str">
        <f t="shared" si="22"/>
        <v/>
      </c>
      <c r="N90" s="147" t="str">
        <f t="shared" si="23"/>
        <v/>
      </c>
      <c r="O90" s="140" t="str">
        <f t="shared" si="24"/>
        <v/>
      </c>
      <c r="P90" s="628" t="s">
        <v>132</v>
      </c>
      <c r="Q90" s="964">
        <f>N96/Q98*1000</f>
        <v>35.102187301430632</v>
      </c>
      <c r="R90" s="629" t="s">
        <v>77</v>
      </c>
    </row>
    <row r="91" spans="1:19" s="7" customFormat="1" ht="10.5" x14ac:dyDescent="0.25">
      <c r="A91" s="142" t="str">
        <f>IF(OR(H49=1,H49=4,H49=5,H49=6),"",A80)</f>
        <v/>
      </c>
      <c r="B91" s="265" t="str">
        <f>IF(AND(OR(H49=2,H49=3),S44=0),"Asig %",IF(A44=0,"",N$9*S44/N$8))</f>
        <v/>
      </c>
      <c r="C91" s="143" t="str">
        <f>IF(S44&gt;0,"kg","")</f>
        <v/>
      </c>
      <c r="D91" s="150" t="str">
        <f>IF(D67=0,"",IF(B91="Asig %","Error",D67*E20))</f>
        <v/>
      </c>
      <c r="E91" s="151" t="str">
        <f>IF(S44=0,"",D67*F20)</f>
        <v/>
      </c>
      <c r="F91" s="146" t="str">
        <f>IF(B91="Asig %","Error",A80)</f>
        <v/>
      </c>
      <c r="G91" s="593"/>
      <c r="H91" s="972" t="str">
        <f>IF(S44=0,"",B91-D91+E91)</f>
        <v/>
      </c>
      <c r="I91" s="614" t="str">
        <f>IF(S44&gt;0,"kg","")</f>
        <v/>
      </c>
      <c r="J91" s="615"/>
      <c r="K91" s="616"/>
      <c r="L91" s="619"/>
      <c r="M91" s="618"/>
      <c r="N91" s="616"/>
      <c r="O91" s="616"/>
      <c r="P91" s="628" t="s">
        <v>78</v>
      </c>
      <c r="Q91" s="965">
        <f>Q90/N9*100</f>
        <v>100.29196371837324</v>
      </c>
      <c r="R91" s="629" t="s">
        <v>51</v>
      </c>
    </row>
    <row r="92" spans="1:19" s="7" customFormat="1" ht="10.5" x14ac:dyDescent="0.25">
      <c r="A92" s="142" t="str">
        <f>IF(OR(H49=1,H49=2,H49=3,H49=4,H49=5,H49=6),"",A81)</f>
        <v/>
      </c>
      <c r="B92" s="265" t="str">
        <f>IF(AND(OR(H49=7,H49=8),S45=0),"Asig %",IF(A45=0,"",N$9*S45/N$8))</f>
        <v/>
      </c>
      <c r="C92" s="143" t="str">
        <f>IF(S45&gt;0,"kg","")</f>
        <v/>
      </c>
      <c r="D92" s="150" t="str">
        <f>IF(OR(H49=1,H49=2,H49=3,H49=4,H49=5,H49=6),"",D68*E21)</f>
        <v/>
      </c>
      <c r="E92" s="151" t="str">
        <f>IF(OR(H49=1,H49=2,H49=3,H49=4,H49=5,H49=6),"",D68*F21)</f>
        <v/>
      </c>
      <c r="F92" s="146" t="str">
        <f>IF(B92="","",IF(B92="Asig %","Error",A81))</f>
        <v/>
      </c>
      <c r="G92" s="593"/>
      <c r="H92" s="972" t="str">
        <f>IF(OR(H49=1,H49=2,H49=3,H49=4,H49=5,H49=6),"",B92-D92+E92)</f>
        <v/>
      </c>
      <c r="I92" s="617" t="str">
        <f>IF(S45&gt;0,"kg","")</f>
        <v/>
      </c>
      <c r="J92" s="616"/>
      <c r="K92" s="616"/>
      <c r="L92" s="619"/>
      <c r="M92" s="616"/>
      <c r="N92" s="616"/>
      <c r="O92" s="616"/>
      <c r="P92" s="630"/>
      <c r="Q92" s="613"/>
      <c r="R92" s="631"/>
    </row>
    <row r="93" spans="1:19" s="7" customFormat="1" ht="13" thickBot="1" x14ac:dyDescent="0.3">
      <c r="A93" s="152" t="s">
        <v>79</v>
      </c>
      <c r="B93" s="417">
        <f>SUM(B85:B91)</f>
        <v>83.365078611483312</v>
      </c>
      <c r="C93" s="153" t="s">
        <v>80</v>
      </c>
      <c r="D93" s="153"/>
      <c r="E93" s="153"/>
      <c r="F93" s="154"/>
      <c r="G93" s="594"/>
      <c r="H93" s="418">
        <f>SUM(H85:H91)</f>
        <v>83.365078611483312</v>
      </c>
      <c r="I93" s="156"/>
      <c r="J93" s="156"/>
      <c r="K93" s="156">
        <f>(N$9*J31/N$8)</f>
        <v>0.10902500000000001</v>
      </c>
      <c r="L93" s="156" t="s">
        <v>80</v>
      </c>
      <c r="M93" s="155"/>
      <c r="N93" s="418">
        <f>(N$9*O31/N$8)</f>
        <v>0</v>
      </c>
      <c r="O93" s="156" t="s">
        <v>80</v>
      </c>
      <c r="P93" s="632" t="s">
        <v>295</v>
      </c>
      <c r="Q93" s="633">
        <f>H93+K93+N93</f>
        <v>83.474103611483315</v>
      </c>
      <c r="R93" s="634" t="s">
        <v>80</v>
      </c>
      <c r="S93" s="1"/>
    </row>
    <row r="94" spans="1:19" s="7" customFormat="1" ht="5.25" customHeight="1" x14ac:dyDescent="0.2">
      <c r="B94" s="157"/>
      <c r="C94" s="46"/>
      <c r="G94" s="579"/>
      <c r="H94" s="82"/>
    </row>
    <row r="95" spans="1:19" s="7" customFormat="1" ht="13" x14ac:dyDescent="0.3">
      <c r="A95" s="158" t="s">
        <v>81</v>
      </c>
      <c r="B95" s="159"/>
      <c r="C95" s="159"/>
      <c r="D95" s="159"/>
      <c r="E95" s="159"/>
      <c r="F95" s="159"/>
      <c r="G95" s="595"/>
      <c r="H95" s="160"/>
      <c r="I95" s="159"/>
      <c r="J95" s="159"/>
      <c r="K95" s="159"/>
      <c r="L95" s="159"/>
      <c r="M95" s="159"/>
      <c r="N95" s="159"/>
      <c r="O95" s="159"/>
      <c r="P95" s="159"/>
      <c r="Q95" s="159"/>
      <c r="R95" s="161"/>
    </row>
    <row r="96" spans="1:19" s="7" customFormat="1" ht="20" x14ac:dyDescent="0.2">
      <c r="A96" s="162" t="s">
        <v>82</v>
      </c>
      <c r="B96" s="954">
        <f>+'Formato Pisocret'!G69</f>
        <v>0</v>
      </c>
      <c r="C96" s="163" t="s">
        <v>83</v>
      </c>
      <c r="D96" s="7" t="s">
        <v>84</v>
      </c>
      <c r="E96" s="955" t="str">
        <f>+'Formato Pisocret'!H71</f>
        <v>Bueno</v>
      </c>
      <c r="F96" s="82" t="s">
        <v>85</v>
      </c>
      <c r="G96" s="596"/>
      <c r="H96" s="954">
        <f>+'Formato Pisocret'!G71</f>
        <v>0</v>
      </c>
      <c r="I96" s="163" t="s">
        <v>10</v>
      </c>
      <c r="J96" s="7" t="s">
        <v>12</v>
      </c>
      <c r="K96" s="956">
        <v>1</v>
      </c>
      <c r="L96" s="163" t="s">
        <v>51</v>
      </c>
      <c r="M96" s="164" t="s">
        <v>86</v>
      </c>
      <c r="N96" s="959">
        <f>Q93+K98</f>
        <v>83.474103611483315</v>
      </c>
      <c r="O96" s="163" t="s">
        <v>80</v>
      </c>
      <c r="P96" s="445" t="s">
        <v>87</v>
      </c>
      <c r="Q96" s="956">
        <v>4.04</v>
      </c>
      <c r="R96" s="38" t="s">
        <v>80</v>
      </c>
    </row>
    <row r="97" spans="1:18" s="7" customFormat="1" ht="3.75" customHeight="1" x14ac:dyDescent="0.25">
      <c r="A97" s="165"/>
      <c r="B97" s="166"/>
      <c r="C97" s="167"/>
      <c r="D97" s="166"/>
      <c r="E97" s="167"/>
      <c r="F97" s="166"/>
      <c r="G97" s="597"/>
      <c r="H97" s="166"/>
      <c r="I97" s="167"/>
      <c r="J97" s="166"/>
      <c r="K97" s="166"/>
      <c r="L97" s="167"/>
      <c r="M97" s="166"/>
      <c r="N97" s="166"/>
      <c r="O97" s="167"/>
      <c r="P97" s="166"/>
      <c r="Q97" s="166"/>
      <c r="R97" s="168"/>
    </row>
    <row r="98" spans="1:18" ht="20.5" x14ac:dyDescent="0.25">
      <c r="A98" s="162" t="s">
        <v>88</v>
      </c>
      <c r="B98" s="954">
        <f>+'Formato Pisocret'!H69</f>
        <v>0</v>
      </c>
      <c r="C98" s="163" t="s">
        <v>83</v>
      </c>
      <c r="D98" s="7" t="s">
        <v>89</v>
      </c>
      <c r="E98" s="955" t="str">
        <f>+'Formato Pisocret'!I71</f>
        <v>Bueno</v>
      </c>
      <c r="F98" s="861" t="s">
        <v>90</v>
      </c>
      <c r="G98" s="598"/>
      <c r="H98" s="956">
        <v>28.18</v>
      </c>
      <c r="I98" s="163" t="s">
        <v>80</v>
      </c>
      <c r="J98" s="445" t="s">
        <v>91</v>
      </c>
      <c r="K98" s="442">
        <f>+'Formato Pisocret'!H64</f>
        <v>0</v>
      </c>
      <c r="L98" s="163" t="s">
        <v>77</v>
      </c>
      <c r="M98" s="445" t="s">
        <v>92</v>
      </c>
      <c r="N98" s="956">
        <v>98.51</v>
      </c>
      <c r="O98" s="163"/>
      <c r="P98" s="164" t="s">
        <v>93</v>
      </c>
      <c r="Q98" s="960">
        <f>(H98-Q96)*N98</f>
        <v>2378.0314000000003</v>
      </c>
      <c r="R98" s="38" t="s">
        <v>94</v>
      </c>
    </row>
    <row r="99" spans="1:18" s="7" customFormat="1" ht="3.75" customHeight="1" thickBot="1" x14ac:dyDescent="0.25">
      <c r="A99" s="169"/>
      <c r="B99" s="170"/>
      <c r="C99" s="171"/>
      <c r="D99" s="170"/>
      <c r="E99" s="171"/>
      <c r="F99" s="170"/>
      <c r="G99" s="599"/>
      <c r="H99" s="170"/>
      <c r="I99" s="171"/>
      <c r="J99" s="170"/>
      <c r="K99" s="170"/>
      <c r="L99" s="171"/>
      <c r="M99" s="170"/>
      <c r="N99" s="170"/>
      <c r="O99" s="171"/>
      <c r="P99" s="170"/>
      <c r="Q99" s="170"/>
      <c r="R99" s="172"/>
    </row>
    <row r="100" spans="1:18" ht="5.25" customHeight="1" x14ac:dyDescent="0.25"/>
    <row r="101" spans="1:18" s="7" customFormat="1" ht="5.25" customHeight="1" x14ac:dyDescent="0.2">
      <c r="G101" s="579"/>
    </row>
    <row r="102" spans="1:18" s="7" customFormat="1" ht="13" x14ac:dyDescent="0.3">
      <c r="A102" s="173" t="s">
        <v>95</v>
      </c>
      <c r="B102" s="174"/>
      <c r="C102" s="174"/>
      <c r="D102" s="174"/>
      <c r="E102" s="174"/>
      <c r="F102" s="174"/>
      <c r="G102" s="600"/>
      <c r="H102" s="174"/>
      <c r="I102" s="174"/>
      <c r="J102" s="174"/>
      <c r="K102" s="175"/>
      <c r="M102" s="173" t="s">
        <v>96</v>
      </c>
      <c r="N102" s="174"/>
      <c r="O102" s="174"/>
      <c r="P102" s="174"/>
      <c r="Q102" s="174"/>
      <c r="R102" s="175"/>
    </row>
    <row r="103" spans="1:18" s="7" customFormat="1" ht="12.75" customHeight="1" x14ac:dyDescent="0.2">
      <c r="A103" s="1172"/>
      <c r="B103" s="1173"/>
      <c r="C103" s="1173"/>
      <c r="D103" s="1173"/>
      <c r="E103" s="1173"/>
      <c r="F103" s="1173"/>
      <c r="G103" s="1173"/>
      <c r="H103" s="1173"/>
      <c r="I103" s="1173"/>
      <c r="J103" s="1173"/>
      <c r="K103" s="1174"/>
      <c r="M103" s="162"/>
      <c r="R103" s="38"/>
    </row>
    <row r="104" spans="1:18" s="7" customFormat="1" ht="13.5" customHeight="1" thickBot="1" x14ac:dyDescent="0.25">
      <c r="A104" s="1179"/>
      <c r="B104" s="1180"/>
      <c r="C104" s="1180"/>
      <c r="D104" s="1180"/>
      <c r="E104" s="1180"/>
      <c r="F104" s="1180"/>
      <c r="G104" s="1180"/>
      <c r="H104" s="1180"/>
      <c r="I104" s="1180"/>
      <c r="J104" s="1180"/>
      <c r="K104" s="1181"/>
      <c r="M104" s="169"/>
      <c r="N104" s="170"/>
      <c r="O104" s="170"/>
      <c r="P104" s="170"/>
      <c r="Q104" s="170"/>
      <c r="R104" s="172"/>
    </row>
    <row r="105" spans="1:18" s="7" customFormat="1" ht="12.75" customHeight="1" x14ac:dyDescent="0.2">
      <c r="A105" s="1137"/>
      <c r="B105" s="1138"/>
      <c r="C105" s="1138"/>
      <c r="D105" s="1138"/>
      <c r="E105" s="1138"/>
      <c r="F105" s="1138"/>
      <c r="G105" s="1138"/>
      <c r="H105" s="1138"/>
      <c r="I105" s="1138"/>
      <c r="J105" s="1138"/>
      <c r="K105" s="1139"/>
    </row>
    <row r="106" spans="1:18" s="7" customFormat="1" ht="12.75" customHeight="1" x14ac:dyDescent="0.25">
      <c r="A106" s="1185"/>
      <c r="B106" s="1138"/>
      <c r="C106" s="1138"/>
      <c r="D106" s="1138"/>
      <c r="E106" s="1138"/>
      <c r="F106" s="1138"/>
      <c r="G106" s="1138"/>
      <c r="H106" s="1138"/>
      <c r="I106" s="1138"/>
      <c r="J106" s="1138"/>
      <c r="K106" s="1139"/>
      <c r="N106" s="1184" t="s">
        <v>302</v>
      </c>
      <c r="O106" s="1184"/>
      <c r="P106" s="1184"/>
      <c r="Q106" s="1184"/>
    </row>
    <row r="107" spans="1:18" s="7" customFormat="1" ht="12.75" customHeight="1" x14ac:dyDescent="0.2">
      <c r="A107" s="1137"/>
      <c r="B107" s="1138"/>
      <c r="C107" s="1138"/>
      <c r="D107" s="1138"/>
      <c r="E107" s="1138"/>
      <c r="F107" s="1138"/>
      <c r="G107" s="1138"/>
      <c r="H107" s="1138"/>
      <c r="I107" s="1138"/>
      <c r="J107" s="1138"/>
      <c r="K107" s="1139"/>
      <c r="N107" s="416" t="s">
        <v>272</v>
      </c>
      <c r="O107" s="416"/>
      <c r="P107" s="416"/>
      <c r="Q107" s="416"/>
    </row>
    <row r="108" spans="1:18" s="7" customFormat="1" ht="13.5" customHeight="1" thickBot="1" x14ac:dyDescent="0.3">
      <c r="A108" s="1162"/>
      <c r="B108" s="1163"/>
      <c r="C108" s="1163"/>
      <c r="D108" s="1163"/>
      <c r="E108" s="1163"/>
      <c r="F108" s="1163"/>
      <c r="G108" s="1163"/>
      <c r="H108" s="1163"/>
      <c r="I108" s="1163"/>
      <c r="J108" s="1163"/>
      <c r="K108" s="1164"/>
      <c r="R108" s="4" t="s">
        <v>318</v>
      </c>
    </row>
    <row r="109" spans="1:18" s="7" customFormat="1" ht="10" x14ac:dyDescent="0.2">
      <c r="G109" s="579"/>
    </row>
    <row r="110" spans="1:18" s="7" customFormat="1" ht="13.5" thickBot="1" x14ac:dyDescent="0.35">
      <c r="A110" s="1190" t="s">
        <v>97</v>
      </c>
      <c r="B110" s="1191"/>
      <c r="C110" s="1191"/>
      <c r="D110" s="1191"/>
      <c r="E110" s="1191"/>
      <c r="F110" s="1191"/>
      <c r="G110" s="1191"/>
      <c r="H110" s="1191"/>
      <c r="I110" s="1191"/>
      <c r="J110" s="1191"/>
      <c r="K110" s="1191"/>
      <c r="L110" s="1191"/>
      <c r="M110" s="1191"/>
      <c r="N110" s="1191"/>
      <c r="O110" s="1191"/>
      <c r="P110" s="1191"/>
      <c r="Q110" s="1191"/>
      <c r="R110" s="1192"/>
    </row>
    <row r="111" spans="1:18" s="7" customFormat="1" ht="10" x14ac:dyDescent="0.2">
      <c r="G111" s="579"/>
    </row>
    <row r="112" spans="1:18" s="7" customFormat="1" ht="11.5" x14ac:dyDescent="0.25">
      <c r="A112" s="176" t="str">
        <f>A7</f>
        <v>Nombre del estudio:</v>
      </c>
      <c r="C112" s="1161" t="str">
        <f>IF(C7="","",C7)</f>
        <v>Hazama</v>
      </c>
      <c r="D112" s="1161"/>
      <c r="E112" s="1161"/>
      <c r="F112" s="1161"/>
      <c r="G112" s="1161"/>
      <c r="H112" s="1161"/>
      <c r="I112" s="1161"/>
      <c r="P112" s="177" t="str">
        <f>P7</f>
        <v>Id. Mezcla:</v>
      </c>
      <c r="Q112" s="1161" t="str">
        <f>IF(Q7="","",Q7)</f>
        <v>Diseño 1</v>
      </c>
      <c r="R112" s="1161"/>
    </row>
    <row r="113" spans="1:18" s="7" customFormat="1" ht="11.5" x14ac:dyDescent="0.25">
      <c r="A113" s="176" t="str">
        <f>A8</f>
        <v>Código del Concreto:</v>
      </c>
      <c r="C113" s="1136" t="str">
        <f>IF(C8="","",C8)</f>
        <v>B-042-4-B-28-14-0-O-110</v>
      </c>
      <c r="D113" s="1136"/>
      <c r="E113" s="1136"/>
      <c r="F113" s="1136"/>
      <c r="G113" s="601"/>
    </row>
    <row r="114" spans="1:18" s="7" customFormat="1" ht="10" x14ac:dyDescent="0.2">
      <c r="G114" s="579"/>
    </row>
    <row r="115" spans="1:18" s="7" customFormat="1" ht="10.5" x14ac:dyDescent="0.25">
      <c r="A115" s="178" t="s">
        <v>98</v>
      </c>
      <c r="B115" s="179"/>
      <c r="C115" s="179"/>
      <c r="D115" s="179"/>
      <c r="E115" s="179"/>
      <c r="F115" s="179"/>
      <c r="G115" s="602"/>
      <c r="H115" s="179"/>
      <c r="I115" s="179"/>
      <c r="J115" s="179"/>
      <c r="K115" s="179"/>
      <c r="L115" s="179"/>
      <c r="M115" s="179"/>
      <c r="N115" s="179"/>
      <c r="O115" s="179"/>
      <c r="P115" s="180"/>
      <c r="Q115" s="1177" t="s">
        <v>99</v>
      </c>
      <c r="R115" s="1178"/>
    </row>
    <row r="116" spans="1:18" s="7" customFormat="1" ht="33.75" customHeight="1" x14ac:dyDescent="0.2">
      <c r="A116" s="181" t="s">
        <v>20</v>
      </c>
      <c r="B116" s="182" t="s">
        <v>100</v>
      </c>
      <c r="C116" s="183" t="s">
        <v>101</v>
      </c>
      <c r="D116" s="182" t="s">
        <v>102</v>
      </c>
      <c r="E116" s="184" t="s">
        <v>103</v>
      </c>
      <c r="F116" s="182" t="s">
        <v>20</v>
      </c>
      <c r="G116" s="603"/>
      <c r="H116" s="182" t="s">
        <v>100</v>
      </c>
      <c r="I116" s="183" t="s">
        <v>101</v>
      </c>
      <c r="J116" s="182" t="s">
        <v>102</v>
      </c>
      <c r="K116" s="184" t="s">
        <v>103</v>
      </c>
      <c r="L116" s="182" t="s">
        <v>20</v>
      </c>
      <c r="M116" s="182" t="s">
        <v>100</v>
      </c>
      <c r="N116" s="183" t="s">
        <v>101</v>
      </c>
      <c r="O116" s="182" t="s">
        <v>102</v>
      </c>
      <c r="P116" s="185" t="s">
        <v>103</v>
      </c>
      <c r="Q116" s="1175" t="s">
        <v>104</v>
      </c>
      <c r="R116" s="1176"/>
    </row>
    <row r="117" spans="1:18" s="7" customFormat="1" ht="10" x14ac:dyDescent="0.2">
      <c r="A117" s="186" t="str">
        <f t="shared" ref="A117:B124" si="25">IF(A74="","",A74)</f>
        <v>CO</v>
      </c>
      <c r="B117" s="187">
        <f t="shared" si="25"/>
        <v>335</v>
      </c>
      <c r="C117" s="957">
        <v>3200</v>
      </c>
      <c r="D117" s="188" t="str">
        <f>IF(A117="","","$/Ton")</f>
        <v>$/Ton</v>
      </c>
      <c r="E117" s="189">
        <f t="shared" ref="E117:E123" si="26">IF(A117="","",C117*B117/1000)</f>
        <v>1072</v>
      </c>
      <c r="F117" s="102" t="str">
        <f t="shared" ref="F117:F122" si="27">+F74</f>
        <v>EDV</v>
      </c>
      <c r="G117" s="604"/>
      <c r="H117" s="190">
        <f t="shared" ref="H117:H122" si="28">IF(H74="","",H74)</f>
        <v>1.675</v>
      </c>
      <c r="I117" s="957">
        <v>30</v>
      </c>
      <c r="J117" s="188" t="str">
        <f t="shared" ref="J117:J122" si="29">IF(F117="","","$/litros")</f>
        <v>$/litros</v>
      </c>
      <c r="K117" s="189">
        <f t="shared" ref="K117:K122" si="30">IF(F117="","",I117*H117)</f>
        <v>50.25</v>
      </c>
      <c r="L117" s="102" t="str">
        <f t="shared" ref="L117:L122" si="31">+L74</f>
        <v/>
      </c>
      <c r="M117" s="187" t="str">
        <f t="shared" ref="M117:M122" si="32">IF(M74="","",M74)</f>
        <v/>
      </c>
      <c r="N117" s="957">
        <v>0</v>
      </c>
      <c r="O117" s="188" t="str">
        <f t="shared" ref="O117:O122" si="33">IF(L117="","","$/kg")</f>
        <v/>
      </c>
      <c r="P117" s="191" t="str">
        <f t="shared" ref="P117:P122" si="34">IF(M117="","",M117*N117)</f>
        <v/>
      </c>
      <c r="Q117" s="1186">
        <f>E125+K125+P125</f>
        <v>1812.7023322787772</v>
      </c>
      <c r="R117" s="1187"/>
    </row>
    <row r="118" spans="1:18" s="7" customFormat="1" ht="10" x14ac:dyDescent="0.2">
      <c r="A118" s="186" t="str">
        <f t="shared" si="25"/>
        <v/>
      </c>
      <c r="B118" s="187" t="str">
        <f t="shared" si="25"/>
        <v/>
      </c>
      <c r="C118" s="957"/>
      <c r="D118" s="188" t="str">
        <f>IF(A118="","","$/Ton")</f>
        <v/>
      </c>
      <c r="E118" s="189" t="str">
        <f t="shared" si="26"/>
        <v/>
      </c>
      <c r="F118" s="102" t="str">
        <f t="shared" si="27"/>
        <v>ECG</v>
      </c>
      <c r="G118" s="604"/>
      <c r="H118" s="190">
        <f t="shared" si="28"/>
        <v>1.34</v>
      </c>
      <c r="I118" s="957">
        <v>45</v>
      </c>
      <c r="J118" s="188" t="str">
        <f t="shared" si="29"/>
        <v>$/litros</v>
      </c>
      <c r="K118" s="189">
        <f t="shared" si="30"/>
        <v>60.300000000000004</v>
      </c>
      <c r="L118" s="102" t="str">
        <f t="shared" si="31"/>
        <v/>
      </c>
      <c r="M118" s="187" t="str">
        <f t="shared" si="32"/>
        <v/>
      </c>
      <c r="N118" s="957"/>
      <c r="O118" s="188" t="str">
        <f t="shared" si="33"/>
        <v/>
      </c>
      <c r="P118" s="191" t="str">
        <f t="shared" si="34"/>
        <v/>
      </c>
      <c r="Q118" s="1186"/>
      <c r="R118" s="1187"/>
    </row>
    <row r="119" spans="1:18" s="7" customFormat="1" ht="10.5" thickBot="1" x14ac:dyDescent="0.25">
      <c r="A119" s="186" t="str">
        <f t="shared" si="25"/>
        <v>A1</v>
      </c>
      <c r="B119" s="187">
        <f t="shared" si="25"/>
        <v>175</v>
      </c>
      <c r="C119" s="957">
        <v>155</v>
      </c>
      <c r="D119" s="188" t="str">
        <f>IF(A119="","","$/m3")</f>
        <v>$/m3</v>
      </c>
      <c r="E119" s="189">
        <f t="shared" si="26"/>
        <v>27.125</v>
      </c>
      <c r="F119" s="102" t="str">
        <f t="shared" si="27"/>
        <v>EDF</v>
      </c>
      <c r="G119" s="604"/>
      <c r="H119" s="190">
        <f t="shared" si="28"/>
        <v>0.1</v>
      </c>
      <c r="I119" s="957">
        <v>436.35</v>
      </c>
      <c r="J119" s="188" t="str">
        <f t="shared" si="29"/>
        <v>$/litros</v>
      </c>
      <c r="K119" s="189">
        <f t="shared" si="30"/>
        <v>43.635000000000005</v>
      </c>
      <c r="L119" s="102" t="str">
        <f t="shared" si="31"/>
        <v/>
      </c>
      <c r="M119" s="187" t="str">
        <f t="shared" si="32"/>
        <v/>
      </c>
      <c r="N119" s="957"/>
      <c r="O119" s="188" t="str">
        <f t="shared" si="33"/>
        <v/>
      </c>
      <c r="P119" s="191" t="str">
        <f t="shared" si="34"/>
        <v/>
      </c>
      <c r="Q119" s="1188"/>
      <c r="R119" s="1189"/>
    </row>
    <row r="120" spans="1:18" s="7" customFormat="1" ht="10" x14ac:dyDescent="0.2">
      <c r="A120" s="186" t="str">
        <f t="shared" si="25"/>
        <v>AC2</v>
      </c>
      <c r="B120" s="187">
        <f t="shared" si="25"/>
        <v>917.57813181349184</v>
      </c>
      <c r="C120" s="957">
        <v>411</v>
      </c>
      <c r="D120" s="188" t="str">
        <f>IF(A120="","","$/Ton")</f>
        <v>$/Ton</v>
      </c>
      <c r="E120" s="189">
        <f t="shared" si="26"/>
        <v>377.12461217534513</v>
      </c>
      <c r="F120" s="102" t="str">
        <f t="shared" si="27"/>
        <v/>
      </c>
      <c r="G120" s="604"/>
      <c r="H120" s="190" t="str">
        <f t="shared" si="28"/>
        <v/>
      </c>
      <c r="I120" s="957"/>
      <c r="J120" s="188" t="str">
        <f t="shared" si="29"/>
        <v/>
      </c>
      <c r="K120" s="189" t="str">
        <f t="shared" si="30"/>
        <v/>
      </c>
      <c r="L120" s="102" t="str">
        <f t="shared" si="31"/>
        <v/>
      </c>
      <c r="M120" s="187" t="str">
        <f t="shared" si="32"/>
        <v/>
      </c>
      <c r="N120" s="957"/>
      <c r="O120" s="188" t="str">
        <f t="shared" si="33"/>
        <v/>
      </c>
      <c r="P120" s="191" t="str">
        <f t="shared" si="34"/>
        <v/>
      </c>
    </row>
    <row r="121" spans="1:18" s="7" customFormat="1" ht="10" x14ac:dyDescent="0.2">
      <c r="A121" s="186" t="str">
        <f t="shared" si="25"/>
        <v/>
      </c>
      <c r="B121" s="187" t="str">
        <f t="shared" si="25"/>
        <v/>
      </c>
      <c r="C121" s="957"/>
      <c r="D121" s="188" t="str">
        <f>IF(A121="","","$/Ton")</f>
        <v/>
      </c>
      <c r="E121" s="189" t="str">
        <f t="shared" si="26"/>
        <v/>
      </c>
      <c r="F121" s="102" t="str">
        <f t="shared" si="27"/>
        <v/>
      </c>
      <c r="G121" s="604"/>
      <c r="H121" s="190" t="str">
        <f t="shared" si="28"/>
        <v/>
      </c>
      <c r="I121" s="957"/>
      <c r="J121" s="188" t="str">
        <f t="shared" si="29"/>
        <v/>
      </c>
      <c r="K121" s="189" t="str">
        <f t="shared" si="30"/>
        <v/>
      </c>
      <c r="L121" s="102" t="str">
        <f t="shared" si="31"/>
        <v/>
      </c>
      <c r="M121" s="187" t="str">
        <f t="shared" si="32"/>
        <v/>
      </c>
      <c r="N121" s="957"/>
      <c r="O121" s="188" t="str">
        <f t="shared" si="33"/>
        <v/>
      </c>
      <c r="P121" s="191" t="str">
        <f t="shared" si="34"/>
        <v/>
      </c>
    </row>
    <row r="122" spans="1:18" s="7" customFormat="1" ht="10" x14ac:dyDescent="0.2">
      <c r="A122" s="186" t="str">
        <f t="shared" si="25"/>
        <v>GB2</v>
      </c>
      <c r="B122" s="187">
        <f t="shared" si="25"/>
        <v>954.28125708603159</v>
      </c>
      <c r="C122" s="957">
        <v>191</v>
      </c>
      <c r="D122" s="188" t="str">
        <f>IF(A122="","","$/Ton")</f>
        <v>$/Ton</v>
      </c>
      <c r="E122" s="189">
        <f t="shared" si="26"/>
        <v>182.26772010343205</v>
      </c>
      <c r="F122" s="102" t="str">
        <f t="shared" si="27"/>
        <v/>
      </c>
      <c r="G122" s="604"/>
      <c r="H122" s="190" t="str">
        <f t="shared" si="28"/>
        <v/>
      </c>
      <c r="I122" s="957"/>
      <c r="J122" s="188" t="str">
        <f t="shared" si="29"/>
        <v/>
      </c>
      <c r="K122" s="189" t="str">
        <f t="shared" si="30"/>
        <v/>
      </c>
      <c r="L122" s="102" t="str">
        <f t="shared" si="31"/>
        <v/>
      </c>
      <c r="M122" s="187" t="str">
        <f t="shared" si="32"/>
        <v/>
      </c>
      <c r="N122" s="957"/>
      <c r="O122" s="188" t="str">
        <f t="shared" si="33"/>
        <v/>
      </c>
      <c r="P122" s="191" t="str">
        <f t="shared" si="34"/>
        <v/>
      </c>
    </row>
    <row r="123" spans="1:18" s="7" customFormat="1" ht="10" x14ac:dyDescent="0.2">
      <c r="A123" s="186" t="str">
        <f t="shared" si="25"/>
        <v/>
      </c>
      <c r="B123" s="187" t="str">
        <f t="shared" si="25"/>
        <v/>
      </c>
      <c r="C123" s="957">
        <v>191</v>
      </c>
      <c r="D123" s="188" t="str">
        <f>IF(A123="","","$/Ton")</f>
        <v/>
      </c>
      <c r="E123" s="189" t="str">
        <f t="shared" si="26"/>
        <v/>
      </c>
      <c r="F123" s="192"/>
      <c r="G123" s="605"/>
      <c r="H123" s="192"/>
      <c r="I123" s="192"/>
      <c r="J123" s="192"/>
      <c r="K123" s="193"/>
      <c r="L123" s="192"/>
      <c r="M123" s="192"/>
      <c r="N123" s="192"/>
      <c r="O123" s="192"/>
      <c r="P123" s="194"/>
    </row>
    <row r="124" spans="1:18" s="7" customFormat="1" ht="10" x14ac:dyDescent="0.2">
      <c r="A124" s="186" t="str">
        <f t="shared" si="25"/>
        <v/>
      </c>
      <c r="B124" s="187" t="str">
        <f t="shared" si="25"/>
        <v/>
      </c>
      <c r="C124" s="958">
        <v>186</v>
      </c>
      <c r="D124" s="188" t="str">
        <f>IF(A124="","","$/Ton")</f>
        <v/>
      </c>
      <c r="E124" s="189" t="str">
        <f>IF(A124="","",C124*B124/1000)</f>
        <v/>
      </c>
      <c r="F124" s="570"/>
      <c r="G124" s="579"/>
      <c r="H124" s="570"/>
      <c r="I124" s="570"/>
      <c r="J124" s="570"/>
      <c r="K124" s="635"/>
      <c r="L124" s="570"/>
      <c r="M124" s="570"/>
      <c r="N124" s="570"/>
      <c r="O124" s="570"/>
      <c r="P124" s="636"/>
    </row>
    <row r="125" spans="1:18" s="7" customFormat="1" ht="11" thickBot="1" x14ac:dyDescent="0.3">
      <c r="A125" s="195" t="s">
        <v>105</v>
      </c>
      <c r="B125" s="154"/>
      <c r="C125" s="154"/>
      <c r="D125" s="154"/>
      <c r="E125" s="196">
        <f>SUM(E117:E124)</f>
        <v>1658.5173322787773</v>
      </c>
      <c r="F125" s="154"/>
      <c r="G125" s="594"/>
      <c r="H125" s="154"/>
      <c r="I125" s="154"/>
      <c r="J125" s="154"/>
      <c r="K125" s="197">
        <f>SUM(K117:K122)</f>
        <v>154.185</v>
      </c>
      <c r="L125" s="154"/>
      <c r="M125" s="154"/>
      <c r="N125" s="154"/>
      <c r="O125" s="154"/>
      <c r="P125" s="198">
        <f>SUM(P117:P122)</f>
        <v>0</v>
      </c>
    </row>
    <row r="126" spans="1:18" s="7" customFormat="1" ht="3.75" customHeight="1" x14ac:dyDescent="0.2">
      <c r="G126" s="579"/>
    </row>
    <row r="127" spans="1:18" s="202" customFormat="1" ht="12.75" hidden="1" customHeight="1" x14ac:dyDescent="0.2">
      <c r="A127" s="199" t="str">
        <f>+A15</f>
        <v>CO</v>
      </c>
      <c r="B127" s="200">
        <f>IF(H15&gt;0,(I8*H15)/C15,0)</f>
        <v>107.37179487179486</v>
      </c>
      <c r="C127" s="201" t="s">
        <v>106</v>
      </c>
      <c r="G127" s="579"/>
      <c r="I127" s="203" t="str">
        <f t="shared" ref="I127:I132" si="35">+I15</f>
        <v>EDV</v>
      </c>
      <c r="J127" s="201">
        <f t="shared" ref="J127:J132" si="36">+K127*J15</f>
        <v>1.6750000000000003</v>
      </c>
      <c r="K127" s="201">
        <f t="shared" ref="K127:K132" si="37">IF(C49=2,L15*I$166/1000,L15)</f>
        <v>1.6750000000000003</v>
      </c>
      <c r="L127" s="202" t="s">
        <v>123</v>
      </c>
      <c r="N127" s="203">
        <f t="shared" ref="N127:N132" si="38">+N15</f>
        <v>0</v>
      </c>
      <c r="O127" s="201">
        <f t="shared" ref="O127:O132" si="39">IF(E49=1,Q15*I$166/100,Q15)</f>
        <v>0</v>
      </c>
      <c r="P127" s="201">
        <f t="shared" ref="P127:P132" si="40">IF(O15=0,0,IF(Q15&lt;&gt;"",O127/O15,0))</f>
        <v>0</v>
      </c>
      <c r="Q127" s="202" t="s">
        <v>123</v>
      </c>
    </row>
    <row r="128" spans="1:18" s="202" customFormat="1" ht="12.75" hidden="1" customHeight="1" x14ac:dyDescent="0.2">
      <c r="A128" s="199">
        <f>+A16</f>
        <v>0</v>
      </c>
      <c r="B128" s="200">
        <f>IF(H16="",0,(I166*H16)/C16)</f>
        <v>0</v>
      </c>
      <c r="C128" s="201" t="s">
        <v>106</v>
      </c>
      <c r="G128" s="579"/>
      <c r="I128" s="203" t="str">
        <f t="shared" si="35"/>
        <v>ECG</v>
      </c>
      <c r="J128" s="201">
        <f t="shared" si="36"/>
        <v>1.3400000000000003</v>
      </c>
      <c r="K128" s="201">
        <f t="shared" si="37"/>
        <v>1.3400000000000003</v>
      </c>
      <c r="L128" s="202" t="s">
        <v>123</v>
      </c>
      <c r="N128" s="203">
        <f t="shared" si="38"/>
        <v>0</v>
      </c>
      <c r="O128" s="201">
        <f t="shared" si="39"/>
        <v>0</v>
      </c>
      <c r="P128" s="201">
        <f t="shared" si="40"/>
        <v>0</v>
      </c>
      <c r="Q128" s="202" t="s">
        <v>123</v>
      </c>
    </row>
    <row r="129" spans="1:23" s="202" customFormat="1" ht="12.75" hidden="1" customHeight="1" x14ac:dyDescent="0.2">
      <c r="A129" s="199" t="s">
        <v>11</v>
      </c>
      <c r="B129" s="200">
        <f>IF(I9&gt;0,I9,0)</f>
        <v>175</v>
      </c>
      <c r="C129" s="201" t="s">
        <v>106</v>
      </c>
      <c r="G129" s="579"/>
      <c r="I129" s="203" t="str">
        <f t="shared" si="35"/>
        <v>EDF</v>
      </c>
      <c r="J129" s="201">
        <f t="shared" si="36"/>
        <v>0.1</v>
      </c>
      <c r="K129" s="201">
        <f t="shared" si="37"/>
        <v>0.1</v>
      </c>
      <c r="L129" s="202" t="s">
        <v>123</v>
      </c>
      <c r="N129" s="203">
        <f t="shared" si="38"/>
        <v>0</v>
      </c>
      <c r="O129" s="201">
        <f t="shared" si="39"/>
        <v>0</v>
      </c>
      <c r="P129" s="201">
        <f t="shared" si="40"/>
        <v>0</v>
      </c>
      <c r="Q129" s="202" t="s">
        <v>123</v>
      </c>
    </row>
    <row r="130" spans="1:23" s="202" customFormat="1" ht="12.75" hidden="1" customHeight="1" x14ac:dyDescent="0.2">
      <c r="A130" s="199" t="s">
        <v>30</v>
      </c>
      <c r="B130" s="201">
        <f>IF(OR(K96=0,K96=""),L9*1000,K96*1000/100)</f>
        <v>10</v>
      </c>
      <c r="C130" s="201" t="s">
        <v>106</v>
      </c>
      <c r="G130" s="579"/>
      <c r="I130" s="203">
        <f t="shared" si="35"/>
        <v>0</v>
      </c>
      <c r="J130" s="201">
        <f t="shared" si="36"/>
        <v>0</v>
      </c>
      <c r="K130" s="201">
        <f t="shared" si="37"/>
        <v>0</v>
      </c>
      <c r="L130" s="202" t="s">
        <v>123</v>
      </c>
      <c r="N130" s="203">
        <f t="shared" si="38"/>
        <v>0</v>
      </c>
      <c r="O130" s="201">
        <f t="shared" si="39"/>
        <v>0</v>
      </c>
      <c r="P130" s="201">
        <f t="shared" si="40"/>
        <v>0</v>
      </c>
      <c r="Q130" s="202" t="s">
        <v>123</v>
      </c>
    </row>
    <row r="131" spans="1:23" s="202" customFormat="1" ht="12.75" hidden="1" customHeight="1" x14ac:dyDescent="0.2">
      <c r="G131" s="579"/>
      <c r="I131" s="203">
        <f t="shared" si="35"/>
        <v>0</v>
      </c>
      <c r="J131" s="201">
        <f t="shared" si="36"/>
        <v>0</v>
      </c>
      <c r="K131" s="201">
        <f t="shared" si="37"/>
        <v>0</v>
      </c>
      <c r="L131" s="202" t="s">
        <v>123</v>
      </c>
      <c r="N131" s="203">
        <f t="shared" si="38"/>
        <v>0</v>
      </c>
      <c r="O131" s="201">
        <f t="shared" si="39"/>
        <v>0</v>
      </c>
      <c r="P131" s="201">
        <f t="shared" si="40"/>
        <v>0</v>
      </c>
      <c r="Q131" s="202" t="s">
        <v>123</v>
      </c>
    </row>
    <row r="132" spans="1:23" s="202" customFormat="1" ht="12.75" hidden="1" customHeight="1" x14ac:dyDescent="0.2">
      <c r="G132" s="579"/>
      <c r="I132" s="203">
        <f t="shared" si="35"/>
        <v>0</v>
      </c>
      <c r="J132" s="201">
        <f t="shared" si="36"/>
        <v>0</v>
      </c>
      <c r="K132" s="201">
        <f t="shared" si="37"/>
        <v>0</v>
      </c>
      <c r="L132" s="202" t="s">
        <v>123</v>
      </c>
      <c r="N132" s="203">
        <f t="shared" si="38"/>
        <v>0</v>
      </c>
      <c r="O132" s="201">
        <f t="shared" si="39"/>
        <v>0</v>
      </c>
      <c r="P132" s="201">
        <f t="shared" si="40"/>
        <v>0</v>
      </c>
      <c r="Q132" s="202" t="s">
        <v>123</v>
      </c>
    </row>
    <row r="133" spans="1:23" s="202" customFormat="1" ht="12.75" hidden="1" customHeight="1" x14ac:dyDescent="0.2">
      <c r="B133" s="204" t="s">
        <v>31</v>
      </c>
      <c r="C133" s="205"/>
      <c r="G133" s="579"/>
      <c r="J133" s="206" t="s">
        <v>32</v>
      </c>
      <c r="K133" s="204" t="s">
        <v>33</v>
      </c>
      <c r="L133" s="205"/>
      <c r="O133" s="206" t="s">
        <v>32</v>
      </c>
      <c r="P133" s="204" t="s">
        <v>34</v>
      </c>
      <c r="Q133" s="205"/>
    </row>
    <row r="134" spans="1:23" s="202" customFormat="1" ht="12.75" hidden="1" customHeight="1" x14ac:dyDescent="0.2">
      <c r="B134" s="207">
        <f>SUM(B127:B130)</f>
        <v>292.37179487179486</v>
      </c>
      <c r="C134" s="208" t="s">
        <v>123</v>
      </c>
      <c r="G134" s="579"/>
      <c r="J134" s="209">
        <f>SUM(J127:J132)</f>
        <v>3.1150000000000007</v>
      </c>
      <c r="K134" s="210">
        <f>SUM(K127:K132)</f>
        <v>3.1150000000000007</v>
      </c>
      <c r="L134" s="208" t="s">
        <v>123</v>
      </c>
      <c r="O134" s="209">
        <f>SUM(O127:O132)</f>
        <v>0</v>
      </c>
      <c r="P134" s="210">
        <f>SUM(P127:P132)</f>
        <v>0</v>
      </c>
      <c r="Q134" s="208" t="s">
        <v>123</v>
      </c>
    </row>
    <row r="135" spans="1:23" s="202" customFormat="1" ht="12.75" hidden="1" customHeight="1" x14ac:dyDescent="0.2">
      <c r="C135" s="211"/>
      <c r="G135" s="579"/>
    </row>
    <row r="136" spans="1:23" s="202" customFormat="1" ht="12.75" hidden="1" customHeight="1" x14ac:dyDescent="0.35">
      <c r="A136" s="202" t="s">
        <v>124</v>
      </c>
      <c r="B136" s="200">
        <f>+B134+K134+P134</f>
        <v>295.48679487179487</v>
      </c>
      <c r="C136" s="202" t="s">
        <v>123</v>
      </c>
      <c r="D136" s="202" t="s">
        <v>125</v>
      </c>
      <c r="E136" s="212">
        <f>+N8-B136</f>
        <v>704.51320512820507</v>
      </c>
      <c r="G136" s="579"/>
    </row>
    <row r="137" spans="1:23" s="202" customFormat="1" ht="12.75" hidden="1" customHeight="1" x14ac:dyDescent="0.2">
      <c r="B137" s="211"/>
      <c r="G137" s="579"/>
    </row>
    <row r="138" spans="1:23" s="202" customFormat="1" ht="10.5" hidden="1" thickBot="1" x14ac:dyDescent="0.25">
      <c r="G138" s="579"/>
    </row>
    <row r="139" spans="1:23" s="202" customFormat="1" ht="10" hidden="1" x14ac:dyDescent="0.2">
      <c r="B139" s="213" t="s">
        <v>35</v>
      </c>
      <c r="C139" s="214"/>
      <c r="D139" s="215" t="s">
        <v>36</v>
      </c>
      <c r="E139" s="214"/>
      <c r="F139" s="213" t="s">
        <v>37</v>
      </c>
      <c r="G139" s="580"/>
      <c r="H139" s="214"/>
      <c r="I139" s="213" t="s">
        <v>38</v>
      </c>
      <c r="J139" s="214"/>
      <c r="K139" s="213" t="s">
        <v>39</v>
      </c>
      <c r="L139" s="214"/>
      <c r="M139" s="213" t="s">
        <v>40</v>
      </c>
      <c r="N139" s="214"/>
      <c r="O139" s="657" t="s">
        <v>326</v>
      </c>
      <c r="P139" s="641"/>
      <c r="Q139" s="658" t="s">
        <v>334</v>
      </c>
      <c r="R139" s="641"/>
      <c r="S139" s="213" t="s">
        <v>41</v>
      </c>
      <c r="T139" s="214"/>
      <c r="V139" s="445" t="s">
        <v>333</v>
      </c>
      <c r="W139" s="7">
        <f>+E136/(1+L8)</f>
        <v>345.34961035696324</v>
      </c>
    </row>
    <row r="140" spans="1:23" s="202" customFormat="1" ht="10" hidden="1" x14ac:dyDescent="0.2">
      <c r="B140" s="216" t="s">
        <v>42</v>
      </c>
      <c r="C140" s="217" t="s">
        <v>43</v>
      </c>
      <c r="D140" s="216" t="s">
        <v>42</v>
      </c>
      <c r="E140" s="217" t="s">
        <v>43</v>
      </c>
      <c r="F140" s="216" t="s">
        <v>42</v>
      </c>
      <c r="G140" s="581"/>
      <c r="H140" s="217" t="s">
        <v>43</v>
      </c>
      <c r="I140" s="216" t="s">
        <v>42</v>
      </c>
      <c r="J140" s="217" t="s">
        <v>43</v>
      </c>
      <c r="K140" s="216" t="s">
        <v>42</v>
      </c>
      <c r="L140" s="217" t="s">
        <v>43</v>
      </c>
      <c r="M140" s="216" t="s">
        <v>42</v>
      </c>
      <c r="N140" s="217" t="s">
        <v>43</v>
      </c>
      <c r="O140" s="642" t="s">
        <v>42</v>
      </c>
      <c r="P140" s="643" t="s">
        <v>43</v>
      </c>
      <c r="Q140" s="642" t="s">
        <v>42</v>
      </c>
      <c r="R140" s="643" t="s">
        <v>43</v>
      </c>
      <c r="S140" s="218" t="s">
        <v>44</v>
      </c>
      <c r="T140" s="217" t="s">
        <v>43</v>
      </c>
      <c r="V140" s="445" t="s">
        <v>280</v>
      </c>
      <c r="W140" s="56">
        <f>+E136-W139</f>
        <v>359.16359477124183</v>
      </c>
    </row>
    <row r="141" spans="1:23" s="202" customFormat="1" ht="10" hidden="1" x14ac:dyDescent="0.2">
      <c r="A141" s="219"/>
      <c r="B141" s="220">
        <f>C141*C15</f>
        <v>335</v>
      </c>
      <c r="C141" s="221">
        <f>B127</f>
        <v>107.37179487179486</v>
      </c>
      <c r="D141" s="220">
        <f>+E141*$C$15</f>
        <v>335</v>
      </c>
      <c r="E141" s="221">
        <f>+$B$127</f>
        <v>107.37179487179486</v>
      </c>
      <c r="F141" s="220">
        <f>H141*$C$15</f>
        <v>335</v>
      </c>
      <c r="G141" s="606"/>
      <c r="H141" s="221">
        <f>$B$127</f>
        <v>107.37179487179486</v>
      </c>
      <c r="I141" s="220">
        <f>J141*C15</f>
        <v>335</v>
      </c>
      <c r="J141" s="221">
        <f>B127</f>
        <v>107.37179487179486</v>
      </c>
      <c r="K141" s="220">
        <f>L141*C15</f>
        <v>335</v>
      </c>
      <c r="L141" s="221">
        <f>B127</f>
        <v>107.37179487179486</v>
      </c>
      <c r="M141" s="220">
        <f>N141*C15</f>
        <v>335</v>
      </c>
      <c r="N141" s="221">
        <f>B127</f>
        <v>107.37179487179486</v>
      </c>
      <c r="O141" s="644">
        <f>+P141*$C$15</f>
        <v>335</v>
      </c>
      <c r="P141" s="645">
        <f>+$B$127</f>
        <v>107.37179487179486</v>
      </c>
      <c r="Q141" s="644">
        <f>R141*$C$15</f>
        <v>335</v>
      </c>
      <c r="R141" s="645">
        <f>$B$127</f>
        <v>107.37179487179486</v>
      </c>
      <c r="S141" s="222">
        <f>IF(H$49=8,Q141,(IF(H$49=7,O141,(IF(H$49=6,M141,(IF(H$49=5,K141,(IF(H$49=4,I141,(IF(H$49=3,F141,(IF(H$49=2,D141,B141)))))))))))))</f>
        <v>335</v>
      </c>
      <c r="T141" s="223">
        <f>IF(H$49=8,R141,(IF(H$49=7,P141,(IF(H$49=6,N141,(IF(H$49=5,L141,(IF(H$49=4,J141,(IF(H$49=3,H141,(IF(H$49=2,E141,C141)))))))))))))</f>
        <v>107.37179487179486</v>
      </c>
    </row>
    <row r="142" spans="1:23" s="202" customFormat="1" ht="10" hidden="1" x14ac:dyDescent="0.2">
      <c r="A142" s="219"/>
      <c r="B142" s="220">
        <f>C142*C16</f>
        <v>0</v>
      </c>
      <c r="C142" s="221">
        <f>B128</f>
        <v>0</v>
      </c>
      <c r="D142" s="220">
        <f>+E142*$C$16</f>
        <v>0</v>
      </c>
      <c r="E142" s="221">
        <f>+$B$128</f>
        <v>0</v>
      </c>
      <c r="F142" s="220">
        <f>H142*$C$16</f>
        <v>0</v>
      </c>
      <c r="G142" s="606"/>
      <c r="H142" s="221">
        <f>$B$128</f>
        <v>0</v>
      </c>
      <c r="I142" s="220">
        <f>J142*C16</f>
        <v>0</v>
      </c>
      <c r="J142" s="221">
        <f>B128</f>
        <v>0</v>
      </c>
      <c r="K142" s="220">
        <f>L142*C16</f>
        <v>0</v>
      </c>
      <c r="L142" s="221">
        <f>B128</f>
        <v>0</v>
      </c>
      <c r="M142" s="220">
        <f>N142*C16</f>
        <v>0</v>
      </c>
      <c r="N142" s="221">
        <f>B128</f>
        <v>0</v>
      </c>
      <c r="O142" s="644">
        <f>+P142*$C$16</f>
        <v>0</v>
      </c>
      <c r="P142" s="645">
        <f>+$B$128</f>
        <v>0</v>
      </c>
      <c r="Q142" s="644">
        <f>R142*$C$16</f>
        <v>0</v>
      </c>
      <c r="R142" s="645">
        <f>$B$128</f>
        <v>0</v>
      </c>
      <c r="S142" s="222">
        <f t="shared" ref="S142:S149" si="41">IF(H$49=8,Q142,(IF(H$49=7,O142,(IF(H$49=6,M142,(IF(H$49=5,K142,(IF(H$49=4,I142,(IF(H$49=3,F142,(IF(H$49=2,D142,B142)))))))))))))</f>
        <v>0</v>
      </c>
      <c r="T142" s="223">
        <f t="shared" ref="T142:T149" si="42">IF(H$49=8,R142,(IF(H$49=7,P142,(IF(H$49=6,N142,(IF(H$49=5,L142,(IF(H$49=4,J142,(IF(H$49=3,H142,(IF(H$49=2,E142,C142)))))))))))))</f>
        <v>0</v>
      </c>
    </row>
    <row r="143" spans="1:23" s="202" customFormat="1" ht="10" hidden="1" x14ac:dyDescent="0.2">
      <c r="A143" s="219"/>
      <c r="B143" s="220">
        <f>C143</f>
        <v>175</v>
      </c>
      <c r="C143" s="221">
        <f>+B129</f>
        <v>175</v>
      </c>
      <c r="D143" s="220">
        <f>E143</f>
        <v>175</v>
      </c>
      <c r="E143" s="221">
        <f>+$B$129</f>
        <v>175</v>
      </c>
      <c r="F143" s="220">
        <f>H143</f>
        <v>175</v>
      </c>
      <c r="G143" s="606"/>
      <c r="H143" s="221">
        <f>+$B$129</f>
        <v>175</v>
      </c>
      <c r="I143" s="220">
        <f>J143</f>
        <v>175</v>
      </c>
      <c r="J143" s="221">
        <f>+B129</f>
        <v>175</v>
      </c>
      <c r="K143" s="220">
        <f>L143</f>
        <v>175</v>
      </c>
      <c r="L143" s="221">
        <f>+B129</f>
        <v>175</v>
      </c>
      <c r="M143" s="220">
        <f>N143</f>
        <v>175</v>
      </c>
      <c r="N143" s="221">
        <f>+B129</f>
        <v>175</v>
      </c>
      <c r="O143" s="644">
        <f>P143</f>
        <v>175</v>
      </c>
      <c r="P143" s="645">
        <f>+$B$129</f>
        <v>175</v>
      </c>
      <c r="Q143" s="644">
        <f>R143</f>
        <v>175</v>
      </c>
      <c r="R143" s="645">
        <f>+$B$129</f>
        <v>175</v>
      </c>
      <c r="S143" s="222">
        <f t="shared" si="41"/>
        <v>175</v>
      </c>
      <c r="T143" s="223">
        <f t="shared" si="42"/>
        <v>175</v>
      </c>
    </row>
    <row r="144" spans="1:23" s="202" customFormat="1" ht="10" hidden="1" x14ac:dyDescent="0.2">
      <c r="A144" s="219"/>
      <c r="B144" s="220">
        <f>C144*C17</f>
        <v>930.78994873847171</v>
      </c>
      <c r="C144" s="221">
        <f>E136/(1+(L8*C17/C19))</f>
        <v>347.30968236510137</v>
      </c>
      <c r="D144" s="220" t="e">
        <f>E144*$C$17</f>
        <v>#DIV/0!</v>
      </c>
      <c r="E144" s="221" t="e">
        <f>$E$136/((1+(($C$17*$H$18)/($C$18*$H$17)))+((($L$8*$C$17*$H$19)/($C$19*$H$17))*(1+(($C$19*$H$20)/($C$20*$H$19)))))</f>
        <v>#DIV/0!</v>
      </c>
      <c r="F144" s="220" t="e">
        <f>H144*$C$17</f>
        <v>#DIV/0!</v>
      </c>
      <c r="G144" s="606"/>
      <c r="H144" s="221" t="e">
        <f>$E$136/(1+((($L$8*$C$17*$H$19)/$C$19)*(1+(($C$19*$H$20)/($C$20*$H$19)))))</f>
        <v>#DIV/0!</v>
      </c>
      <c r="I144" s="220" t="e">
        <f>J144*C17</f>
        <v>#DIV/0!</v>
      </c>
      <c r="J144" s="221" t="e">
        <f>E136/((1+((C17*H18)/(C18*H17)))+((L8*C17)/(C19*H17)))</f>
        <v>#DIV/0!</v>
      </c>
      <c r="K144" s="220">
        <f>L144*C17</f>
        <v>1888.0953897435897</v>
      </c>
      <c r="L144" s="221">
        <f>E136</f>
        <v>704.51320512820507</v>
      </c>
      <c r="M144" s="220" t="e">
        <f>N144*C17</f>
        <v>#DIV/0!</v>
      </c>
      <c r="N144" s="221" t="e">
        <f>E136/(1+(C17*H18/(C18*H17)))</f>
        <v>#DIV/0!</v>
      </c>
      <c r="O144" s="644">
        <f>P144*$C$17</f>
        <v>925.53695575666154</v>
      </c>
      <c r="P144" s="645">
        <f>+W139*H17</f>
        <v>345.34961035696324</v>
      </c>
      <c r="Q144" s="644">
        <f>R144*$C$17</f>
        <v>925.53695575666154</v>
      </c>
      <c r="R144" s="645">
        <f>+$W$139*100%</f>
        <v>345.34961035696324</v>
      </c>
      <c r="S144" s="222">
        <f t="shared" si="41"/>
        <v>930.78994873847171</v>
      </c>
      <c r="T144" s="223">
        <f t="shared" si="42"/>
        <v>347.30968236510137</v>
      </c>
    </row>
    <row r="145" spans="1:20" s="202" customFormat="1" ht="10" hidden="1" x14ac:dyDescent="0.2">
      <c r="A145" s="219"/>
      <c r="B145" s="65"/>
      <c r="C145" s="66"/>
      <c r="D145" s="220" t="e">
        <f>E145*$C$18</f>
        <v>#DIV/0!</v>
      </c>
      <c r="E145" s="221" t="e">
        <f>(($E$144*$C$17*$H$18)/($C$18*$H$17))</f>
        <v>#DIV/0!</v>
      </c>
      <c r="F145" s="65"/>
      <c r="G145" s="582"/>
      <c r="H145" s="67"/>
      <c r="I145" s="220" t="e">
        <f>J145*C18</f>
        <v>#DIV/0!</v>
      </c>
      <c r="J145" s="221" t="e">
        <f>(J144*C17*H18)/(C18*H17)</f>
        <v>#DIV/0!</v>
      </c>
      <c r="K145" s="65"/>
      <c r="L145" s="66"/>
      <c r="M145" s="220" t="e">
        <f>N145*C18</f>
        <v>#DIV/0!</v>
      </c>
      <c r="N145" s="221" t="e">
        <f>(N144*C17*H18)/(C18*H17)</f>
        <v>#DIV/0!</v>
      </c>
      <c r="O145" s="644">
        <f>P145*$C$18</f>
        <v>0</v>
      </c>
      <c r="P145" s="645">
        <f>+W139*H18</f>
        <v>0</v>
      </c>
      <c r="Q145" s="656"/>
      <c r="R145" s="655"/>
      <c r="S145" s="222">
        <f t="shared" si="41"/>
        <v>0</v>
      </c>
      <c r="T145" s="223">
        <f t="shared" si="42"/>
        <v>0</v>
      </c>
    </row>
    <row r="146" spans="1:20" s="202" customFormat="1" ht="10" hidden="1" x14ac:dyDescent="0.2">
      <c r="A146" s="219"/>
      <c r="B146" s="220">
        <f>C146*C19</f>
        <v>968.02154668801052</v>
      </c>
      <c r="C146" s="221">
        <f>(L8*C144*C17)/C19</f>
        <v>357.20352276310354</v>
      </c>
      <c r="D146" s="220" t="e">
        <f>E146*$C$19</f>
        <v>#DIV/0!</v>
      </c>
      <c r="E146" s="221" t="e">
        <f>($L$8*E144*$C$17*$H$19)/($C$19*$H$17)</f>
        <v>#DIV/0!</v>
      </c>
      <c r="F146" s="220" t="e">
        <f>H146*$C$19</f>
        <v>#DIV/0!</v>
      </c>
      <c r="G146" s="606"/>
      <c r="H146" s="221" t="e">
        <f>($L$8*H144*$C$17*$H$19)/$C$19</f>
        <v>#DIV/0!</v>
      </c>
      <c r="I146" s="220" t="e">
        <f>J146*C19</f>
        <v>#DIV/0!</v>
      </c>
      <c r="J146" s="221" t="e">
        <f>(L8*J144*C17)/(C19*H17)</f>
        <v>#DIV/0!</v>
      </c>
      <c r="K146" s="65"/>
      <c r="L146" s="66"/>
      <c r="M146" s="65"/>
      <c r="N146" s="66"/>
      <c r="O146" s="644">
        <f>P146*$C$19</f>
        <v>973.33334183006536</v>
      </c>
      <c r="P146" s="645">
        <f>+$W$140*$H$19</f>
        <v>359.16359477124183</v>
      </c>
      <c r="Q146" s="644">
        <f>R146*$C$19</f>
        <v>973.33334183006536</v>
      </c>
      <c r="R146" s="645">
        <f>+$W$140*$H$19</f>
        <v>359.16359477124183</v>
      </c>
      <c r="S146" s="222">
        <f t="shared" si="41"/>
        <v>968.02154668801052</v>
      </c>
      <c r="T146" s="223">
        <f t="shared" si="42"/>
        <v>357.20352276310354</v>
      </c>
    </row>
    <row r="147" spans="1:20" s="202" customFormat="1" ht="10" hidden="1" x14ac:dyDescent="0.2">
      <c r="A147" s="219"/>
      <c r="B147" s="68"/>
      <c r="C147" s="67"/>
      <c r="D147" s="220" t="e">
        <f>E147*$C$20</f>
        <v>#DIV/0!</v>
      </c>
      <c r="E147" s="221" t="e">
        <f>(E146*$C$19*$H$20)/($C$20*$H$19)</f>
        <v>#DIV/0!</v>
      </c>
      <c r="F147" s="220" t="e">
        <f>H147*$C$20</f>
        <v>#DIV/0!</v>
      </c>
      <c r="G147" s="606"/>
      <c r="H147" s="221" t="e">
        <f>(H146*$C$19*$H$20)/($C$20*$H$19)</f>
        <v>#DIV/0!</v>
      </c>
      <c r="I147" s="69"/>
      <c r="J147" s="67"/>
      <c r="K147" s="69"/>
      <c r="L147" s="67"/>
      <c r="M147" s="69"/>
      <c r="N147" s="67"/>
      <c r="O147" s="644">
        <f>P147*$C$20</f>
        <v>0</v>
      </c>
      <c r="P147" s="645">
        <f>+$W$140*$H$20</f>
        <v>0</v>
      </c>
      <c r="Q147" s="644">
        <f>R147*$C$20</f>
        <v>0</v>
      </c>
      <c r="R147" s="645">
        <f>+$W$140*$H$20</f>
        <v>0</v>
      </c>
      <c r="S147" s="222">
        <f t="shared" si="41"/>
        <v>0</v>
      </c>
      <c r="T147" s="223">
        <f t="shared" si="42"/>
        <v>0</v>
      </c>
    </row>
    <row r="148" spans="1:20" s="202" customFormat="1" ht="10" hidden="1" x14ac:dyDescent="0.2">
      <c r="A148" s="219"/>
      <c r="B148" s="68"/>
      <c r="C148" s="67"/>
      <c r="D148" s="68"/>
      <c r="E148" s="67"/>
      <c r="F148" s="68"/>
      <c r="G148" s="606"/>
      <c r="H148" s="67"/>
      <c r="I148" s="69"/>
      <c r="J148" s="67"/>
      <c r="K148" s="69"/>
      <c r="L148" s="67"/>
      <c r="M148" s="69"/>
      <c r="N148" s="67"/>
      <c r="O148" s="644">
        <f>P148*$C$21</f>
        <v>0</v>
      </c>
      <c r="P148" s="645">
        <f>$W$140*$G$21</f>
        <v>0</v>
      </c>
      <c r="Q148" s="644">
        <f>R148*$C$21</f>
        <v>0</v>
      </c>
      <c r="R148" s="645">
        <f>$W$140*$G$21</f>
        <v>0</v>
      </c>
      <c r="S148" s="222">
        <f t="shared" si="41"/>
        <v>0</v>
      </c>
      <c r="T148" s="223">
        <f t="shared" si="42"/>
        <v>0</v>
      </c>
    </row>
    <row r="149" spans="1:20" s="202" customFormat="1" ht="12.75" hidden="1" customHeight="1" thickBot="1" x14ac:dyDescent="0.25">
      <c r="A149" s="202" t="s">
        <v>46</v>
      </c>
      <c r="B149" s="224">
        <f>SUM(B141:B148)+J134+O134</f>
        <v>2411.9264954264818</v>
      </c>
      <c r="C149" s="225">
        <f>SUM(C141:C148)+B130+K134+P134</f>
        <v>999.99999999999977</v>
      </c>
      <c r="D149" s="224" t="e">
        <f>SUM(D141:D148)+$J$134+$O$134</f>
        <v>#DIV/0!</v>
      </c>
      <c r="E149" s="225" t="e">
        <f>SUM(E141:E148)+$B$130+$K$134+$P$134</f>
        <v>#DIV/0!</v>
      </c>
      <c r="F149" s="224" t="e">
        <f>SUM(F141:F148)+$J$134+$O$134</f>
        <v>#DIV/0!</v>
      </c>
      <c r="G149" s="607"/>
      <c r="H149" s="225" t="e">
        <f>SUM(H141:H148)+$B$130+$K$134+$P$134</f>
        <v>#DIV/0!</v>
      </c>
      <c r="I149" s="224" t="e">
        <f>SUM(I141:I148)+J134+O134</f>
        <v>#DIV/0!</v>
      </c>
      <c r="J149" s="225" t="e">
        <f>SUM(J141:J148)+B130+K134+P134</f>
        <v>#DIV/0!</v>
      </c>
      <c r="K149" s="224">
        <f>SUM(K141:K148)+J134+O134</f>
        <v>2401.2103897435895</v>
      </c>
      <c r="L149" s="225">
        <f>SUM(L141:L148)+B130+K134+P134</f>
        <v>1000</v>
      </c>
      <c r="M149" s="224" t="e">
        <f>SUM(M141:M148)+J134+O134</f>
        <v>#DIV/0!</v>
      </c>
      <c r="N149" s="225" t="e">
        <f>SUM(N141:N148)+B130+K134+P134</f>
        <v>#DIV/0!</v>
      </c>
      <c r="O149" s="646">
        <f>SUM(O141:O148)+$J$134+$O$134</f>
        <v>2411.9852975867266</v>
      </c>
      <c r="P149" s="647">
        <f>SUM(P141:P148)+$B$130+$K$134+$P$134</f>
        <v>1000</v>
      </c>
      <c r="Q149" s="646">
        <f>SUM(Q141:Q148)+$J$134+$O$134</f>
        <v>2411.9852975867266</v>
      </c>
      <c r="R149" s="647">
        <f>SUM(R141:R148)+$B$130+$K$134+$P$134</f>
        <v>1000</v>
      </c>
      <c r="S149" s="226">
        <f t="shared" si="41"/>
        <v>2411.9264954264818</v>
      </c>
      <c r="T149" s="227">
        <f t="shared" si="42"/>
        <v>999.99999999999977</v>
      </c>
    </row>
    <row r="150" spans="1:20" s="7" customFormat="1" ht="12.75" hidden="1" customHeight="1" x14ac:dyDescent="0.2">
      <c r="B150" s="228" t="s">
        <v>107</v>
      </c>
      <c r="C150" s="228" t="s">
        <v>108</v>
      </c>
      <c r="D150" s="228" t="s">
        <v>109</v>
      </c>
      <c r="E150" s="228" t="s">
        <v>110</v>
      </c>
      <c r="F150" s="228" t="s">
        <v>111</v>
      </c>
      <c r="G150" s="608"/>
      <c r="H150" s="228" t="s">
        <v>112</v>
      </c>
      <c r="I150" s="228" t="s">
        <v>113</v>
      </c>
      <c r="J150" s="228"/>
      <c r="S150" s="7" t="s">
        <v>107</v>
      </c>
      <c r="T150" s="7" t="s">
        <v>114</v>
      </c>
    </row>
    <row r="151" spans="1:20" s="7" customFormat="1" ht="12.75" hidden="1" customHeight="1" x14ac:dyDescent="0.2">
      <c r="B151" s="229" t="str">
        <f>+B164</f>
        <v>CO</v>
      </c>
      <c r="C151" s="229">
        <f>+C164</f>
        <v>335</v>
      </c>
      <c r="D151" s="228">
        <f>IF(S38&gt;0,N$9*C151/N$8,"")</f>
        <v>11.725</v>
      </c>
      <c r="E151" s="230"/>
      <c r="F151" s="231"/>
      <c r="G151" s="608"/>
      <c r="H151" s="232">
        <f>+T151</f>
        <v>11.725</v>
      </c>
      <c r="I151" s="233">
        <f>IF(H151="","",H151/C15)</f>
        <v>3.7580128205128203</v>
      </c>
      <c r="J151" s="228">
        <f>IF(C151="","",C151/C15)</f>
        <v>107.37179487179486</v>
      </c>
      <c r="S151" s="229" t="str">
        <f t="shared" ref="S151:S158" si="43">+B164</f>
        <v>CO</v>
      </c>
      <c r="T151" s="229">
        <f>S141*N9/N8</f>
        <v>11.725</v>
      </c>
    </row>
    <row r="152" spans="1:20" s="7" customFormat="1" ht="12.75" hidden="1" customHeight="1" x14ac:dyDescent="0.2">
      <c r="B152" s="229" t="str">
        <f>+B165</f>
        <v/>
      </c>
      <c r="C152" s="229" t="str">
        <f>+C165</f>
        <v/>
      </c>
      <c r="D152" s="228" t="str">
        <f>IF(S39&gt;0,N$9*C152/N$8,"")</f>
        <v/>
      </c>
      <c r="E152" s="230"/>
      <c r="F152" s="231"/>
      <c r="G152" s="608"/>
      <c r="H152" s="232">
        <f>+S142</f>
        <v>0</v>
      </c>
      <c r="I152" s="233" t="str">
        <f>IF(B152="","",H152/C16)</f>
        <v/>
      </c>
      <c r="J152" s="228" t="str">
        <f>IF(C152="","",C152/C16)</f>
        <v/>
      </c>
      <c r="S152" s="229" t="str">
        <f t="shared" si="43"/>
        <v/>
      </c>
      <c r="T152" s="229">
        <f>S142*N9/N8</f>
        <v>0</v>
      </c>
    </row>
    <row r="153" spans="1:20" s="7" customFormat="1" ht="12.75" hidden="1" customHeight="1" x14ac:dyDescent="0.2">
      <c r="B153" s="229" t="str">
        <f t="shared" ref="B153:B158" si="44">+B166</f>
        <v>A1</v>
      </c>
      <c r="C153" s="229">
        <f>(C154*E17+C155*E18+C156*E19+C157*E20)+S143</f>
        <v>232.92508268910547</v>
      </c>
      <c r="D153" s="228">
        <f>IF(S40&gt;0,N$9*C153/N$8,"")</f>
        <v>8.1523778941186915</v>
      </c>
      <c r="E153" s="230"/>
      <c r="F153" s="231"/>
      <c r="G153" s="608"/>
      <c r="H153" s="232">
        <f>+T153+(SUM(E154:E157))-(SUM(F154:F157))</f>
        <v>7.2473208028828608</v>
      </c>
      <c r="I153" s="233">
        <f>+H153</f>
        <v>7.2473208028828608</v>
      </c>
      <c r="J153" s="228">
        <f>+C153</f>
        <v>232.92508268910547</v>
      </c>
      <c r="S153" s="229" t="str">
        <f t="shared" si="43"/>
        <v>A1</v>
      </c>
      <c r="T153" s="229">
        <f>S143*N9/N8</f>
        <v>6.125</v>
      </c>
    </row>
    <row r="154" spans="1:20" s="7" customFormat="1" ht="12.75" hidden="1" customHeight="1" x14ac:dyDescent="0.2">
      <c r="B154" s="229" t="str">
        <f t="shared" si="44"/>
        <v>AC2</v>
      </c>
      <c r="C154" s="229">
        <f>S144/(1+E17)</f>
        <v>897.5795069802042</v>
      </c>
      <c r="D154" s="228">
        <f>IF(AND(OR(H49=1,H49=3,H49=5),H17&lt;1),"Error en %",IF(S41&gt;0,N$9*C154/N$8,""))</f>
        <v>31.415282744307149</v>
      </c>
      <c r="E154" s="7">
        <f>D154*E17</f>
        <v>1.1623654615393644</v>
      </c>
      <c r="F154" s="228">
        <f>D154*F17</f>
        <v>0.57489967422082078</v>
      </c>
      <c r="G154" s="608"/>
      <c r="H154" s="232">
        <f>T154-E154+F154</f>
        <v>31.990182418527962</v>
      </c>
      <c r="I154" s="233">
        <f>IF(H154="","",H154/C17)</f>
        <v>11.936635230794014</v>
      </c>
      <c r="J154" s="228">
        <f>IF(C154=0,"",C154/C17)</f>
        <v>334.91772648515081</v>
      </c>
      <c r="S154" s="229" t="str">
        <f t="shared" si="43"/>
        <v>AC2</v>
      </c>
      <c r="T154" s="229">
        <f>S144*N9/N8</f>
        <v>32.577648205846508</v>
      </c>
    </row>
    <row r="155" spans="1:20" s="7" customFormat="1" ht="12.75" hidden="1" customHeight="1" x14ac:dyDescent="0.2">
      <c r="B155" s="229" t="str">
        <f t="shared" si="44"/>
        <v/>
      </c>
      <c r="C155" s="229">
        <f>S145/(1+E18)</f>
        <v>0</v>
      </c>
      <c r="D155" s="228" t="str">
        <f>IF(AND(OR(H49=2,H49=4,H49=6),S42=0),"Asig %",IF(A42=0,"",N$9*C155/N$8))</f>
        <v/>
      </c>
      <c r="E155" s="7" t="str">
        <f>IF(B89="","",IF(B89="Asig %","Error",D155*E18))</f>
        <v/>
      </c>
      <c r="F155" s="228" t="str">
        <f>IF(S42=0,"",D155*F18)</f>
        <v/>
      </c>
      <c r="G155" s="608"/>
      <c r="H155" s="232" t="str">
        <f>IF(S42=0,"",T155-E155+F155)</f>
        <v/>
      </c>
      <c r="I155" s="233" t="str">
        <f>IF(H155="","",H155/C18)</f>
        <v/>
      </c>
      <c r="J155" s="228" t="str">
        <f>IF(C155=0,"",C155/C18)</f>
        <v/>
      </c>
      <c r="S155" s="229" t="str">
        <f t="shared" si="43"/>
        <v/>
      </c>
      <c r="T155" s="229">
        <f>S145*N9/N8</f>
        <v>0</v>
      </c>
    </row>
    <row r="156" spans="1:20" s="7" customFormat="1" ht="12.75" hidden="1" customHeight="1" x14ac:dyDescent="0.2">
      <c r="B156" s="229" t="str">
        <f t="shared" si="44"/>
        <v>GB2</v>
      </c>
      <c r="C156" s="229">
        <f>S146/(1+E19)</f>
        <v>943.30690575717256</v>
      </c>
      <c r="D156" s="228">
        <f>IF(AND(OR(H49=1,H49=4),H19&lt;1),"Error en %",IF(OR(H49=5,H49=6),"",N$9*C156/N$8))</f>
        <v>33.015741701501035</v>
      </c>
      <c r="E156" s="7">
        <f>IF(OR(H49=5,H49=6),"",D156*E19)</f>
        <v>0.86501243257932714</v>
      </c>
      <c r="F156" s="228">
        <f>IF(OR(H49=5,H49=6),"",D156*F19)</f>
        <v>0.33015741701501033</v>
      </c>
      <c r="G156" s="608"/>
      <c r="H156" s="232">
        <f>IF(OR(H49=5,H49=6),"",T156-E156+F156)</f>
        <v>33.345899118516044</v>
      </c>
      <c r="I156" s="233">
        <f>IF(H156="","",H156/C19)</f>
        <v>12.304759822330643</v>
      </c>
      <c r="J156" s="228">
        <f>IF(C156=0,"",C156/C19)</f>
        <v>348.08372906168728</v>
      </c>
      <c r="S156" s="229" t="str">
        <f t="shared" si="43"/>
        <v>GB2</v>
      </c>
      <c r="T156" s="229">
        <f>S146*N9/N8</f>
        <v>33.880754134080362</v>
      </c>
    </row>
    <row r="157" spans="1:20" s="7" customFormat="1" ht="12.75" hidden="1" customHeight="1" x14ac:dyDescent="0.2">
      <c r="B157" s="229" t="str">
        <f t="shared" si="44"/>
        <v/>
      </c>
      <c r="C157" s="229">
        <f>S147/(1+E20)</f>
        <v>0</v>
      </c>
      <c r="D157" s="228" t="str">
        <f>IF(AND(OR(H49=2,H49=3),S44=0),"Asig %",IF(A44=0,"",N$9*C157/N$8))</f>
        <v/>
      </c>
      <c r="E157" s="7" t="str">
        <f>IF(B91="","",IF(B91="Asig %","Error",D157*E20))</f>
        <v/>
      </c>
      <c r="F157" s="228" t="str">
        <f>IF(S44=0,"",D157*F20)</f>
        <v/>
      </c>
      <c r="G157" s="608"/>
      <c r="H157" s="232" t="str">
        <f>IF(S44=0,"",T157-E157+F157)</f>
        <v/>
      </c>
      <c r="I157" s="233" t="str">
        <f>IF(H157="","",H157/C20)</f>
        <v/>
      </c>
      <c r="J157" s="228" t="str">
        <f>IF(C157=0,"",C157/C20)</f>
        <v/>
      </c>
      <c r="S157" s="229" t="str">
        <f t="shared" si="43"/>
        <v/>
      </c>
      <c r="T157" s="229">
        <f>S147*N9/N8</f>
        <v>0</v>
      </c>
    </row>
    <row r="158" spans="1:20" s="7" customFormat="1" ht="12.75" hidden="1" customHeight="1" x14ac:dyDescent="0.2">
      <c r="B158" s="229" t="str">
        <f t="shared" si="44"/>
        <v/>
      </c>
      <c r="C158" s="229">
        <f>S148/(1+E21)</f>
        <v>0</v>
      </c>
      <c r="D158" s="228" t="str">
        <f>IF(AND(OR(H49=7,H49=8),S45=0),"Asig %",IF(A45=0,"",N$9*C158/N$8))</f>
        <v/>
      </c>
      <c r="E158" s="7" t="str">
        <f>IF(B92="","",IF(B92="Asig %","Error",D158*E21))</f>
        <v/>
      </c>
      <c r="F158" s="228" t="str">
        <f>IF(S45=0,"",D158*F21)</f>
        <v/>
      </c>
      <c r="G158" s="608"/>
      <c r="H158" s="232" t="str">
        <f>IF(S45=0,"",T158-E158+F158)</f>
        <v/>
      </c>
      <c r="I158" s="233" t="str">
        <f>IF(H158="","",H158/C21)</f>
        <v/>
      </c>
      <c r="J158" s="228" t="str">
        <f>IF(C158=0,"",C158/C21)</f>
        <v/>
      </c>
      <c r="S158" s="229" t="str">
        <f t="shared" si="43"/>
        <v/>
      </c>
      <c r="T158" s="229">
        <f>S148*N9/N8</f>
        <v>0</v>
      </c>
    </row>
    <row r="159" spans="1:20" s="7" customFormat="1" ht="12.75" hidden="1" customHeight="1" x14ac:dyDescent="0.2">
      <c r="B159" s="228"/>
      <c r="C159" s="228"/>
      <c r="D159" s="228"/>
      <c r="E159" s="228"/>
      <c r="F159" s="228"/>
      <c r="G159" s="608"/>
      <c r="H159" s="232"/>
      <c r="I159" s="228"/>
      <c r="J159" s="228"/>
      <c r="K159" s="228"/>
      <c r="L159" s="228"/>
      <c r="M159" s="228"/>
      <c r="N159" s="228"/>
      <c r="P159" s="234"/>
      <c r="Q159" s="234"/>
    </row>
    <row r="160" spans="1:20" s="7" customFormat="1" ht="12.75" customHeight="1" thickBot="1" x14ac:dyDescent="0.35">
      <c r="B160" s="1193" t="s">
        <v>115</v>
      </c>
      <c r="C160" s="1194"/>
      <c r="D160" s="1194"/>
      <c r="E160" s="1194"/>
      <c r="F160" s="1194"/>
      <c r="G160" s="1194"/>
      <c r="H160" s="1194"/>
      <c r="I160" s="1194"/>
      <c r="J160" s="1194"/>
      <c r="K160" s="1194"/>
      <c r="L160" s="1194"/>
      <c r="M160" s="1194"/>
      <c r="N160" s="1194"/>
      <c r="O160" s="1194"/>
      <c r="P160" s="1195"/>
      <c r="Q160" s="234"/>
    </row>
    <row r="161" spans="2:19" s="7" customFormat="1" ht="10" x14ac:dyDescent="0.2">
      <c r="E161" s="82"/>
      <c r="G161" s="579"/>
    </row>
    <row r="162" spans="2:19" s="7" customFormat="1" ht="13" x14ac:dyDescent="0.3">
      <c r="B162" s="1169" t="s">
        <v>116</v>
      </c>
      <c r="C162" s="1170"/>
      <c r="D162" s="1170"/>
      <c r="E162" s="1170"/>
      <c r="F162" s="1171"/>
      <c r="G162" s="609"/>
      <c r="H162" s="1148" t="s">
        <v>117</v>
      </c>
      <c r="I162" s="1196"/>
      <c r="J162" s="1149"/>
      <c r="L162" s="1169" t="str">
        <f>"Corrección al diseño para "&amp;N9&amp;" litros"</f>
        <v>Corrección al diseño para 35 litros</v>
      </c>
      <c r="M162" s="1170"/>
      <c r="N162" s="1170"/>
      <c r="O162" s="1170"/>
      <c r="P162" s="1171"/>
    </row>
    <row r="163" spans="2:19" s="7" customFormat="1" ht="10.5" x14ac:dyDescent="0.25">
      <c r="B163" s="83" t="s">
        <v>74</v>
      </c>
      <c r="C163" s="84" t="s">
        <v>63</v>
      </c>
      <c r="D163" s="85" t="s">
        <v>64</v>
      </c>
      <c r="E163" s="86" t="s">
        <v>65</v>
      </c>
      <c r="F163" s="91" t="s">
        <v>64</v>
      </c>
      <c r="G163" s="610"/>
      <c r="H163" s="92"/>
      <c r="I163" s="235"/>
      <c r="J163" s="236"/>
      <c r="L163" s="83" t="s">
        <v>74</v>
      </c>
      <c r="M163" s="84" t="s">
        <v>63</v>
      </c>
      <c r="N163" s="85" t="s">
        <v>64</v>
      </c>
      <c r="O163" s="86" t="s">
        <v>65</v>
      </c>
      <c r="P163" s="91" t="s">
        <v>64</v>
      </c>
    </row>
    <row r="164" spans="2:19" s="7" customFormat="1" ht="13" x14ac:dyDescent="0.35">
      <c r="B164" s="94" t="str">
        <f t="shared" ref="B164:B171" si="45">IF(S141&gt;0,A38,"")</f>
        <v>CO</v>
      </c>
      <c r="C164" s="95">
        <f t="shared" ref="C164:C171" si="46">IF(S141&gt;0,S141,"")</f>
        <v>335</v>
      </c>
      <c r="D164" s="96" t="str">
        <f>IF(S141&gt;0,"kg/m3","")</f>
        <v>kg/m3</v>
      </c>
      <c r="E164" s="97">
        <f t="shared" ref="E164:E171" si="47">IF(T141&gt;0,T141,"")</f>
        <v>107.37179487179486</v>
      </c>
      <c r="F164" s="103" t="str">
        <f t="shared" ref="F164:F171" si="48">IF(T141&gt;0,"l/m3","")</f>
        <v>l/m3</v>
      </c>
      <c r="G164" s="611"/>
      <c r="H164" s="237" t="s">
        <v>133</v>
      </c>
      <c r="I164" s="47">
        <f>(IF(F17=0,0,((H88/(1+(F17)))*((F17-E17))))+IF(F18=0,0,((H89/(1+(F18)))*((F18-E18))))+IF(F19=0,0,(H90/(1+(F19)))*((F19-E19)))+IF(F20=0,0,(H91/(1+(F20)))*((F20-E20)))+(H87+K98))/(Q88/1000)</f>
        <v>174.49055089938429</v>
      </c>
      <c r="J164" s="238" t="s">
        <v>77</v>
      </c>
      <c r="L164" s="94" t="str">
        <f t="shared" ref="L164:L171" si="49">IF(S141&gt;0,A38,"")</f>
        <v>CO</v>
      </c>
      <c r="M164" s="239">
        <f>IF(S141&gt;0,H151,"")</f>
        <v>11.725</v>
      </c>
      <c r="N164" s="96" t="str">
        <f>IF(S141&gt;0,"kg","")</f>
        <v>kg</v>
      </c>
      <c r="O164" s="97">
        <f t="shared" ref="O164:O171" si="50">IF(T141&gt;0,I151,"")</f>
        <v>3.7580128205128203</v>
      </c>
      <c r="P164" s="103" t="str">
        <f t="shared" ref="P164:P171" si="51">IF(T141&gt;0,"litros","")</f>
        <v>litros</v>
      </c>
      <c r="S164" s="240"/>
    </row>
    <row r="165" spans="2:19" s="7" customFormat="1" ht="13" x14ac:dyDescent="0.35">
      <c r="B165" s="94" t="str">
        <f t="shared" si="45"/>
        <v/>
      </c>
      <c r="C165" s="95" t="str">
        <f t="shared" si="46"/>
        <v/>
      </c>
      <c r="D165" s="96" t="str">
        <f>IF(S142&gt;0,"kg/m3","")</f>
        <v/>
      </c>
      <c r="E165" s="97" t="str">
        <f t="shared" si="47"/>
        <v/>
      </c>
      <c r="F165" s="103" t="str">
        <f t="shared" si="48"/>
        <v/>
      </c>
      <c r="G165" s="604"/>
      <c r="H165" s="106" t="s">
        <v>134</v>
      </c>
      <c r="I165" s="188">
        <f>K96</f>
        <v>1</v>
      </c>
      <c r="J165" s="241" t="s">
        <v>51</v>
      </c>
      <c r="L165" s="94" t="str">
        <f t="shared" si="49"/>
        <v/>
      </c>
      <c r="M165" s="239" t="str">
        <f>IF(S142&gt;0,H152,"")</f>
        <v/>
      </c>
      <c r="N165" s="96" t="str">
        <f>IF(S142&gt;0,"kg","")</f>
        <v/>
      </c>
      <c r="O165" s="97" t="str">
        <f t="shared" si="50"/>
        <v/>
      </c>
      <c r="P165" s="103" t="str">
        <f t="shared" si="51"/>
        <v/>
      </c>
    </row>
    <row r="166" spans="2:19" s="7" customFormat="1" ht="13" x14ac:dyDescent="0.35">
      <c r="B166" s="94" t="str">
        <f t="shared" si="45"/>
        <v>A1</v>
      </c>
      <c r="C166" s="95">
        <f t="shared" si="46"/>
        <v>175</v>
      </c>
      <c r="D166" s="96" t="str">
        <f>IF(S143&gt;0,"l /m3","")</f>
        <v>l /m3</v>
      </c>
      <c r="E166" s="97">
        <f t="shared" si="47"/>
        <v>175</v>
      </c>
      <c r="F166" s="103" t="str">
        <f t="shared" si="48"/>
        <v>l/m3</v>
      </c>
      <c r="G166" s="604"/>
      <c r="H166" s="106" t="s">
        <v>135</v>
      </c>
      <c r="I166" s="242">
        <f>C166/R76</f>
        <v>335.00000000000006</v>
      </c>
      <c r="J166" s="241" t="s">
        <v>118</v>
      </c>
      <c r="L166" s="94" t="str">
        <f t="shared" si="49"/>
        <v>A1</v>
      </c>
      <c r="M166" s="239">
        <f>IF(H153&gt;0,H153,"")</f>
        <v>7.2473208028828608</v>
      </c>
      <c r="N166" s="96" t="str">
        <f>IF(S143&gt;0,"litros","")</f>
        <v>litros</v>
      </c>
      <c r="O166" s="97">
        <f t="shared" si="50"/>
        <v>7.2473208028828608</v>
      </c>
      <c r="P166" s="103" t="str">
        <f t="shared" si="51"/>
        <v>litros</v>
      </c>
      <c r="Q166" s="243"/>
      <c r="R166" s="82"/>
      <c r="S166" s="244"/>
    </row>
    <row r="167" spans="2:19" s="7" customFormat="1" ht="10.5" x14ac:dyDescent="0.25">
      <c r="B167" s="94" t="str">
        <f t="shared" si="45"/>
        <v>AC2</v>
      </c>
      <c r="C167" s="95">
        <f t="shared" si="46"/>
        <v>930.78994873847171</v>
      </c>
      <c r="D167" s="96" t="str">
        <f>IF(S144&gt;0,"kg/m3","")</f>
        <v>kg/m3</v>
      </c>
      <c r="E167" s="97">
        <f t="shared" si="47"/>
        <v>347.30968236510137</v>
      </c>
      <c r="F167" s="103" t="str">
        <f t="shared" si="48"/>
        <v>l/m3</v>
      </c>
      <c r="G167" s="604"/>
      <c r="H167" s="245" t="s">
        <v>67</v>
      </c>
      <c r="I167" s="246">
        <f>IF(S149&gt;0,S149,"")</f>
        <v>2411.9264954264818</v>
      </c>
      <c r="J167" s="241" t="s">
        <v>118</v>
      </c>
      <c r="L167" s="94" t="str">
        <f t="shared" si="49"/>
        <v>AC2</v>
      </c>
      <c r="M167" s="239">
        <f>IF(H154&gt;0,H154,"")</f>
        <v>31.990182418527962</v>
      </c>
      <c r="N167" s="96" t="str">
        <f>IF(S144&gt;0,"kg","")</f>
        <v>kg</v>
      </c>
      <c r="O167" s="97">
        <f t="shared" si="50"/>
        <v>11.936635230794014</v>
      </c>
      <c r="P167" s="103" t="str">
        <f t="shared" si="51"/>
        <v>litros</v>
      </c>
      <c r="R167" s="82"/>
      <c r="S167" s="247"/>
    </row>
    <row r="168" spans="2:19" s="7" customFormat="1" ht="10.5" x14ac:dyDescent="0.25">
      <c r="B168" s="94" t="str">
        <f t="shared" si="45"/>
        <v/>
      </c>
      <c r="C168" s="95" t="str">
        <f t="shared" si="46"/>
        <v/>
      </c>
      <c r="D168" s="96" t="str">
        <f>IF(S145&gt;0,"kg/m3","")</f>
        <v/>
      </c>
      <c r="E168" s="97" t="str">
        <f t="shared" si="47"/>
        <v/>
      </c>
      <c r="F168" s="103" t="str">
        <f t="shared" si="48"/>
        <v/>
      </c>
      <c r="G168" s="604"/>
      <c r="H168" s="106" t="s">
        <v>69</v>
      </c>
      <c r="I168" s="248">
        <f>S143/(S141+S142)</f>
        <v>0.52238805970149249</v>
      </c>
      <c r="J168" s="241"/>
      <c r="L168" s="94" t="str">
        <f t="shared" si="49"/>
        <v/>
      </c>
      <c r="M168" s="239" t="str">
        <f>IF(S42=0,"",H155)</f>
        <v/>
      </c>
      <c r="N168" s="96" t="str">
        <f>IF(S145&gt;0,"kg","")</f>
        <v/>
      </c>
      <c r="O168" s="97" t="str">
        <f t="shared" si="50"/>
        <v/>
      </c>
      <c r="P168" s="103" t="str">
        <f t="shared" si="51"/>
        <v/>
      </c>
      <c r="R168" s="249"/>
    </row>
    <row r="169" spans="2:19" s="7" customFormat="1" ht="10.5" x14ac:dyDescent="0.25">
      <c r="B169" s="94" t="str">
        <f t="shared" si="45"/>
        <v>GB2</v>
      </c>
      <c r="C169" s="95">
        <f t="shared" si="46"/>
        <v>968.02154668801052</v>
      </c>
      <c r="D169" s="96" t="str">
        <f>IF(S146&gt;0,"kg/m3","")</f>
        <v>kg/m3</v>
      </c>
      <c r="E169" s="97">
        <f t="shared" si="47"/>
        <v>357.20352276310354</v>
      </c>
      <c r="F169" s="103" t="str">
        <f t="shared" si="48"/>
        <v>l/m3</v>
      </c>
      <c r="G169" s="604"/>
      <c r="H169" s="106" t="s">
        <v>70</v>
      </c>
      <c r="I169" s="248">
        <f>(S144+S145)/(S141+S142)</f>
        <v>2.7784774589208112</v>
      </c>
      <c r="J169" s="241"/>
      <c r="L169" s="94" t="str">
        <f t="shared" si="49"/>
        <v>GB2</v>
      </c>
      <c r="M169" s="239">
        <f>IF(OR(H49=5,H49=6),"",H156)</f>
        <v>33.345899118516044</v>
      </c>
      <c r="N169" s="96" t="str">
        <f>IF(S146&gt;0,"kg","")</f>
        <v>kg</v>
      </c>
      <c r="O169" s="97">
        <f t="shared" si="50"/>
        <v>12.304759822330643</v>
      </c>
      <c r="P169" s="103" t="str">
        <f t="shared" si="51"/>
        <v>litros</v>
      </c>
    </row>
    <row r="170" spans="2:19" s="7" customFormat="1" ht="10.5" x14ac:dyDescent="0.25">
      <c r="B170" s="94" t="str">
        <f t="shared" si="45"/>
        <v/>
      </c>
      <c r="C170" s="95" t="str">
        <f t="shared" si="46"/>
        <v/>
      </c>
      <c r="D170" s="96" t="str">
        <f>IF(S147&gt;0,"kg/m3","")</f>
        <v/>
      </c>
      <c r="E170" s="97" t="str">
        <f t="shared" si="47"/>
        <v/>
      </c>
      <c r="F170" s="103" t="str">
        <f t="shared" si="48"/>
        <v/>
      </c>
      <c r="G170" s="604"/>
      <c r="H170" s="106" t="s">
        <v>71</v>
      </c>
      <c r="I170" s="248">
        <f>(S146+S147)/(S144+S145)</f>
        <v>1.04</v>
      </c>
      <c r="J170" s="241"/>
      <c r="L170" s="94" t="str">
        <f t="shared" si="49"/>
        <v/>
      </c>
      <c r="M170" s="239" t="str">
        <f>IF(S44=0,"",H157)</f>
        <v/>
      </c>
      <c r="N170" s="96" t="str">
        <f>IF(S147&gt;0,"kg","")</f>
        <v/>
      </c>
      <c r="O170" s="97" t="str">
        <f t="shared" si="50"/>
        <v/>
      </c>
      <c r="P170" s="103" t="str">
        <f t="shared" si="51"/>
        <v/>
      </c>
      <c r="R170" s="240"/>
    </row>
    <row r="171" spans="2:19" s="7" customFormat="1" ht="10.5" x14ac:dyDescent="0.25">
      <c r="B171" s="94" t="str">
        <f t="shared" si="45"/>
        <v/>
      </c>
      <c r="C171" s="95" t="str">
        <f t="shared" si="46"/>
        <v/>
      </c>
      <c r="D171" s="96" t="str">
        <f>IF(S148&gt;0,"kg/m3","")</f>
        <v/>
      </c>
      <c r="E171" s="97" t="str">
        <f t="shared" si="47"/>
        <v/>
      </c>
      <c r="F171" s="103" t="str">
        <f t="shared" si="48"/>
        <v/>
      </c>
      <c r="G171" s="637"/>
      <c r="H171" s="638"/>
      <c r="I171" s="639"/>
      <c r="J171" s="640"/>
      <c r="L171" s="94" t="str">
        <f t="shared" si="49"/>
        <v/>
      </c>
      <c r="M171" s="239" t="str">
        <f>IF(S45=0,"",H158)</f>
        <v/>
      </c>
      <c r="N171" s="96" t="str">
        <f>IF(S148&gt;0,"kg","")</f>
        <v/>
      </c>
      <c r="O171" s="97" t="str">
        <f t="shared" si="50"/>
        <v/>
      </c>
      <c r="P171" s="103" t="str">
        <f t="shared" si="51"/>
        <v/>
      </c>
      <c r="R171" s="240"/>
    </row>
    <row r="172" spans="2:19" s="7" customFormat="1" ht="11" thickBot="1" x14ac:dyDescent="0.3">
      <c r="B172" s="83" t="s">
        <v>26</v>
      </c>
      <c r="C172" s="86" t="s">
        <v>63</v>
      </c>
      <c r="D172" s="85" t="s">
        <v>64</v>
      </c>
      <c r="E172" s="89" t="s">
        <v>66</v>
      </c>
      <c r="F172" s="91" t="s">
        <v>64</v>
      </c>
      <c r="G172" s="612"/>
      <c r="H172" s="250" t="s">
        <v>72</v>
      </c>
      <c r="I172" s="251">
        <f>IF(T149&gt;0,T149,"")</f>
        <v>999.99999999999977</v>
      </c>
      <c r="J172" s="252" t="s">
        <v>77</v>
      </c>
      <c r="L172" s="83" t="s">
        <v>26</v>
      </c>
      <c r="M172" s="86" t="s">
        <v>63</v>
      </c>
      <c r="N172" s="85" t="s">
        <v>64</v>
      </c>
      <c r="O172" s="89" t="s">
        <v>66</v>
      </c>
      <c r="P172" s="91" t="s">
        <v>64</v>
      </c>
    </row>
    <row r="173" spans="2:19" s="7" customFormat="1" ht="10.5" x14ac:dyDescent="0.25">
      <c r="B173" s="253" t="str">
        <f t="shared" ref="B173:B178" si="52">IF(L15&gt;0,I15,"")</f>
        <v>EDV</v>
      </c>
      <c r="C173" s="100">
        <f t="shared" ref="C173:C178" si="53">IF(I127&gt;0,J127,"")</f>
        <v>1.6750000000000003</v>
      </c>
      <c r="D173" s="96" t="str">
        <f t="shared" ref="D173:D178" si="54">IF(K127&gt;0,"kg/m3","")</f>
        <v>kg/m3</v>
      </c>
      <c r="E173" s="101">
        <f t="shared" ref="E173:E178" si="55">IF(I127&gt;0,K127,"")</f>
        <v>1.6750000000000003</v>
      </c>
      <c r="F173" s="103" t="str">
        <f t="shared" ref="F173:F178" si="56">IF(K127&gt;0,"l/m3","")</f>
        <v>l/m3</v>
      </c>
      <c r="G173" s="601"/>
      <c r="L173" s="253" t="str">
        <f t="shared" ref="L173:L178" si="57">IF(L15&gt;0,I15,"")</f>
        <v>EDV</v>
      </c>
      <c r="M173" s="100">
        <f t="shared" ref="M173:M178" si="58">IF(I127&gt;0,C173*N$9/N$8,"")</f>
        <v>5.862500000000001E-2</v>
      </c>
      <c r="N173" s="96" t="str">
        <f t="shared" ref="N173:N178" si="59">IF(K127&gt;0,"kg","")</f>
        <v>kg</v>
      </c>
      <c r="O173" s="101">
        <f t="shared" ref="O173:O178" si="60">IF(I127&gt;0,K127*N$9/N$8,"")</f>
        <v>5.862500000000001E-2</v>
      </c>
      <c r="P173" s="103" t="str">
        <f t="shared" ref="P173:P178" si="61">IF(K127&gt;0,"litros","")</f>
        <v>litros</v>
      </c>
    </row>
    <row r="174" spans="2:19" s="7" customFormat="1" ht="10.5" x14ac:dyDescent="0.25">
      <c r="B174" s="253" t="str">
        <f t="shared" si="52"/>
        <v>ECG</v>
      </c>
      <c r="C174" s="100">
        <f t="shared" si="53"/>
        <v>1.3400000000000003</v>
      </c>
      <c r="D174" s="96" t="str">
        <f t="shared" si="54"/>
        <v>kg/m3</v>
      </c>
      <c r="E174" s="101">
        <f t="shared" si="55"/>
        <v>1.3400000000000003</v>
      </c>
      <c r="F174" s="103" t="str">
        <f t="shared" si="56"/>
        <v>l/m3</v>
      </c>
      <c r="G174" s="601"/>
      <c r="I174" s="82"/>
      <c r="L174" s="253" t="str">
        <f t="shared" si="57"/>
        <v>ECG</v>
      </c>
      <c r="M174" s="100">
        <f t="shared" si="58"/>
        <v>4.6900000000000011E-2</v>
      </c>
      <c r="N174" s="96" t="str">
        <f t="shared" si="59"/>
        <v>kg</v>
      </c>
      <c r="O174" s="101">
        <f t="shared" si="60"/>
        <v>4.6900000000000011E-2</v>
      </c>
      <c r="P174" s="103" t="str">
        <f t="shared" si="61"/>
        <v>litros</v>
      </c>
    </row>
    <row r="175" spans="2:19" s="7" customFormat="1" ht="10.5" x14ac:dyDescent="0.25">
      <c r="B175" s="253" t="str">
        <f t="shared" si="52"/>
        <v>EDF</v>
      </c>
      <c r="C175" s="100">
        <f t="shared" si="53"/>
        <v>0.1</v>
      </c>
      <c r="D175" s="96" t="str">
        <f t="shared" si="54"/>
        <v>kg/m3</v>
      </c>
      <c r="E175" s="101">
        <f t="shared" si="55"/>
        <v>0.1</v>
      </c>
      <c r="F175" s="103" t="str">
        <f t="shared" si="56"/>
        <v>l/m3</v>
      </c>
      <c r="G175" s="601"/>
      <c r="L175" s="253" t="str">
        <f t="shared" si="57"/>
        <v>EDF</v>
      </c>
      <c r="M175" s="100">
        <f t="shared" si="58"/>
        <v>3.5000000000000001E-3</v>
      </c>
      <c r="N175" s="96" t="str">
        <f t="shared" si="59"/>
        <v>kg</v>
      </c>
      <c r="O175" s="101">
        <f t="shared" si="60"/>
        <v>3.5000000000000001E-3</v>
      </c>
      <c r="P175" s="103" t="str">
        <f t="shared" si="61"/>
        <v>litros</v>
      </c>
    </row>
    <row r="176" spans="2:19" s="7" customFormat="1" ht="10.5" x14ac:dyDescent="0.25">
      <c r="B176" s="253" t="str">
        <f t="shared" si="52"/>
        <v/>
      </c>
      <c r="C176" s="100" t="str">
        <f t="shared" si="53"/>
        <v/>
      </c>
      <c r="D176" s="96" t="str">
        <f t="shared" si="54"/>
        <v/>
      </c>
      <c r="E176" s="101" t="str">
        <f t="shared" si="55"/>
        <v/>
      </c>
      <c r="F176" s="103" t="str">
        <f t="shared" si="56"/>
        <v/>
      </c>
      <c r="G176" s="601"/>
      <c r="L176" s="253" t="str">
        <f t="shared" si="57"/>
        <v/>
      </c>
      <c r="M176" s="100" t="str">
        <f t="shared" si="58"/>
        <v/>
      </c>
      <c r="N176" s="96" t="str">
        <f t="shared" si="59"/>
        <v/>
      </c>
      <c r="O176" s="101" t="str">
        <f t="shared" si="60"/>
        <v/>
      </c>
      <c r="P176" s="103" t="str">
        <f t="shared" si="61"/>
        <v/>
      </c>
    </row>
    <row r="177" spans="1:19" s="7" customFormat="1" ht="10.5" x14ac:dyDescent="0.25">
      <c r="B177" s="253" t="str">
        <f t="shared" si="52"/>
        <v/>
      </c>
      <c r="C177" s="100" t="str">
        <f t="shared" si="53"/>
        <v/>
      </c>
      <c r="D177" s="96" t="str">
        <f t="shared" si="54"/>
        <v/>
      </c>
      <c r="E177" s="101" t="str">
        <f t="shared" si="55"/>
        <v/>
      </c>
      <c r="F177" s="103" t="str">
        <f t="shared" si="56"/>
        <v/>
      </c>
      <c r="G177" s="601"/>
      <c r="K177" s="82"/>
      <c r="L177" s="253" t="str">
        <f t="shared" si="57"/>
        <v/>
      </c>
      <c r="M177" s="100" t="str">
        <f t="shared" si="58"/>
        <v/>
      </c>
      <c r="N177" s="96" t="str">
        <f t="shared" si="59"/>
        <v/>
      </c>
      <c r="O177" s="101" t="str">
        <f t="shared" si="60"/>
        <v/>
      </c>
      <c r="P177" s="103" t="str">
        <f t="shared" si="61"/>
        <v/>
      </c>
    </row>
    <row r="178" spans="1:19" s="7" customFormat="1" ht="10.5" x14ac:dyDescent="0.25">
      <c r="B178" s="253" t="str">
        <f t="shared" si="52"/>
        <v/>
      </c>
      <c r="C178" s="100" t="str">
        <f t="shared" si="53"/>
        <v/>
      </c>
      <c r="D178" s="96" t="str">
        <f t="shared" si="54"/>
        <v/>
      </c>
      <c r="E178" s="101" t="str">
        <f t="shared" si="55"/>
        <v/>
      </c>
      <c r="F178" s="103" t="str">
        <f t="shared" si="56"/>
        <v/>
      </c>
      <c r="G178" s="601"/>
      <c r="K178" s="240"/>
      <c r="L178" s="253" t="str">
        <f t="shared" si="57"/>
        <v/>
      </c>
      <c r="M178" s="100" t="str">
        <f t="shared" si="58"/>
        <v/>
      </c>
      <c r="N178" s="96" t="str">
        <f t="shared" si="59"/>
        <v/>
      </c>
      <c r="O178" s="101" t="str">
        <f t="shared" si="60"/>
        <v/>
      </c>
      <c r="P178" s="103" t="str">
        <f t="shared" si="61"/>
        <v/>
      </c>
    </row>
    <row r="179" spans="1:19" s="7" customFormat="1" ht="10.5" x14ac:dyDescent="0.25">
      <c r="B179" s="83" t="s">
        <v>28</v>
      </c>
      <c r="C179" s="84" t="s">
        <v>63</v>
      </c>
      <c r="D179" s="85" t="s">
        <v>64</v>
      </c>
      <c r="E179" s="90" t="s">
        <v>66</v>
      </c>
      <c r="F179" s="91" t="s">
        <v>64</v>
      </c>
      <c r="G179" s="610"/>
      <c r="K179" s="240"/>
      <c r="L179" s="83" t="s">
        <v>28</v>
      </c>
      <c r="M179" s="84" t="s">
        <v>63</v>
      </c>
      <c r="N179" s="85" t="s">
        <v>64</v>
      </c>
      <c r="O179" s="90" t="s">
        <v>66</v>
      </c>
      <c r="P179" s="91" t="s">
        <v>64</v>
      </c>
    </row>
    <row r="180" spans="1:19" s="7" customFormat="1" ht="10.5" x14ac:dyDescent="0.25">
      <c r="B180" s="253" t="str">
        <f t="shared" ref="B180:B185" si="62">IF(Q15&gt;0,N15,"")</f>
        <v/>
      </c>
      <c r="C180" s="95" t="str">
        <f t="shared" ref="C180:C185" si="63">IF(N127&gt;0,O127,"")</f>
        <v/>
      </c>
      <c r="D180" s="102" t="str">
        <f t="shared" ref="D180:D185" si="64">IF(N127&gt;0,"kg/m3","")</f>
        <v/>
      </c>
      <c r="E180" s="100" t="str">
        <f t="shared" ref="E180:E185" si="65">IF(N127&gt;0,P127,"")</f>
        <v/>
      </c>
      <c r="F180" s="103" t="str">
        <f t="shared" ref="F180:F185" si="66">IF(N127&gt;0,"l/m3","")</f>
        <v/>
      </c>
      <c r="G180" s="601"/>
      <c r="L180" s="253" t="str">
        <f t="shared" ref="L180:L185" si="67">IF(Q15&gt;0,N15,"")</f>
        <v/>
      </c>
      <c r="M180" s="239" t="str">
        <f t="shared" ref="M180:M185" si="68">IF(N127&gt;0,O127*N$9/N$8,"")</f>
        <v/>
      </c>
      <c r="N180" s="102" t="str">
        <f t="shared" ref="N180:N185" si="69">IF(N127&gt;0,"kg","")</f>
        <v/>
      </c>
      <c r="O180" s="100" t="str">
        <f>IF(N127&gt;0,P127*N$9/N$8,"")</f>
        <v/>
      </c>
      <c r="P180" s="103" t="str">
        <f t="shared" ref="P180:P185" si="70">IF(N127&gt;0,"litros","")</f>
        <v/>
      </c>
    </row>
    <row r="181" spans="1:19" s="7" customFormat="1" ht="10.5" x14ac:dyDescent="0.25">
      <c r="B181" s="253" t="str">
        <f t="shared" si="62"/>
        <v/>
      </c>
      <c r="C181" s="95" t="str">
        <f t="shared" si="63"/>
        <v/>
      </c>
      <c r="D181" s="102" t="str">
        <f t="shared" si="64"/>
        <v/>
      </c>
      <c r="E181" s="100" t="str">
        <f t="shared" si="65"/>
        <v/>
      </c>
      <c r="F181" s="103" t="str">
        <f t="shared" si="66"/>
        <v/>
      </c>
      <c r="G181" s="601"/>
      <c r="L181" s="253" t="str">
        <f t="shared" si="67"/>
        <v/>
      </c>
      <c r="M181" s="239" t="str">
        <f t="shared" si="68"/>
        <v/>
      </c>
      <c r="N181" s="102" t="str">
        <f t="shared" si="69"/>
        <v/>
      </c>
      <c r="O181" s="100" t="str">
        <f>IF(N128&gt;0,P128*N$9/N$8,"")</f>
        <v/>
      </c>
      <c r="P181" s="103" t="str">
        <f t="shared" si="70"/>
        <v/>
      </c>
    </row>
    <row r="182" spans="1:19" s="7" customFormat="1" ht="10.5" x14ac:dyDescent="0.25">
      <c r="B182" s="253" t="str">
        <f t="shared" si="62"/>
        <v/>
      </c>
      <c r="C182" s="254" t="str">
        <f t="shared" si="63"/>
        <v/>
      </c>
      <c r="D182" s="102" t="str">
        <f t="shared" si="64"/>
        <v/>
      </c>
      <c r="E182" s="100" t="str">
        <f t="shared" si="65"/>
        <v/>
      </c>
      <c r="F182" s="103" t="str">
        <f t="shared" si="66"/>
        <v/>
      </c>
      <c r="G182" s="601"/>
      <c r="L182" s="253" t="str">
        <f t="shared" si="67"/>
        <v/>
      </c>
      <c r="M182" s="239" t="str">
        <f t="shared" si="68"/>
        <v/>
      </c>
      <c r="N182" s="102" t="str">
        <f t="shared" si="69"/>
        <v/>
      </c>
      <c r="O182" s="100" t="str">
        <f>IF(N129&gt;0,P129,"")</f>
        <v/>
      </c>
      <c r="P182" s="103" t="str">
        <f t="shared" si="70"/>
        <v/>
      </c>
    </row>
    <row r="183" spans="1:19" ht="12.75" customHeight="1" x14ac:dyDescent="0.25">
      <c r="B183" s="253" t="str">
        <f t="shared" si="62"/>
        <v/>
      </c>
      <c r="C183" s="254" t="str">
        <f t="shared" si="63"/>
        <v/>
      </c>
      <c r="D183" s="102" t="str">
        <f t="shared" si="64"/>
        <v/>
      </c>
      <c r="E183" s="100" t="str">
        <f t="shared" si="65"/>
        <v/>
      </c>
      <c r="F183" s="103" t="str">
        <f t="shared" si="66"/>
        <v/>
      </c>
      <c r="G183" s="601"/>
      <c r="H183" s="7"/>
      <c r="I183" s="7"/>
      <c r="J183" s="7"/>
      <c r="L183" s="253" t="str">
        <f t="shared" si="67"/>
        <v/>
      </c>
      <c r="M183" s="239" t="str">
        <f t="shared" si="68"/>
        <v/>
      </c>
      <c r="N183" s="102" t="str">
        <f t="shared" si="69"/>
        <v/>
      </c>
      <c r="O183" s="100" t="str">
        <f>IF(N130&gt;0,P130,"")</f>
        <v/>
      </c>
      <c r="P183" s="103" t="str">
        <f t="shared" si="70"/>
        <v/>
      </c>
    </row>
    <row r="184" spans="1:19" ht="12.75" customHeight="1" x14ac:dyDescent="0.25">
      <c r="B184" s="253" t="str">
        <f t="shared" si="62"/>
        <v/>
      </c>
      <c r="C184" s="254" t="str">
        <f t="shared" si="63"/>
        <v/>
      </c>
      <c r="D184" s="102" t="str">
        <f t="shared" si="64"/>
        <v/>
      </c>
      <c r="E184" s="100" t="str">
        <f t="shared" si="65"/>
        <v/>
      </c>
      <c r="F184" s="103" t="str">
        <f t="shared" si="66"/>
        <v/>
      </c>
      <c r="G184" s="601"/>
      <c r="H184" s="7"/>
      <c r="I184" s="7"/>
      <c r="J184" s="7"/>
      <c r="L184" s="253" t="str">
        <f t="shared" si="67"/>
        <v/>
      </c>
      <c r="M184" s="239" t="str">
        <f t="shared" si="68"/>
        <v/>
      </c>
      <c r="N184" s="102" t="str">
        <f t="shared" si="69"/>
        <v/>
      </c>
      <c r="O184" s="100" t="str">
        <f>IF(N131&gt;0,P131,"")</f>
        <v/>
      </c>
      <c r="P184" s="103" t="str">
        <f t="shared" si="70"/>
        <v/>
      </c>
    </row>
    <row r="185" spans="1:19" ht="12.75" customHeight="1" thickBot="1" x14ac:dyDescent="0.3">
      <c r="B185" s="255" t="str">
        <f t="shared" si="62"/>
        <v/>
      </c>
      <c r="C185" s="256" t="str">
        <f t="shared" si="63"/>
        <v/>
      </c>
      <c r="D185" s="257" t="str">
        <f t="shared" si="64"/>
        <v/>
      </c>
      <c r="E185" s="258" t="str">
        <f t="shared" si="65"/>
        <v/>
      </c>
      <c r="F185" s="259" t="str">
        <f t="shared" si="66"/>
        <v/>
      </c>
      <c r="G185" s="601"/>
      <c r="H185" s="7"/>
      <c r="I185" s="7"/>
      <c r="J185" s="7"/>
      <c r="L185" s="255" t="str">
        <f t="shared" si="67"/>
        <v/>
      </c>
      <c r="M185" s="260" t="str">
        <f t="shared" si="68"/>
        <v/>
      </c>
      <c r="N185" s="257" t="str">
        <f t="shared" si="69"/>
        <v/>
      </c>
      <c r="O185" s="258" t="str">
        <f>IF(N132&gt;0,P132,"")</f>
        <v/>
      </c>
      <c r="P185" s="259" t="str">
        <f t="shared" si="70"/>
        <v/>
      </c>
      <c r="S185" s="261"/>
    </row>
    <row r="186" spans="1:19" ht="12.75" customHeight="1" x14ac:dyDescent="0.25">
      <c r="F186" s="7"/>
      <c r="G186" s="579"/>
      <c r="H186" s="7"/>
      <c r="I186" s="7"/>
      <c r="O186" s="262"/>
      <c r="S186" s="263"/>
    </row>
    <row r="187" spans="1:19" ht="12.75" customHeight="1" thickBot="1" x14ac:dyDescent="0.35">
      <c r="A187" s="1190" t="s">
        <v>119</v>
      </c>
      <c r="B187" s="1191"/>
      <c r="C187" s="1191"/>
      <c r="D187" s="1191"/>
      <c r="E187" s="1191"/>
      <c r="F187" s="1191"/>
      <c r="G187" s="1191"/>
      <c r="H187" s="1191"/>
      <c r="I187" s="1191"/>
      <c r="J187" s="1191"/>
      <c r="K187" s="1191"/>
      <c r="L187" s="1191"/>
      <c r="M187" s="1191"/>
      <c r="N187" s="1191"/>
      <c r="O187" s="1191"/>
      <c r="P187" s="1191"/>
      <c r="Q187" s="1191"/>
      <c r="R187" s="1192"/>
    </row>
    <row r="188" spans="1:19" s="7" customFormat="1" ht="11.5" x14ac:dyDescent="0.25">
      <c r="A188" s="176" t="str">
        <f>A7</f>
        <v>Nombre del estudio:</v>
      </c>
      <c r="C188" s="1161" t="str">
        <f>IF(C7="","",C7)</f>
        <v>Hazama</v>
      </c>
      <c r="D188" s="1161"/>
      <c r="E188" s="1161"/>
      <c r="F188" s="1161"/>
      <c r="G188" s="1161"/>
      <c r="H188" s="1161"/>
      <c r="I188" s="1161"/>
      <c r="P188" s="177" t="str">
        <f>P7</f>
        <v>Id. Mezcla:</v>
      </c>
      <c r="Q188" s="1161" t="str">
        <f>IF(Q7="","",Q7)</f>
        <v>Diseño 1</v>
      </c>
      <c r="R188" s="1161"/>
    </row>
    <row r="189" spans="1:19" s="7" customFormat="1" ht="11.5" x14ac:dyDescent="0.25">
      <c r="A189" s="176" t="str">
        <f>A8</f>
        <v>Código del Concreto:</v>
      </c>
      <c r="C189" s="1136" t="str">
        <f>IF(C8="","",C8)</f>
        <v>B-042-4-B-28-14-0-O-110</v>
      </c>
      <c r="D189" s="1136"/>
      <c r="E189" s="1136"/>
      <c r="F189" s="1136"/>
      <c r="G189" s="601"/>
    </row>
    <row r="190" spans="1:19" s="7" customFormat="1" ht="10" x14ac:dyDescent="0.2">
      <c r="G190" s="579"/>
    </row>
    <row r="191" spans="1:19" s="7" customFormat="1" ht="10.5" x14ac:dyDescent="0.25">
      <c r="A191" s="178" t="s">
        <v>98</v>
      </c>
      <c r="B191" s="179"/>
      <c r="C191" s="179"/>
      <c r="D191" s="179"/>
      <c r="E191" s="179"/>
      <c r="F191" s="179"/>
      <c r="G191" s="602"/>
      <c r="H191" s="179"/>
      <c r="I191" s="179"/>
      <c r="J191" s="179"/>
      <c r="K191" s="179"/>
      <c r="L191" s="179"/>
      <c r="M191" s="179"/>
      <c r="N191" s="179"/>
      <c r="O191" s="179"/>
      <c r="P191" s="180"/>
      <c r="Q191" s="1177" t="s">
        <v>99</v>
      </c>
      <c r="R191" s="1178"/>
    </row>
    <row r="192" spans="1:19" s="7" customFormat="1" ht="33.75" customHeight="1" x14ac:dyDescent="0.2">
      <c r="A192" s="181" t="s">
        <v>20</v>
      </c>
      <c r="B192" s="182" t="s">
        <v>100</v>
      </c>
      <c r="C192" s="183" t="s">
        <v>101</v>
      </c>
      <c r="D192" s="182" t="s">
        <v>102</v>
      </c>
      <c r="E192" s="184" t="s">
        <v>103</v>
      </c>
      <c r="F192" s="182" t="s">
        <v>20</v>
      </c>
      <c r="G192" s="603"/>
      <c r="H192" s="182" t="s">
        <v>100</v>
      </c>
      <c r="I192" s="183" t="s">
        <v>101</v>
      </c>
      <c r="J192" s="182" t="s">
        <v>102</v>
      </c>
      <c r="K192" s="184" t="s">
        <v>103</v>
      </c>
      <c r="L192" s="182" t="s">
        <v>20</v>
      </c>
      <c r="M192" s="182" t="s">
        <v>100</v>
      </c>
      <c r="N192" s="183" t="s">
        <v>101</v>
      </c>
      <c r="O192" s="182" t="s">
        <v>102</v>
      </c>
      <c r="P192" s="185" t="s">
        <v>103</v>
      </c>
      <c r="Q192" s="1175" t="s">
        <v>104</v>
      </c>
      <c r="R192" s="1176"/>
    </row>
    <row r="193" spans="1:18" s="7" customFormat="1" ht="10" x14ac:dyDescent="0.2">
      <c r="A193" s="186" t="str">
        <f t="shared" ref="A193:A200" si="71">IF(A74="","",A74)</f>
        <v>CO</v>
      </c>
      <c r="B193" s="187">
        <f t="shared" ref="B193:B200" si="72">IF(C164="","",C164)</f>
        <v>335</v>
      </c>
      <c r="C193" s="957">
        <f t="shared" ref="C193:C199" si="73">IF(C117=0,"",C117)</f>
        <v>3200</v>
      </c>
      <c r="D193" s="188" t="str">
        <f>IF(A193="","","$/Ton")</f>
        <v>$/Ton</v>
      </c>
      <c r="E193" s="189">
        <f t="shared" ref="E193:E199" si="74">IF(A193="","",C193*B193/1000)</f>
        <v>1072</v>
      </c>
      <c r="F193" s="102" t="str">
        <f t="shared" ref="F193:F198" si="75">+F74</f>
        <v>EDV</v>
      </c>
      <c r="G193" s="604"/>
      <c r="H193" s="190">
        <f t="shared" ref="H193:H198" si="76">IF(C173="","",C173)</f>
        <v>1.6750000000000003</v>
      </c>
      <c r="I193" s="957">
        <f t="shared" ref="I193:I198" si="77">IF(I117=0,"",I117)</f>
        <v>30</v>
      </c>
      <c r="J193" s="188" t="str">
        <f t="shared" ref="J193:J198" si="78">IF(F193="","","$/litros")</f>
        <v>$/litros</v>
      </c>
      <c r="K193" s="189">
        <f t="shared" ref="K193:K198" si="79">IF(F193="","",I193*H193)</f>
        <v>50.250000000000007</v>
      </c>
      <c r="L193" s="102" t="str">
        <f t="shared" ref="L193:L198" si="80">+L74</f>
        <v/>
      </c>
      <c r="M193" s="187" t="str">
        <f t="shared" ref="M193:M198" si="81">IF(C180="","",C180)</f>
        <v/>
      </c>
      <c r="N193" s="957" t="str">
        <f t="shared" ref="N193:N198" si="82">IF(N117=0,"",N117)</f>
        <v/>
      </c>
      <c r="O193" s="188" t="str">
        <f t="shared" ref="O193:O198" si="83">IF(L193="","","$/kg")</f>
        <v/>
      </c>
      <c r="P193" s="191" t="str">
        <f t="shared" ref="P193:P198" si="84">IF(M193="","",M193*N193)</f>
        <v/>
      </c>
      <c r="Q193" s="1186">
        <f>E201+K201+P201</f>
        <v>1789.701784348922</v>
      </c>
      <c r="R193" s="1187"/>
    </row>
    <row r="194" spans="1:18" s="7" customFormat="1" ht="10" x14ac:dyDescent="0.2">
      <c r="A194" s="186" t="str">
        <f t="shared" si="71"/>
        <v/>
      </c>
      <c r="B194" s="187" t="str">
        <f t="shared" si="72"/>
        <v/>
      </c>
      <c r="C194" s="957" t="str">
        <f t="shared" si="73"/>
        <v/>
      </c>
      <c r="D194" s="188" t="str">
        <f>IF(A194="","","$/Ton")</f>
        <v/>
      </c>
      <c r="E194" s="189" t="str">
        <f t="shared" si="74"/>
        <v/>
      </c>
      <c r="F194" s="102" t="str">
        <f t="shared" si="75"/>
        <v>ECG</v>
      </c>
      <c r="G194" s="604"/>
      <c r="H194" s="190">
        <f t="shared" si="76"/>
        <v>1.3400000000000003</v>
      </c>
      <c r="I194" s="957">
        <v>32</v>
      </c>
      <c r="J194" s="188" t="str">
        <f t="shared" si="78"/>
        <v>$/litros</v>
      </c>
      <c r="K194" s="189">
        <f t="shared" si="79"/>
        <v>42.88000000000001</v>
      </c>
      <c r="L194" s="102" t="str">
        <f t="shared" si="80"/>
        <v/>
      </c>
      <c r="M194" s="187" t="str">
        <f t="shared" si="81"/>
        <v/>
      </c>
      <c r="N194" s="957" t="str">
        <f t="shared" si="82"/>
        <v/>
      </c>
      <c r="O194" s="188" t="str">
        <f t="shared" si="83"/>
        <v/>
      </c>
      <c r="P194" s="191" t="str">
        <f t="shared" si="84"/>
        <v/>
      </c>
      <c r="Q194" s="1186"/>
      <c r="R194" s="1187"/>
    </row>
    <row r="195" spans="1:18" s="7" customFormat="1" ht="10.5" thickBot="1" x14ac:dyDescent="0.25">
      <c r="A195" s="186" t="str">
        <f t="shared" si="71"/>
        <v>A1</v>
      </c>
      <c r="B195" s="187">
        <f t="shared" si="72"/>
        <v>175</v>
      </c>
      <c r="C195" s="957">
        <f t="shared" si="73"/>
        <v>155</v>
      </c>
      <c r="D195" s="188" t="str">
        <f>IF(A195="","","$/m3")</f>
        <v>$/m3</v>
      </c>
      <c r="E195" s="189">
        <f t="shared" si="74"/>
        <v>27.125</v>
      </c>
      <c r="F195" s="102" t="str">
        <f t="shared" si="75"/>
        <v>EDF</v>
      </c>
      <c r="G195" s="604"/>
      <c r="H195" s="190">
        <f t="shared" si="76"/>
        <v>0.1</v>
      </c>
      <c r="I195" s="957">
        <v>300</v>
      </c>
      <c r="J195" s="188" t="str">
        <f t="shared" si="78"/>
        <v>$/litros</v>
      </c>
      <c r="K195" s="189">
        <f t="shared" si="79"/>
        <v>30</v>
      </c>
      <c r="L195" s="102" t="str">
        <f t="shared" si="80"/>
        <v/>
      </c>
      <c r="M195" s="187" t="str">
        <f t="shared" si="81"/>
        <v/>
      </c>
      <c r="N195" s="957" t="str">
        <f t="shared" si="82"/>
        <v/>
      </c>
      <c r="O195" s="188" t="str">
        <f t="shared" si="83"/>
        <v/>
      </c>
      <c r="P195" s="191" t="str">
        <f t="shared" si="84"/>
        <v/>
      </c>
      <c r="Q195" s="1188"/>
      <c r="R195" s="1189"/>
    </row>
    <row r="196" spans="1:18" s="7" customFormat="1" ht="10" x14ac:dyDescent="0.2">
      <c r="A196" s="186" t="str">
        <f t="shared" si="71"/>
        <v>AC2</v>
      </c>
      <c r="B196" s="187">
        <f t="shared" si="72"/>
        <v>930.78994873847171</v>
      </c>
      <c r="C196" s="957">
        <f t="shared" si="73"/>
        <v>411</v>
      </c>
      <c r="D196" s="188" t="str">
        <f>IF(A196="","","$/Ton")</f>
        <v>$/Ton</v>
      </c>
      <c r="E196" s="189">
        <f t="shared" si="74"/>
        <v>382.55466893151186</v>
      </c>
      <c r="F196" s="102" t="str">
        <f t="shared" si="75"/>
        <v/>
      </c>
      <c r="G196" s="604"/>
      <c r="H196" s="190" t="str">
        <f t="shared" si="76"/>
        <v/>
      </c>
      <c r="I196" s="957" t="str">
        <f t="shared" si="77"/>
        <v/>
      </c>
      <c r="J196" s="188" t="str">
        <f t="shared" si="78"/>
        <v/>
      </c>
      <c r="K196" s="189" t="str">
        <f t="shared" si="79"/>
        <v/>
      </c>
      <c r="L196" s="102" t="str">
        <f t="shared" si="80"/>
        <v/>
      </c>
      <c r="M196" s="187" t="str">
        <f t="shared" si="81"/>
        <v/>
      </c>
      <c r="N196" s="957" t="str">
        <f t="shared" si="82"/>
        <v/>
      </c>
      <c r="O196" s="188" t="str">
        <f t="shared" si="83"/>
        <v/>
      </c>
      <c r="P196" s="191" t="str">
        <f t="shared" si="84"/>
        <v/>
      </c>
    </row>
    <row r="197" spans="1:18" s="7" customFormat="1" ht="10" x14ac:dyDescent="0.2">
      <c r="A197" s="186" t="str">
        <f t="shared" si="71"/>
        <v/>
      </c>
      <c r="B197" s="187" t="str">
        <f t="shared" si="72"/>
        <v/>
      </c>
      <c r="C197" s="957" t="str">
        <f t="shared" si="73"/>
        <v/>
      </c>
      <c r="D197" s="188" t="str">
        <f>IF(A197="","","$/Ton")</f>
        <v/>
      </c>
      <c r="E197" s="189" t="str">
        <f t="shared" si="74"/>
        <v/>
      </c>
      <c r="F197" s="102" t="str">
        <f t="shared" si="75"/>
        <v/>
      </c>
      <c r="G197" s="604"/>
      <c r="H197" s="190" t="str">
        <f t="shared" si="76"/>
        <v/>
      </c>
      <c r="I197" s="957" t="str">
        <f t="shared" si="77"/>
        <v/>
      </c>
      <c r="J197" s="188" t="str">
        <f t="shared" si="78"/>
        <v/>
      </c>
      <c r="K197" s="189" t="str">
        <f t="shared" si="79"/>
        <v/>
      </c>
      <c r="L197" s="102" t="str">
        <f t="shared" si="80"/>
        <v/>
      </c>
      <c r="M197" s="187" t="str">
        <f t="shared" si="81"/>
        <v/>
      </c>
      <c r="N197" s="957" t="str">
        <f t="shared" si="82"/>
        <v/>
      </c>
      <c r="O197" s="188" t="str">
        <f t="shared" si="83"/>
        <v/>
      </c>
      <c r="P197" s="191" t="str">
        <f t="shared" si="84"/>
        <v/>
      </c>
    </row>
    <row r="198" spans="1:18" s="7" customFormat="1" ht="10" x14ac:dyDescent="0.2">
      <c r="A198" s="186" t="str">
        <f t="shared" si="71"/>
        <v>GB2</v>
      </c>
      <c r="B198" s="187">
        <f t="shared" si="72"/>
        <v>968.02154668801052</v>
      </c>
      <c r="C198" s="957">
        <f t="shared" si="73"/>
        <v>191</v>
      </c>
      <c r="D198" s="188" t="str">
        <f>IF(A198="","","$/Ton")</f>
        <v>$/Ton</v>
      </c>
      <c r="E198" s="189">
        <f t="shared" si="74"/>
        <v>184.89211541741</v>
      </c>
      <c r="F198" s="102" t="str">
        <f t="shared" si="75"/>
        <v/>
      </c>
      <c r="G198" s="604"/>
      <c r="H198" s="190" t="str">
        <f t="shared" si="76"/>
        <v/>
      </c>
      <c r="I198" s="957" t="str">
        <f t="shared" si="77"/>
        <v/>
      </c>
      <c r="J198" s="188" t="str">
        <f t="shared" si="78"/>
        <v/>
      </c>
      <c r="K198" s="189" t="str">
        <f t="shared" si="79"/>
        <v/>
      </c>
      <c r="L198" s="102" t="str">
        <f t="shared" si="80"/>
        <v/>
      </c>
      <c r="M198" s="187" t="str">
        <f t="shared" si="81"/>
        <v/>
      </c>
      <c r="N198" s="957" t="str">
        <f t="shared" si="82"/>
        <v/>
      </c>
      <c r="O198" s="188" t="str">
        <f t="shared" si="83"/>
        <v/>
      </c>
      <c r="P198" s="191" t="str">
        <f t="shared" si="84"/>
        <v/>
      </c>
    </row>
    <row r="199" spans="1:18" s="7" customFormat="1" ht="10" x14ac:dyDescent="0.2">
      <c r="A199" s="186" t="str">
        <f t="shared" si="71"/>
        <v/>
      </c>
      <c r="B199" s="187" t="str">
        <f t="shared" si="72"/>
        <v/>
      </c>
      <c r="C199" s="957">
        <f t="shared" si="73"/>
        <v>191</v>
      </c>
      <c r="D199" s="188" t="str">
        <f>IF(A199="","","$/Ton")</f>
        <v/>
      </c>
      <c r="E199" s="189" t="str">
        <f t="shared" si="74"/>
        <v/>
      </c>
      <c r="F199" s="192"/>
      <c r="G199" s="605"/>
      <c r="H199" s="192"/>
      <c r="I199" s="192"/>
      <c r="J199" s="192"/>
      <c r="K199" s="193"/>
      <c r="L199" s="192"/>
      <c r="M199" s="192"/>
      <c r="N199" s="192"/>
      <c r="O199" s="192"/>
      <c r="P199" s="194"/>
    </row>
    <row r="200" spans="1:18" s="7" customFormat="1" ht="10" x14ac:dyDescent="0.2">
      <c r="A200" s="186" t="str">
        <f t="shared" si="71"/>
        <v/>
      </c>
      <c r="B200" s="187" t="str">
        <f t="shared" si="72"/>
        <v/>
      </c>
      <c r="C200" s="958"/>
      <c r="D200" s="188" t="str">
        <f>IF(A200="","","$/Ton")</f>
        <v/>
      </c>
      <c r="E200" s="189" t="str">
        <f>IF(A200="","",C200*B200/1000)</f>
        <v/>
      </c>
      <c r="F200" s="570"/>
      <c r="G200" s="579"/>
      <c r="H200" s="570"/>
      <c r="I200" s="570"/>
      <c r="J200" s="570"/>
      <c r="K200" s="635"/>
      <c r="L200" s="570"/>
      <c r="M200" s="570"/>
      <c r="N200" s="570"/>
      <c r="O200" s="570"/>
      <c r="P200" s="636"/>
    </row>
    <row r="201" spans="1:18" s="7" customFormat="1" ht="11" thickBot="1" x14ac:dyDescent="0.3">
      <c r="A201" s="195" t="s">
        <v>105</v>
      </c>
      <c r="B201" s="154"/>
      <c r="C201" s="154"/>
      <c r="D201" s="154"/>
      <c r="E201" s="196">
        <f>SUM(E193:E200)</f>
        <v>1666.5717843489219</v>
      </c>
      <c r="F201" s="154"/>
      <c r="G201" s="594"/>
      <c r="H201" s="154"/>
      <c r="I201" s="154"/>
      <c r="J201" s="154"/>
      <c r="K201" s="197">
        <f>SUM(K193:K198)</f>
        <v>123.13000000000002</v>
      </c>
      <c r="L201" s="154"/>
      <c r="M201" s="154"/>
      <c r="N201" s="154"/>
      <c r="O201" s="154"/>
      <c r="P201" s="198">
        <f>SUM(P193:P198)</f>
        <v>0</v>
      </c>
    </row>
    <row r="202" spans="1:18" ht="12.75" customHeight="1" x14ac:dyDescent="0.25"/>
    <row r="203" spans="1:18" ht="12.75" customHeight="1" x14ac:dyDescent="0.25"/>
    <row r="204" spans="1:18" ht="12.75" customHeight="1" x14ac:dyDescent="0.25"/>
    <row r="205" spans="1:18" ht="12.75" customHeight="1" x14ac:dyDescent="0.25"/>
    <row r="206" spans="1:18" ht="12.75" customHeight="1" x14ac:dyDescent="0.25"/>
    <row r="207" spans="1:18" ht="12.75" customHeight="1" x14ac:dyDescent="0.25"/>
    <row r="208" spans="1:1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</sheetData>
  <sheetProtection formatCells="0"/>
  <mergeCells count="49">
    <mergeCell ref="T12:T13"/>
    <mergeCell ref="B35:C35"/>
    <mergeCell ref="D35:E35"/>
    <mergeCell ref="F35:H35"/>
    <mergeCell ref="I35:J35"/>
    <mergeCell ref="K35:L35"/>
    <mergeCell ref="M35:N35"/>
    <mergeCell ref="O35:P35"/>
    <mergeCell ref="Q35:R35"/>
    <mergeCell ref="Q192:R192"/>
    <mergeCell ref="Q193:R195"/>
    <mergeCell ref="A187:R187"/>
    <mergeCell ref="A110:R110"/>
    <mergeCell ref="C188:I188"/>
    <mergeCell ref="Q188:R188"/>
    <mergeCell ref="Q191:R191"/>
    <mergeCell ref="C112:I112"/>
    <mergeCell ref="B160:P160"/>
    <mergeCell ref="C189:F189"/>
    <mergeCell ref="L162:P162"/>
    <mergeCell ref="H162:J162"/>
    <mergeCell ref="B162:F162"/>
    <mergeCell ref="Q117:R119"/>
    <mergeCell ref="Q10:R10"/>
    <mergeCell ref="A72:P72"/>
    <mergeCell ref="A103:K103"/>
    <mergeCell ref="Q116:R116"/>
    <mergeCell ref="Q115:R115"/>
    <mergeCell ref="A104:K104"/>
    <mergeCell ref="A105:K105"/>
    <mergeCell ref="A83:O83"/>
    <mergeCell ref="N106:Q106"/>
    <mergeCell ref="A106:K106"/>
    <mergeCell ref="C8:F8"/>
    <mergeCell ref="C113:F113"/>
    <mergeCell ref="A107:K107"/>
    <mergeCell ref="C7:I7"/>
    <mergeCell ref="A1:R1"/>
    <mergeCell ref="A2:R2"/>
    <mergeCell ref="A3:R3"/>
    <mergeCell ref="A4:R4"/>
    <mergeCell ref="A13:R13"/>
    <mergeCell ref="Q72:R72"/>
    <mergeCell ref="A6:R6"/>
    <mergeCell ref="Q7:R7"/>
    <mergeCell ref="P83:R84"/>
    <mergeCell ref="Q112:R112"/>
    <mergeCell ref="A108:K108"/>
    <mergeCell ref="P9:R9"/>
  </mergeCells>
  <phoneticPr fontId="3" type="noConversion"/>
  <conditionalFormatting sqref="Q15:Q21 D16 L15:L21">
    <cfRule type="expression" dxfId="89" priority="37" stopIfTrue="1">
      <formula>A15=""</formula>
    </cfRule>
  </conditionalFormatting>
  <conditionalFormatting sqref="M74:M79 O74:O79 M180:M185 C180:C185 E180:E185 O180:O185 B16">
    <cfRule type="expression" dxfId="88" priority="38" stopIfTrue="1">
      <formula>A16=""</formula>
    </cfRule>
  </conditionalFormatting>
  <conditionalFormatting sqref="J15:J21">
    <cfRule type="expression" dxfId="87" priority="39" stopIfTrue="1">
      <formula>$I15=""</formula>
    </cfRule>
  </conditionalFormatting>
  <conditionalFormatting sqref="B94">
    <cfRule type="expression" dxfId="86" priority="40" stopIfTrue="1">
      <formula>IF(#REF!&gt;0,N$9*#REF!/N$8,"")</formula>
    </cfRule>
  </conditionalFormatting>
  <conditionalFormatting sqref="C16">
    <cfRule type="expression" dxfId="85" priority="41" stopIfTrue="1">
      <formula>A16=""</formula>
    </cfRule>
  </conditionalFormatting>
  <conditionalFormatting sqref="D20">
    <cfRule type="expression" dxfId="84" priority="42" stopIfTrue="1">
      <formula>OR(H49=1,H49=4,H49=5,H49=6)</formula>
    </cfRule>
  </conditionalFormatting>
  <conditionalFormatting sqref="E20">
    <cfRule type="expression" dxfId="83" priority="43" stopIfTrue="1">
      <formula>OR(H49=1,H49=4,H49=5,H49=6)</formula>
    </cfRule>
  </conditionalFormatting>
  <conditionalFormatting sqref="F20:G20">
    <cfRule type="expression" dxfId="82" priority="44" stopIfTrue="1">
      <formula>OR(H49=1,H49=4,H49=5,H49=6)</formula>
    </cfRule>
  </conditionalFormatting>
  <conditionalFormatting sqref="H20">
    <cfRule type="cellIs" dxfId="81" priority="16" operator="lessThan">
      <formula>0.00001</formula>
    </cfRule>
    <cfRule type="expression" dxfId="80" priority="45" stopIfTrue="1">
      <formula>OR(H49=1,H49=4,H49=5,H49=6)</formula>
    </cfRule>
  </conditionalFormatting>
  <conditionalFormatting sqref="D18">
    <cfRule type="expression" dxfId="79" priority="46" stopIfTrue="1">
      <formula>OR(H49=1,H49=3,H49=5,H49=8)</formula>
    </cfRule>
  </conditionalFormatting>
  <conditionalFormatting sqref="E18">
    <cfRule type="expression" dxfId="78" priority="47" stopIfTrue="1">
      <formula>OR(H49=1,H49=3,H49=5,H49=8)</formula>
    </cfRule>
  </conditionalFormatting>
  <conditionalFormatting sqref="F18:G18">
    <cfRule type="expression" dxfId="77" priority="48" stopIfTrue="1">
      <formula>OR(H49=1,H49=3,H49=5,H49=8)</formula>
    </cfRule>
  </conditionalFormatting>
  <conditionalFormatting sqref="H18">
    <cfRule type="cellIs" dxfId="76" priority="5" operator="equal">
      <formula>0</formula>
    </cfRule>
    <cfRule type="expression" dxfId="75" priority="49" stopIfTrue="1">
      <formula>OR(H49=1,H49=3,H49=5,H49=8)</formula>
    </cfRule>
  </conditionalFormatting>
  <conditionalFormatting sqref="A18">
    <cfRule type="expression" dxfId="74" priority="50" stopIfTrue="1">
      <formula>OR(H49=1,H49=3,H49=5,H49=8)</formula>
    </cfRule>
  </conditionalFormatting>
  <conditionalFormatting sqref="A20">
    <cfRule type="expression" dxfId="73" priority="51" stopIfTrue="1">
      <formula>OR(H49=1,H49=4,H49=5,H49=6)</formula>
    </cfRule>
  </conditionalFormatting>
  <conditionalFormatting sqref="B18">
    <cfRule type="expression" dxfId="72" priority="53" stopIfTrue="1">
      <formula>OR(H49=1,H49=3,H49=5,H49=8)</formula>
    </cfRule>
  </conditionalFormatting>
  <conditionalFormatting sqref="C18">
    <cfRule type="expression" dxfId="71" priority="54" stopIfTrue="1">
      <formula>OR(H49=1,H49=3,H49=5,H49=8)</formula>
    </cfRule>
  </conditionalFormatting>
  <conditionalFormatting sqref="B78">
    <cfRule type="expression" dxfId="70" priority="55" stopIfTrue="1">
      <formula>OR(H49=1,H49=3,H49=5,H49=8)</formula>
    </cfRule>
  </conditionalFormatting>
  <conditionalFormatting sqref="C78">
    <cfRule type="expression" dxfId="69" priority="56" stopIfTrue="1">
      <formula>OR(H49=1,H49=3,H49=5,H49=8)</formula>
    </cfRule>
  </conditionalFormatting>
  <conditionalFormatting sqref="D78">
    <cfRule type="expression" dxfId="68" priority="57" stopIfTrue="1">
      <formula>OR(H49=1,H49=3,H49=5,H49=8)</formula>
    </cfRule>
  </conditionalFormatting>
  <conditionalFormatting sqref="E78">
    <cfRule type="expression" dxfId="67" priority="58" stopIfTrue="1">
      <formula>OR(H49=1,H49=3,H49=5,H49=8)</formula>
    </cfRule>
  </conditionalFormatting>
  <conditionalFormatting sqref="A78">
    <cfRule type="expression" dxfId="66" priority="59" stopIfTrue="1">
      <formula>OR(H49=1,H49=3,H49=5,H49=8)</formula>
    </cfRule>
  </conditionalFormatting>
  <conditionalFormatting sqref="A79">
    <cfRule type="expression" dxfId="65" priority="60" stopIfTrue="1">
      <formula>OR(H49=5,H49=6)</formula>
    </cfRule>
  </conditionalFormatting>
  <conditionalFormatting sqref="B79">
    <cfRule type="expression" dxfId="64" priority="61" stopIfTrue="1">
      <formula>OR(H49=5,H49=6)</formula>
    </cfRule>
  </conditionalFormatting>
  <conditionalFormatting sqref="C79">
    <cfRule type="expression" dxfId="63" priority="62" stopIfTrue="1">
      <formula>OR(H49=5,H49=6)</formula>
    </cfRule>
  </conditionalFormatting>
  <conditionalFormatting sqref="D90">
    <cfRule type="expression" dxfId="62" priority="63" stopIfTrue="1">
      <formula>OR(H49=5,H49=6)</formula>
    </cfRule>
  </conditionalFormatting>
  <conditionalFormatting sqref="E90">
    <cfRule type="expression" dxfId="61" priority="64" stopIfTrue="1">
      <formula>OR(H49=5,H49=6)</formula>
    </cfRule>
  </conditionalFormatting>
  <conditionalFormatting sqref="H90">
    <cfRule type="expression" dxfId="60" priority="65" stopIfTrue="1">
      <formula>OR(H49=5,H49=6)</formula>
    </cfRule>
  </conditionalFormatting>
  <conditionalFormatting sqref="I90">
    <cfRule type="expression" dxfId="59" priority="66" stopIfTrue="1">
      <formula>OR(H49=5,H49=6)</formula>
    </cfRule>
  </conditionalFormatting>
  <conditionalFormatting sqref="F90:G90">
    <cfRule type="expression" dxfId="58" priority="67" stopIfTrue="1">
      <formula>OR(H49=5,H49=6)</formula>
    </cfRule>
  </conditionalFormatting>
  <conditionalFormatting sqref="D79">
    <cfRule type="expression" dxfId="57" priority="68" stopIfTrue="1">
      <formula>OR(H49=5,H49=6)</formula>
    </cfRule>
  </conditionalFormatting>
  <conditionalFormatting sqref="E79">
    <cfRule type="expression" dxfId="56" priority="69" stopIfTrue="1">
      <formula>OR(H49=5,H49=6)</formula>
    </cfRule>
  </conditionalFormatting>
  <conditionalFormatting sqref="B20">
    <cfRule type="expression" dxfId="55" priority="70" stopIfTrue="1">
      <formula>OR(A20,H49=1,H49=4,H49=5,H49=6)</formula>
    </cfRule>
  </conditionalFormatting>
  <conditionalFormatting sqref="C20">
    <cfRule type="expression" dxfId="54" priority="71" stopIfTrue="1">
      <formula>OR(A20,H49=1,H49=4,H49=5,H49=6)</formula>
    </cfRule>
  </conditionalFormatting>
  <conditionalFormatting sqref="C19">
    <cfRule type="expression" dxfId="53" priority="73" stopIfTrue="1">
      <formula>OR(H49=5,H49=6)</formula>
    </cfRule>
  </conditionalFormatting>
  <conditionalFormatting sqref="D19">
    <cfRule type="expression" dxfId="52" priority="74" stopIfTrue="1">
      <formula>OR(H49=5,H49=6)</formula>
    </cfRule>
  </conditionalFormatting>
  <conditionalFormatting sqref="E19">
    <cfRule type="expression" dxfId="51" priority="75" stopIfTrue="1">
      <formula>OR(H49=5,H49=6)</formula>
    </cfRule>
  </conditionalFormatting>
  <conditionalFormatting sqref="F19:G19">
    <cfRule type="expression" dxfId="50" priority="76" stopIfTrue="1">
      <formula>OR(H49=5,H49=6)</formula>
    </cfRule>
  </conditionalFormatting>
  <conditionalFormatting sqref="H19">
    <cfRule type="expression" dxfId="49" priority="77" stopIfTrue="1">
      <formula>OR(H49=5,H49=6)</formula>
    </cfRule>
  </conditionalFormatting>
  <conditionalFormatting sqref="D180:D185 F180:G185 C173:G178 C164:G170 N180:N185 P180:P185 M173:P178 M164:P170 J117:M122 O117:P122 F117:H122 A117:B123 J193:M198 O193:P198 F193:H198 J85:J90 P74:P79 B74:E77 H74:K79 N74:N79 L85:O90 H86 I15:I21 K15:K21 N15:N21 P15:P21 A16 D117:E124 A193:B200 D193:E200 G171">
    <cfRule type="cellIs" dxfId="48" priority="79" stopIfTrue="1" operator="equal">
      <formula>""</formula>
    </cfRule>
  </conditionalFormatting>
  <conditionalFormatting sqref="B180:B185 B173:B178 L180:L185 L173:L178 L74:L79 F74:G79">
    <cfRule type="cellIs" dxfId="47" priority="80" stopIfTrue="1" operator="equal">
      <formula>""</formula>
    </cfRule>
  </conditionalFormatting>
  <conditionalFormatting sqref="B164:B170 L164:L170 A74:A77">
    <cfRule type="cellIs" dxfId="46" priority="81" stopIfTrue="1" operator="equal">
      <formula>""</formula>
    </cfRule>
  </conditionalFormatting>
  <conditionalFormatting sqref="F85:G88 K85:K90 A90 C90 A85:A88 C85:C88 I85:I88">
    <cfRule type="cellIs" dxfId="45" priority="82" stopIfTrue="1" operator="equal">
      <formula>""</formula>
    </cfRule>
  </conditionalFormatting>
  <conditionalFormatting sqref="B85:B88 B90">
    <cfRule type="cellIs" dxfId="44" priority="83" stopIfTrue="1" operator="equal">
      <formula>""</formula>
    </cfRule>
  </conditionalFormatting>
  <conditionalFormatting sqref="A91:E91">
    <cfRule type="expression" dxfId="43" priority="84" stopIfTrue="1">
      <formula>OR($H$49=1,$H$49=4,$H$49=5,$H$49=6)</formula>
    </cfRule>
  </conditionalFormatting>
  <conditionalFormatting sqref="F91:I91">
    <cfRule type="expression" dxfId="42" priority="85" stopIfTrue="1">
      <formula>OR($H$49=1,$H$49=4,$H$49=5,$H$49=6)</formula>
    </cfRule>
  </conditionalFormatting>
  <conditionalFormatting sqref="A89:I89">
    <cfRule type="expression" dxfId="41" priority="86" stopIfTrue="1">
      <formula>OR($H$49=1,$H$49=3,$H$49=5)</formula>
    </cfRule>
  </conditionalFormatting>
  <conditionalFormatting sqref="H16">
    <cfRule type="expression" dxfId="40" priority="87" stopIfTrue="1">
      <formula>$A$16=""</formula>
    </cfRule>
  </conditionalFormatting>
  <conditionalFormatting sqref="O16">
    <cfRule type="expression" dxfId="39" priority="88" stopIfTrue="1">
      <formula>$N$16=""</formula>
    </cfRule>
  </conditionalFormatting>
  <conditionalFormatting sqref="O15">
    <cfRule type="expression" dxfId="38" priority="89" stopIfTrue="1">
      <formula>$N$15=""</formula>
    </cfRule>
  </conditionalFormatting>
  <conditionalFormatting sqref="O17">
    <cfRule type="expression" dxfId="37" priority="90" stopIfTrue="1">
      <formula>$N$17=""</formula>
    </cfRule>
  </conditionalFormatting>
  <conditionalFormatting sqref="O19">
    <cfRule type="expression" dxfId="36" priority="91" stopIfTrue="1">
      <formula>$N$19=""</formula>
    </cfRule>
  </conditionalFormatting>
  <conditionalFormatting sqref="O20:O21">
    <cfRule type="expression" dxfId="35" priority="92" stopIfTrue="1">
      <formula>$N$20=""</formula>
    </cfRule>
  </conditionalFormatting>
  <conditionalFormatting sqref="O18">
    <cfRule type="expression" dxfId="34" priority="93" stopIfTrue="1">
      <formula>$N$18=""</formula>
    </cfRule>
  </conditionalFormatting>
  <conditionalFormatting sqref="B82">
    <cfRule type="expression" dxfId="33" priority="94" stopIfTrue="1">
      <formula>IF(S46&gt;0,S46,"")</formula>
    </cfRule>
  </conditionalFormatting>
  <conditionalFormatting sqref="D82">
    <cfRule type="expression" dxfId="32" priority="95" stopIfTrue="1">
      <formula>IF(T46&gt;0,T46,"")</formula>
    </cfRule>
  </conditionalFormatting>
  <conditionalFormatting sqref="D21">
    <cfRule type="expression" dxfId="31" priority="28" stopIfTrue="1">
      <formula>OR(H49=1,H49=2,H49=3,H49=4,H49=5,H49=6)</formula>
    </cfRule>
  </conditionalFormatting>
  <conditionalFormatting sqref="E21">
    <cfRule type="expression" dxfId="30" priority="29" stopIfTrue="1">
      <formula>OR(H49=1,H49=2,H49=3,H49=4,H49=5,H49=6)</formula>
    </cfRule>
  </conditionalFormatting>
  <conditionalFormatting sqref="F21:G21">
    <cfRule type="expression" dxfId="29" priority="30" stopIfTrue="1">
      <formula>OR(H49=1,H49=2,H49=3,H49=4,H49=5,H49=6)</formula>
    </cfRule>
  </conditionalFormatting>
  <conditionalFormatting sqref="G21">
    <cfRule type="expression" dxfId="28" priority="31" stopIfTrue="1">
      <formula>OR(H49=1,H49=2,H49=3,H49=4,H49=5,H49=6)</formula>
    </cfRule>
  </conditionalFormatting>
  <conditionalFormatting sqref="A21">
    <cfRule type="expression" dxfId="27" priority="32" stopIfTrue="1">
      <formula>OR(H49=1,H49=2,H49=3,H49=4,H49=5,H49=6)</formula>
    </cfRule>
  </conditionalFormatting>
  <conditionalFormatting sqref="B21">
    <cfRule type="expression" dxfId="26" priority="33" stopIfTrue="1">
      <formula>OR(H49=1,H49=2,H49=3,H49=4,H49=5,H49=6)</formula>
    </cfRule>
  </conditionalFormatting>
  <conditionalFormatting sqref="C21">
    <cfRule type="expression" dxfId="25" priority="34" stopIfTrue="1">
      <formula>OR(H49=1,H49=2,H49=3,H49=4,H49=5,H49=6)</formula>
    </cfRule>
  </conditionalFormatting>
  <conditionalFormatting sqref="H21">
    <cfRule type="expression" dxfId="24" priority="27" stopIfTrue="1">
      <formula>OR(H49=1,H49=2,H49=3,H49=4,H49=5,H49=6)</formula>
    </cfRule>
  </conditionalFormatting>
  <conditionalFormatting sqref="B93">
    <cfRule type="expression" dxfId="23" priority="97" stopIfTrue="1">
      <formula>IF(S46&gt;0,N$9*B82/N$8,"")</formula>
    </cfRule>
  </conditionalFormatting>
  <conditionalFormatting sqref="F81:G81">
    <cfRule type="cellIs" dxfId="22" priority="25" stopIfTrue="1" operator="equal">
      <formula>""</formula>
    </cfRule>
  </conditionalFormatting>
  <conditionalFormatting sqref="A81:E81">
    <cfRule type="expression" dxfId="21" priority="26" stopIfTrue="1">
      <formula>OR($H$49=1,$H$49=2,$H$49=4,$H$49=5,$H$49=6,$H$49=3,)</formula>
    </cfRule>
  </conditionalFormatting>
  <conditionalFormatting sqref="M80 O80">
    <cfRule type="expression" dxfId="20" priority="17" stopIfTrue="1">
      <formula>L80=""</formula>
    </cfRule>
  </conditionalFormatting>
  <conditionalFormatting sqref="A80">
    <cfRule type="expression" dxfId="19" priority="18" stopIfTrue="1">
      <formula>OR(H50=5,H50=6)</formula>
    </cfRule>
  </conditionalFormatting>
  <conditionalFormatting sqref="B80">
    <cfRule type="expression" dxfId="18" priority="19" stopIfTrue="1">
      <formula>OR(H50=5,H50=6)</formula>
    </cfRule>
  </conditionalFormatting>
  <conditionalFormatting sqref="C80">
    <cfRule type="expression" dxfId="17" priority="20" stopIfTrue="1">
      <formula>OR(H50=5,H50=6)</formula>
    </cfRule>
  </conditionalFormatting>
  <conditionalFormatting sqref="D80">
    <cfRule type="expression" dxfId="16" priority="21" stopIfTrue="1">
      <formula>OR(H50=5,H50=6)</formula>
    </cfRule>
  </conditionalFormatting>
  <conditionalFormatting sqref="E80">
    <cfRule type="expression" dxfId="15" priority="22" stopIfTrue="1">
      <formula>OR(H50=5,H50=6)</formula>
    </cfRule>
  </conditionalFormatting>
  <conditionalFormatting sqref="P80 H80:K80 N80">
    <cfRule type="cellIs" dxfId="14" priority="23" stopIfTrue="1" operator="equal">
      <formula>""</formula>
    </cfRule>
  </conditionalFormatting>
  <conditionalFormatting sqref="L80 F80:G80">
    <cfRule type="cellIs" dxfId="13" priority="24" stopIfTrue="1" operator="equal">
      <formula>""</formula>
    </cfRule>
  </conditionalFormatting>
  <conditionalFormatting sqref="A92 D92:E92">
    <cfRule type="expression" dxfId="12" priority="14" stopIfTrue="1">
      <formula>OR($H$49=1,$H$49=2,$H$49=3,$H$49=4,$H$49=5,$H$49=6)</formula>
    </cfRule>
  </conditionalFormatting>
  <conditionalFormatting sqref="F92:I92">
    <cfRule type="expression" dxfId="11" priority="15" stopIfTrue="1">
      <formula>OR($H$49=1,$H$49=2,$H$49=3,$H$49=4,$H$49=5,$H$49=6)</formula>
    </cfRule>
  </conditionalFormatting>
  <conditionalFormatting sqref="A124:B124">
    <cfRule type="cellIs" dxfId="10" priority="12" stopIfTrue="1" operator="equal">
      <formula>""</formula>
    </cfRule>
  </conditionalFormatting>
  <conditionalFormatting sqref="C171:F171">
    <cfRule type="cellIs" dxfId="9" priority="10" stopIfTrue="1" operator="equal">
      <formula>""</formula>
    </cfRule>
  </conditionalFormatting>
  <conditionalFormatting sqref="B171">
    <cfRule type="cellIs" dxfId="8" priority="11" stopIfTrue="1" operator="equal">
      <formula>""</formula>
    </cfRule>
  </conditionalFormatting>
  <conditionalFormatting sqref="M171:P171">
    <cfRule type="cellIs" dxfId="7" priority="8" stopIfTrue="1" operator="equal">
      <formula>""</formula>
    </cfRule>
  </conditionalFormatting>
  <conditionalFormatting sqref="L171">
    <cfRule type="cellIs" dxfId="6" priority="9" stopIfTrue="1" operator="equal">
      <formula>""</formula>
    </cfRule>
  </conditionalFormatting>
  <conditionalFormatting sqref="C92">
    <cfRule type="expression" dxfId="5" priority="7" stopIfTrue="1">
      <formula>OR($H$49=1,$H$49=2,$H$49=3,$H$49=4,$H$49=5,$H$49=6)</formula>
    </cfRule>
  </conditionalFormatting>
  <conditionalFormatting sqref="B92">
    <cfRule type="expression" dxfId="4" priority="6" stopIfTrue="1">
      <formula>OR($H$49=1,$H$49=2,$H$49=3,$H$49=4,$H$49=5,$H$49=6)</formula>
    </cfRule>
  </conditionalFormatting>
  <conditionalFormatting sqref="A17">
    <cfRule type="expression" dxfId="3" priority="3" stopIfTrue="1">
      <formula>OR(G46=1,G46=3,G46=5)</formula>
    </cfRule>
  </conditionalFormatting>
  <conditionalFormatting sqref="B17">
    <cfRule type="expression" dxfId="2" priority="4" stopIfTrue="1">
      <formula>OR(G46=1,G46=3,G46=5)</formula>
    </cfRule>
  </conditionalFormatting>
  <conditionalFormatting sqref="B19">
    <cfRule type="expression" dxfId="1" priority="2" stopIfTrue="1">
      <formula>OR(G47=5,G47=6)</formula>
    </cfRule>
  </conditionalFormatting>
  <conditionalFormatting sqref="A19">
    <cfRule type="expression" dxfId="0" priority="1" stopIfTrue="1">
      <formula>OR(G46=1,G46=4,G46=5,G46=6)</formula>
    </cfRule>
  </conditionalFormatting>
  <dataValidations disablePrompts="1" count="2">
    <dataValidation allowBlank="1" showErrorMessage="1" error="El peso volumétrico no cumple con las tolerancias especificadas. Por favor revisa el contenido de aire o la cantidad de agregados." prompt="El peso volumétrico de los matriales debe de ser el Peso Volumétrico de diseño +/- 50 kg/m3" sqref="Q93" xr:uid="{00000000-0002-0000-0000-000000000000}"/>
    <dataValidation type="list" allowBlank="1" showInputMessage="1" showErrorMessage="1" sqref="N106:Q106" xr:uid="{00000000-0002-0000-0000-000001000000}">
      <formula1>$T$14:$T$20</formula1>
    </dataValidation>
  </dataValidations>
  <printOptions horizontalCentered="1"/>
  <pageMargins left="0.15748031496062992" right="0.19685039370078741" top="0.19685039370078741" bottom="0.15748031496062992" header="0.19685039370078741" footer="0.15748031496062992"/>
  <pageSetup scale="79" orientation="landscape" r:id="rId1"/>
  <headerFooter alignWithMargins="0"/>
  <rowBreaks count="1" manualBreakCount="1">
    <brk id="108" max="16" man="1"/>
  </rowBreaks>
  <ignoredErrors>
    <ignoredError sqref="A15:H15 A97:R97 C196:C200 A195:C195 Q195:R195 C7:R7 B9 C10:R11 C9:H9 O9:R9 A105:R116 L104:R104 A118:H118 A117:B117 D117:G117 A125:R194 A119:B124 D120:R124 J118:M118 J117:M117 O117:R117 I21:R21 K18 O118:R118 C17:E17 P17 R17 D119:H119 J119:R119 J9:K9 B19:E19 I19:R19 C8:H8 M8:R8 J8:K8 A16:H16 M16 G17:H17 M15 P15:R15 G19 I20:R20 K17 M17 K16 M9 P16 R16 A99:R103 A98:G98 O98:R98 A96:P96 R96 I98:M98 M18:R18 J15:K15" unlockedFormula="1"/>
    <ignoredError sqref="B75:R75 C87:R89 D201:P201 O196:P200 B77:R79 B76:Q76 C91:E91 C90 E90:G90 C92 G92 G91:R91 I90:R90 J92:R92 B81:R81 B80:H80 J80:R80" formula="1"/>
    <ignoredError sqref="D196:N200 D195:P195" formula="1" unlockedFormula="1"/>
  </ignoredErrors>
  <drawing r:id="rId2"/>
  <legacyDrawing r:id="rId3"/>
  <controls>
    <mc:AlternateContent xmlns:mc="http://schemas.openxmlformats.org/markup-compatibility/2006">
      <mc:Choice Requires="x14">
        <control shapeId="1049" r:id="rId4" name="TextBox2">
          <controlPr defaultSize="0" autoLine="0" r:id="rId5">
            <anchor moveWithCells="1">
              <from>
                <xdr:col>12</xdr:col>
                <xdr:colOff>0</xdr:colOff>
                <xdr:row>9</xdr:row>
                <xdr:rowOff>38100</xdr:rowOff>
              </from>
              <to>
                <xdr:col>14</xdr:col>
                <xdr:colOff>57150</xdr:colOff>
                <xdr:row>10</xdr:row>
                <xdr:rowOff>31750</xdr:rowOff>
              </to>
            </anchor>
          </controlPr>
        </control>
      </mc:Choice>
      <mc:Fallback>
        <control shapeId="1049" r:id="rId4" name="TextBox2"/>
      </mc:Fallback>
    </mc:AlternateContent>
    <mc:AlternateContent xmlns:mc="http://schemas.openxmlformats.org/markup-compatibility/2006">
      <mc:Choice Requires="x14">
        <control shapeId="1042" r:id="rId6" name="CheckBox3">
          <controlPr defaultSize="0" autoFill="0" autoLine="0" r:id="rId7">
            <anchor moveWithCells="1">
              <from>
                <xdr:col>16</xdr:col>
                <xdr:colOff>171450</xdr:colOff>
                <xdr:row>102</xdr:row>
                <xdr:rowOff>57150</xdr:rowOff>
              </from>
              <to>
                <xdr:col>17</xdr:col>
                <xdr:colOff>431800</xdr:colOff>
                <xdr:row>103</xdr:row>
                <xdr:rowOff>133350</xdr:rowOff>
              </to>
            </anchor>
          </controlPr>
        </control>
      </mc:Choice>
      <mc:Fallback>
        <control shapeId="1042" r:id="rId6" name="CheckBox3"/>
      </mc:Fallback>
    </mc:AlternateContent>
    <mc:AlternateContent xmlns:mc="http://schemas.openxmlformats.org/markup-compatibility/2006">
      <mc:Choice Requires="x14">
        <control shapeId="1041" r:id="rId8" name="CheckBox2">
          <controlPr defaultSize="0" autoFill="0" autoLine="0" r:id="rId9">
            <anchor moveWithCells="1">
              <from>
                <xdr:col>12</xdr:col>
                <xdr:colOff>38100</xdr:colOff>
                <xdr:row>102</xdr:row>
                <xdr:rowOff>57150</xdr:rowOff>
              </from>
              <to>
                <xdr:col>13</xdr:col>
                <xdr:colOff>317500</xdr:colOff>
                <xdr:row>103</xdr:row>
                <xdr:rowOff>133350</xdr:rowOff>
              </to>
            </anchor>
          </controlPr>
        </control>
      </mc:Choice>
      <mc:Fallback>
        <control shapeId="1041" r:id="rId8" name="CheckBox2"/>
      </mc:Fallback>
    </mc:AlternateContent>
    <mc:AlternateContent xmlns:mc="http://schemas.openxmlformats.org/markup-compatibility/2006">
      <mc:Choice Requires="x14">
        <control shapeId="1040" r:id="rId10" name="CheckBox1">
          <controlPr defaultSize="0" autoFill="0" autoLine="0" r:id="rId11">
            <anchor moveWithCells="1">
              <from>
                <xdr:col>13</xdr:col>
                <xdr:colOff>488950</xdr:colOff>
                <xdr:row>102</xdr:row>
                <xdr:rowOff>57150</xdr:rowOff>
              </from>
              <to>
                <xdr:col>15</xdr:col>
                <xdr:colOff>412750</xdr:colOff>
                <xdr:row>103</xdr:row>
                <xdr:rowOff>133350</xdr:rowOff>
              </to>
            </anchor>
          </controlPr>
        </control>
      </mc:Choice>
      <mc:Fallback>
        <control shapeId="1040" r:id="rId10" name="CheckBox1"/>
      </mc:Fallback>
    </mc:AlternateContent>
    <mc:AlternateContent xmlns:mc="http://schemas.openxmlformats.org/markup-compatibility/2006">
      <mc:Choice Requires="x14">
        <control shapeId="1039" r:id="rId12" name="TextBox1">
          <controlPr defaultSize="0" autoLine="0" r:id="rId13">
            <anchor moveWithCells="1">
              <from>
                <xdr:col>9</xdr:col>
                <xdr:colOff>38100</xdr:colOff>
                <xdr:row>9</xdr:row>
                <xdr:rowOff>57150</xdr:rowOff>
              </from>
              <to>
                <xdr:col>10</xdr:col>
                <xdr:colOff>228600</xdr:colOff>
                <xdr:row>10</xdr:row>
                <xdr:rowOff>50800</xdr:rowOff>
              </to>
            </anchor>
          </controlPr>
        </control>
      </mc:Choice>
      <mc:Fallback>
        <control shapeId="1039" r:id="rId12" name="TextBox1"/>
      </mc:Fallback>
    </mc:AlternateContent>
    <mc:AlternateContent xmlns:mc="http://schemas.openxmlformats.org/markup-compatibility/2006">
      <mc:Choice Requires="x14">
        <control shapeId="1025" r:id="rId14" name="Drop Down 1">
          <controlPr defaultSize="0" autoLine="0" autoPict="0">
            <anchor moveWithCells="1">
              <from>
                <xdr:col>16</xdr:col>
                <xdr:colOff>571500</xdr:colOff>
                <xdr:row>14</xdr:row>
                <xdr:rowOff>19050</xdr:rowOff>
              </from>
              <to>
                <xdr:col>17</xdr:col>
                <xdr:colOff>514350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5" name="Drop Down 2">
          <controlPr defaultSize="0" autoLine="0" autoPict="0">
            <anchor moveWithCells="1">
              <from>
                <xdr:col>16</xdr:col>
                <xdr:colOff>571500</xdr:colOff>
                <xdr:row>16</xdr:row>
                <xdr:rowOff>31750</xdr:rowOff>
              </from>
              <to>
                <xdr:col>17</xdr:col>
                <xdr:colOff>514350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6" name="Drop Down 3">
          <controlPr defaultSize="0" autoLine="0" autoPict="0">
            <anchor moveWithCells="1">
              <from>
                <xdr:col>16</xdr:col>
                <xdr:colOff>571500</xdr:colOff>
                <xdr:row>17</xdr:row>
                <xdr:rowOff>31750</xdr:rowOff>
              </from>
              <to>
                <xdr:col>17</xdr:col>
                <xdr:colOff>514350</xdr:colOff>
                <xdr:row>18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7" name="Drop Down 4">
          <controlPr defaultSize="0" autoLine="0" autoPict="0">
            <anchor moveWithCells="1">
              <from>
                <xdr:col>16</xdr:col>
                <xdr:colOff>571500</xdr:colOff>
                <xdr:row>15</xdr:row>
                <xdr:rowOff>19050</xdr:rowOff>
              </from>
              <to>
                <xdr:col>17</xdr:col>
                <xdr:colOff>514350</xdr:colOff>
                <xdr:row>15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8" name="Drop Down 5">
          <controlPr defaultSize="0" autoLine="0" autoPict="0">
            <anchor moveWithCells="1">
              <from>
                <xdr:col>16</xdr:col>
                <xdr:colOff>571500</xdr:colOff>
                <xdr:row>18</xdr:row>
                <xdr:rowOff>38100</xdr:rowOff>
              </from>
              <to>
                <xdr:col>17</xdr:col>
                <xdr:colOff>514350</xdr:colOff>
                <xdr:row>19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9" name="Drop Down 6">
          <controlPr defaultSize="0" autoLine="0" autoPict="0">
            <anchor moveWithCells="1">
              <from>
                <xdr:col>16</xdr:col>
                <xdr:colOff>571500</xdr:colOff>
                <xdr:row>19</xdr:row>
                <xdr:rowOff>38100</xdr:rowOff>
              </from>
              <to>
                <xdr:col>17</xdr:col>
                <xdr:colOff>514350</xdr:colOff>
                <xdr:row>20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0" name="Drop Down 7">
          <controlPr defaultSize="0" autoLine="0" autoPict="0">
            <anchor moveWithCells="1">
              <from>
                <xdr:col>14</xdr:col>
                <xdr:colOff>419100</xdr:colOff>
                <xdr:row>7</xdr:row>
                <xdr:rowOff>69850</xdr:rowOff>
              </from>
              <to>
                <xdr:col>17</xdr:col>
                <xdr:colOff>514350</xdr:colOff>
                <xdr:row>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21" name="Drop Down 8">
          <controlPr defaultSize="0" autoLine="0" autoPict="0">
            <anchor moveWithCells="1">
              <from>
                <xdr:col>12</xdr:col>
                <xdr:colOff>19050</xdr:colOff>
                <xdr:row>14</xdr:row>
                <xdr:rowOff>19050</xdr:rowOff>
              </from>
              <to>
                <xdr:col>12</xdr:col>
                <xdr:colOff>450850</xdr:colOff>
                <xdr:row>15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Drop Down 9">
          <controlPr defaultSize="0" autoLine="0" autoPict="0">
            <anchor moveWithCells="1">
              <from>
                <xdr:col>12</xdr:col>
                <xdr:colOff>19050</xdr:colOff>
                <xdr:row>15</xdr:row>
                <xdr:rowOff>31750</xdr:rowOff>
              </from>
              <to>
                <xdr:col>12</xdr:col>
                <xdr:colOff>450850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Drop Down 10">
          <controlPr defaultSize="0" autoLine="0" autoPict="0">
            <anchor moveWithCells="1">
              <from>
                <xdr:col>12</xdr:col>
                <xdr:colOff>19050</xdr:colOff>
                <xdr:row>16</xdr:row>
                <xdr:rowOff>38100</xdr:rowOff>
              </from>
              <to>
                <xdr:col>12</xdr:col>
                <xdr:colOff>450850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24" name="Drop Down 11">
          <controlPr defaultSize="0" autoLine="0" autoPict="0">
            <anchor moveWithCells="1">
              <from>
                <xdr:col>12</xdr:col>
                <xdr:colOff>19050</xdr:colOff>
                <xdr:row>17</xdr:row>
                <xdr:rowOff>38100</xdr:rowOff>
              </from>
              <to>
                <xdr:col>12</xdr:col>
                <xdr:colOff>450850</xdr:colOff>
                <xdr:row>18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25" name="Drop Down 12">
          <controlPr defaultSize="0" autoLine="0" autoPict="0">
            <anchor moveWithCells="1">
              <from>
                <xdr:col>12</xdr:col>
                <xdr:colOff>19050</xdr:colOff>
                <xdr:row>18</xdr:row>
                <xdr:rowOff>57150</xdr:rowOff>
              </from>
              <to>
                <xdr:col>12</xdr:col>
                <xdr:colOff>450850</xdr:colOff>
                <xdr:row>19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26" name="Drop Down 13">
          <controlPr defaultSize="0" autoLine="0" autoPict="0">
            <anchor moveWithCells="1">
              <from>
                <xdr:col>12</xdr:col>
                <xdr:colOff>19050</xdr:colOff>
                <xdr:row>19</xdr:row>
                <xdr:rowOff>57150</xdr:rowOff>
              </from>
              <to>
                <xdr:col>12</xdr:col>
                <xdr:colOff>450850</xdr:colOff>
                <xdr:row>20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27" name="Drop Down 14">
          <controlPr defaultSize="0" autoLine="0" autoPict="0">
            <anchor moveWithCells="1">
              <from>
                <xdr:col>1</xdr:col>
                <xdr:colOff>552450</xdr:colOff>
                <xdr:row>9</xdr:row>
                <xdr:rowOff>57150</xdr:rowOff>
              </from>
              <to>
                <xdr:col>4</xdr:col>
                <xdr:colOff>228600</xdr:colOff>
                <xdr:row>10</xdr:row>
                <xdr:rowOff>19050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1"/>
  </sheetPr>
  <dimension ref="A1:AR247"/>
  <sheetViews>
    <sheetView showGridLines="0" zoomScale="90" zoomScaleNormal="90" workbookViewId="0">
      <pane xSplit="14" ySplit="8" topLeftCell="O69" activePane="bottomRight" state="frozen"/>
      <selection pane="topRight" activeCell="O1" sqref="O1"/>
      <selection pane="bottomLeft" activeCell="A9" sqref="A9"/>
      <selection pane="bottomRight" activeCell="Q75" sqref="Q75"/>
    </sheetView>
  </sheetViews>
  <sheetFormatPr baseColWidth="10" defaultColWidth="9.26953125" defaultRowHeight="12.5" x14ac:dyDescent="0.25"/>
  <cols>
    <col min="1" max="1" width="3.7265625" style="1" customWidth="1"/>
    <col min="2" max="2" width="12" style="1" bestFit="1" customWidth="1"/>
    <col min="3" max="3" width="9.26953125" style="1" customWidth="1"/>
    <col min="4" max="4" width="10" style="1" customWidth="1"/>
    <col min="5" max="5" width="10.7265625" style="1" hidden="1" customWidth="1"/>
    <col min="6" max="6" width="9.26953125" style="1" hidden="1" customWidth="1"/>
    <col min="7" max="7" width="10.54296875" style="1" customWidth="1"/>
    <col min="8" max="8" width="9.26953125" style="1" customWidth="1"/>
    <col min="9" max="10" width="9.26953125" style="1" hidden="1" customWidth="1"/>
    <col min="11" max="11" width="10.26953125" style="1" bestFit="1" customWidth="1"/>
    <col min="12" max="12" width="7.7265625" style="1" customWidth="1"/>
    <col min="13" max="13" width="7.7265625" style="1" hidden="1" customWidth="1"/>
    <col min="14" max="14" width="9.26953125" style="1" hidden="1" customWidth="1"/>
    <col min="15" max="21" width="9.26953125" style="1" customWidth="1"/>
    <col min="22" max="22" width="9.7265625" style="1" customWidth="1"/>
    <col min="23" max="26" width="9.26953125" style="1" customWidth="1"/>
    <col min="27" max="27" width="10.26953125" style="1" customWidth="1"/>
    <col min="28" max="34" width="9.26953125" style="661" customWidth="1"/>
    <col min="35" max="35" width="9.26953125" style="717" customWidth="1"/>
    <col min="36" max="40" width="9.26953125" style="661" customWidth="1"/>
    <col min="41" max="44" width="9.26953125" style="679" customWidth="1"/>
    <col min="45" max="55" width="9.26953125" style="1" customWidth="1"/>
    <col min="56" max="16384" width="9.26953125" style="1"/>
  </cols>
  <sheetData>
    <row r="1" spans="1:44" ht="20" x14ac:dyDescent="0.4">
      <c r="B1" s="476" t="s">
        <v>201</v>
      </c>
      <c r="K1" s="477" t="s">
        <v>323</v>
      </c>
      <c r="O1" s="478"/>
    </row>
    <row r="2" spans="1:44" ht="20" x14ac:dyDescent="0.4">
      <c r="B2" s="479"/>
    </row>
    <row r="3" spans="1:44" ht="18.75" customHeight="1" x14ac:dyDescent="0.4">
      <c r="B3" s="479"/>
      <c r="D3" s="1212" t="s">
        <v>306</v>
      </c>
      <c r="E3" s="1212"/>
      <c r="F3" s="1212"/>
      <c r="G3" s="1212"/>
      <c r="H3" s="1212"/>
    </row>
    <row r="4" spans="1:44" s="486" customFormat="1" ht="13" x14ac:dyDescent="0.3">
      <c r="A4" s="480"/>
      <c r="B4" s="481" t="s">
        <v>160</v>
      </c>
      <c r="C4" s="481"/>
      <c r="D4" s="482">
        <f>+'Formato Pisocret'!B46</f>
        <v>20</v>
      </c>
      <c r="E4" s="483"/>
      <c r="F4" s="483"/>
      <c r="G4" s="484"/>
      <c r="H4" s="482" t="str">
        <f>+'Formato Pisocret'!E46</f>
        <v>40-4</v>
      </c>
      <c r="I4" s="483"/>
      <c r="J4" s="485"/>
      <c r="K4" s="484"/>
      <c r="L4" s="482">
        <f>+'Formato Pisocret'!H46</f>
        <v>10</v>
      </c>
      <c r="M4" s="483"/>
      <c r="N4" s="485"/>
      <c r="O4" s="480"/>
      <c r="P4" s="480"/>
      <c r="Q4" s="480"/>
      <c r="AB4" s="661"/>
      <c r="AC4" s="661"/>
      <c r="AD4" s="661"/>
      <c r="AE4" s="661"/>
      <c r="AF4" s="661"/>
      <c r="AG4" s="661"/>
      <c r="AH4" s="661"/>
      <c r="AI4" s="717"/>
      <c r="AJ4" s="661"/>
      <c r="AK4" s="661"/>
      <c r="AL4" s="661"/>
      <c r="AM4" s="661"/>
      <c r="AN4" s="661"/>
      <c r="AO4" s="679"/>
      <c r="AP4" s="679"/>
      <c r="AQ4" s="679"/>
      <c r="AR4" s="679"/>
    </row>
    <row r="5" spans="1:44" ht="22.5" customHeight="1" x14ac:dyDescent="0.25">
      <c r="B5" s="1205"/>
      <c r="C5" s="487"/>
      <c r="D5" s="1207" t="s">
        <v>203</v>
      </c>
      <c r="E5" s="1208"/>
      <c r="F5" s="1208"/>
      <c r="G5" s="1208"/>
      <c r="H5" s="1208"/>
      <c r="I5" s="1208"/>
      <c r="J5" s="1208"/>
      <c r="K5" s="1208"/>
      <c r="L5" s="1208"/>
      <c r="M5" s="1208"/>
      <c r="N5" s="1209"/>
      <c r="O5" s="1205"/>
      <c r="P5" s="1206" t="s">
        <v>204</v>
      </c>
      <c r="Q5" s="1206"/>
      <c r="R5" s="1205"/>
      <c r="S5" s="489" t="s">
        <v>205</v>
      </c>
      <c r="T5" s="489" t="s">
        <v>206</v>
      </c>
      <c r="U5" s="489" t="s">
        <v>207</v>
      </c>
      <c r="V5" s="489" t="s">
        <v>208</v>
      </c>
      <c r="W5" s="489"/>
      <c r="X5" s="555" t="s">
        <v>209</v>
      </c>
      <c r="Y5" s="555"/>
      <c r="Z5" s="555"/>
      <c r="AA5" s="555"/>
    </row>
    <row r="6" spans="1:44" s="488" customFormat="1" ht="12.75" customHeight="1" x14ac:dyDescent="0.25">
      <c r="B6" s="1205"/>
      <c r="C6" s="487"/>
      <c r="D6" s="489" t="str">
        <f>+'Formato Pisocret'!B39</f>
        <v>GB2</v>
      </c>
      <c r="E6" s="489"/>
      <c r="F6" s="489"/>
      <c r="G6" s="489"/>
      <c r="H6" s="489" t="str">
        <f>+'Formato Pisocret'!E39</f>
        <v>GB4</v>
      </c>
      <c r="I6" s="490"/>
      <c r="J6" s="490"/>
      <c r="K6" s="489"/>
      <c r="L6" s="489" t="str">
        <f>+'Formato Pisocret'!H39</f>
        <v>GB1</v>
      </c>
      <c r="M6" s="490"/>
      <c r="N6" s="490"/>
      <c r="O6" s="1205"/>
      <c r="P6" s="489" t="str">
        <f>+'Formato Pisocret'!B61</f>
        <v>AC2</v>
      </c>
      <c r="Q6" s="489" t="str">
        <f>+'Formato Pisocret'!E61</f>
        <v>AR1</v>
      </c>
      <c r="R6" s="1205"/>
      <c r="S6" s="489"/>
      <c r="T6" s="489"/>
      <c r="U6" s="489"/>
      <c r="V6" s="489"/>
      <c r="W6" s="489"/>
      <c r="X6" s="555"/>
      <c r="Y6" s="555"/>
      <c r="Z6" s="555"/>
      <c r="AA6" s="555"/>
      <c r="AB6" s="662"/>
      <c r="AC6" s="662"/>
      <c r="AD6" s="662"/>
      <c r="AE6" s="662"/>
      <c r="AF6" s="662"/>
      <c r="AG6" s="662"/>
      <c r="AH6" s="662"/>
      <c r="AI6" s="718"/>
      <c r="AJ6" s="662"/>
      <c r="AK6" s="662"/>
      <c r="AL6" s="662"/>
      <c r="AM6" s="662"/>
      <c r="AN6" s="662"/>
      <c r="AO6" s="680"/>
      <c r="AP6" s="680"/>
      <c r="AQ6" s="680"/>
      <c r="AR6" s="680"/>
    </row>
    <row r="7" spans="1:44" s="488" customFormat="1" ht="12.75" customHeight="1" x14ac:dyDescent="0.25">
      <c r="B7" s="1205" t="s">
        <v>202</v>
      </c>
      <c r="C7" s="487"/>
      <c r="D7" s="491">
        <f>'1° Diseño Mezcla'!H19</f>
        <v>1</v>
      </c>
      <c r="E7" s="491"/>
      <c r="F7" s="491"/>
      <c r="G7" s="491"/>
      <c r="H7" s="491">
        <f>'1° Diseño Mezcla'!H20</f>
        <v>0</v>
      </c>
      <c r="I7" s="492"/>
      <c r="J7" s="492"/>
      <c r="K7" s="491"/>
      <c r="L7" s="491">
        <f>'1° Diseño Mezcla'!G21</f>
        <v>0</v>
      </c>
      <c r="M7" s="492"/>
      <c r="N7" s="492"/>
      <c r="O7" s="1205" t="s">
        <v>202</v>
      </c>
      <c r="P7" s="491">
        <f>Diseño!J8</f>
        <v>1</v>
      </c>
      <c r="Q7" s="491">
        <f>Diseño!J9</f>
        <v>0</v>
      </c>
      <c r="R7" s="1205" t="s">
        <v>202</v>
      </c>
      <c r="S7" s="491"/>
      <c r="T7" s="489" t="s">
        <v>203</v>
      </c>
      <c r="U7" s="489" t="s">
        <v>204</v>
      </c>
      <c r="V7" s="489"/>
      <c r="W7" s="489"/>
      <c r="X7" s="493"/>
      <c r="Y7" s="493"/>
      <c r="Z7" s="493"/>
      <c r="AA7" s="493"/>
      <c r="AB7" s="662"/>
      <c r="AC7" s="662"/>
      <c r="AD7" s="662"/>
      <c r="AE7" s="662"/>
      <c r="AF7" s="662"/>
      <c r="AG7" s="662"/>
      <c r="AH7" s="662"/>
      <c r="AI7" s="718"/>
      <c r="AJ7" s="662"/>
      <c r="AK7" s="662"/>
      <c r="AL7" s="662"/>
      <c r="AM7" s="662"/>
      <c r="AN7" s="662"/>
      <c r="AO7" s="680"/>
      <c r="AP7" s="680"/>
      <c r="AQ7" s="680"/>
      <c r="AR7" s="680"/>
    </row>
    <row r="8" spans="1:44" s="488" customFormat="1" ht="33.75" customHeight="1" x14ac:dyDescent="0.25">
      <c r="B8" s="1205"/>
      <c r="C8" s="491" t="str">
        <f>"Mallas TMA "&amp;D4&amp;" mm"</f>
        <v>Mallas TMA 20 mm</v>
      </c>
      <c r="D8" s="493" t="s">
        <v>235</v>
      </c>
      <c r="E8" s="491"/>
      <c r="F8" s="653">
        <f>Diseño!J5*Diseño!K5</f>
        <v>0.50980392156862753</v>
      </c>
      <c r="G8" s="491" t="str">
        <f>"Mallas TMA "&amp;H4&amp;" mm"</f>
        <v>Mallas TMA 40-4 mm</v>
      </c>
      <c r="H8" s="493" t="s">
        <v>235</v>
      </c>
      <c r="I8" s="492"/>
      <c r="J8" s="492">
        <f>Diseño!J6*Diseño!K5</f>
        <v>0</v>
      </c>
      <c r="K8" s="491" t="str">
        <f>"Mallas TMA "&amp;L4&amp;" mm"</f>
        <v>Mallas TMA 10 mm</v>
      </c>
      <c r="L8" s="493" t="s">
        <v>235</v>
      </c>
      <c r="M8" s="492"/>
      <c r="N8" s="492">
        <f>Diseño!J7*Diseño!K5</f>
        <v>0</v>
      </c>
      <c r="O8" s="1205"/>
      <c r="P8" s="491">
        <f>Diseño!J8*Diseño!K8</f>
        <v>0.49019607843137258</v>
      </c>
      <c r="Q8" s="491">
        <f>Diseño!J9*Diseño!K8</f>
        <v>0</v>
      </c>
      <c r="R8" s="1205"/>
      <c r="S8" s="491">
        <f>SUM(E8:Q8)</f>
        <v>1</v>
      </c>
      <c r="T8" s="491">
        <v>1</v>
      </c>
      <c r="U8" s="491">
        <v>1</v>
      </c>
      <c r="V8" s="489"/>
      <c r="W8" s="489"/>
      <c r="X8" s="489" t="s">
        <v>210</v>
      </c>
      <c r="Y8" s="489" t="s">
        <v>211</v>
      </c>
      <c r="Z8" s="489" t="s">
        <v>212</v>
      </c>
      <c r="AA8" s="489" t="s">
        <v>213</v>
      </c>
      <c r="AB8" s="663">
        <f>+D7</f>
        <v>1</v>
      </c>
      <c r="AC8" s="663">
        <f>+H7</f>
        <v>0</v>
      </c>
      <c r="AD8" s="663">
        <f>+L7</f>
        <v>0</v>
      </c>
      <c r="AE8" s="663">
        <f>+AD8+AC8+AB8</f>
        <v>1</v>
      </c>
      <c r="AF8" s="662"/>
      <c r="AG8" s="662"/>
      <c r="AH8" s="662"/>
      <c r="AI8" s="718"/>
      <c r="AJ8" s="662"/>
      <c r="AK8" s="662"/>
      <c r="AL8" s="662"/>
      <c r="AM8" s="662"/>
      <c r="AN8" s="662"/>
      <c r="AO8" s="680"/>
      <c r="AP8" s="680"/>
      <c r="AQ8" s="680"/>
      <c r="AR8" s="680"/>
    </row>
    <row r="9" spans="1:44" s="488" customFormat="1" ht="12.75" customHeight="1" x14ac:dyDescent="0.25">
      <c r="B9" s="494" t="s">
        <v>214</v>
      </c>
      <c r="C9" s="495" t="str">
        <f t="shared" ref="C9:C15" si="0">AC38</f>
        <v>1"</v>
      </c>
      <c r="D9" s="496">
        <f>+'Formato Pisocret'!B48</f>
        <v>90</v>
      </c>
      <c r="E9" s="497" t="e">
        <f>VLOOKUP(B9,$C$9:$D$14,2,FALSE)</f>
        <v>#N/A</v>
      </c>
      <c r="F9" s="497">
        <f t="shared" ref="F9:F14" si="1">IF(ISNA(E9),100,E9)</f>
        <v>100</v>
      </c>
      <c r="G9" s="495" t="str">
        <f t="shared" ref="G9:G14" si="2">AH38</f>
        <v>2"</v>
      </c>
      <c r="H9" s="496">
        <f>+'Formato Pisocret'!E48</f>
        <v>100</v>
      </c>
      <c r="I9" s="497">
        <f t="shared" ref="I9:I21" si="3">VLOOKUP(B9,$G$9:$H$15,2,FALSE)</f>
        <v>100</v>
      </c>
      <c r="J9" s="497">
        <f t="shared" ref="J9:J14" si="4">IF(ISNA(I9),100,I9)</f>
        <v>100</v>
      </c>
      <c r="K9" s="495" t="str">
        <f>AM38</f>
        <v>1/2"</v>
      </c>
      <c r="L9" s="496">
        <f>+'Formato Pisocret'!H48</f>
        <v>99</v>
      </c>
      <c r="M9" s="497" t="e">
        <f t="shared" ref="M9:M21" si="5">VLOOKUP(B9,$K$9:$L$15,2,FALSE)</f>
        <v>#N/A</v>
      </c>
      <c r="N9" s="497">
        <f t="shared" ref="N9:N14" si="6">IF(ISNA(M9),100,M9)</f>
        <v>100</v>
      </c>
      <c r="O9" s="498" t="s">
        <v>214</v>
      </c>
      <c r="P9" s="496">
        <v>100</v>
      </c>
      <c r="Q9" s="496">
        <v>100</v>
      </c>
      <c r="R9" s="498" t="s">
        <v>214</v>
      </c>
      <c r="S9" s="499">
        <f>$F$9*$F$8+$J$9*$J$8+$P$9*$P$8+$Q$9*$Q$8+$N$9*$N$8</f>
        <v>100.00000000000001</v>
      </c>
      <c r="T9" s="499">
        <f t="shared" ref="T9:T15" si="7">+AE9</f>
        <v>100</v>
      </c>
      <c r="U9" s="492"/>
      <c r="V9" s="490"/>
      <c r="W9" s="490"/>
      <c r="X9" s="500"/>
      <c r="Y9" s="500"/>
      <c r="Z9" s="500">
        <v>100</v>
      </c>
      <c r="AA9" s="500">
        <v>100</v>
      </c>
      <c r="AB9" s="662">
        <f>+IF(B9=$C$9,D9,IF(B9=$C$10,D10,IF(B9=$C$11,D11,IF(B9=$C$12,D12,IF(B9=$C$13,D13,IF(B9=$C$14,D14,IF(B9=$C$15,D15,100)))))))</f>
        <v>100</v>
      </c>
      <c r="AC9" s="662">
        <f>+IF(B9=$G$9,H9,IF(B9=$G$10,H10,IF(B9=$G$11,H11,IF(B9=$G$12,H12,IF(B9=$G$13,H13,IF(B9=$G$14,H14,IF(B9=$G$15,H15,100)))))))</f>
        <v>100</v>
      </c>
      <c r="AD9" s="662">
        <f>+IF(B9=$K$9,L9,IF(B9=$K$10,L10,IF(B9=$K$11,L11,IF(B9=$K$12,L12,IF(B9=$K$13,L13,IF(B9=$K$14,L14,IF(B9=$K$15,L15,100)))))))</f>
        <v>100</v>
      </c>
      <c r="AE9" s="664">
        <f t="shared" ref="AE9:AE18" si="8">+(AB9*$AB$8)+(AC9*$AC$8)+(AD9*$AD$8)</f>
        <v>100</v>
      </c>
      <c r="AF9" s="662"/>
      <c r="AG9" s="662"/>
      <c r="AH9" s="662"/>
      <c r="AI9" s="718"/>
      <c r="AJ9" s="662"/>
      <c r="AK9" s="662"/>
      <c r="AL9" s="662"/>
      <c r="AM9" s="662"/>
      <c r="AN9" s="662"/>
      <c r="AO9" s="680"/>
      <c r="AP9" s="680"/>
      <c r="AQ9" s="680"/>
      <c r="AR9" s="680"/>
    </row>
    <row r="10" spans="1:44" ht="13" x14ac:dyDescent="0.3">
      <c r="B10" s="494" t="s">
        <v>215</v>
      </c>
      <c r="C10" s="495" t="str">
        <f t="shared" si="0"/>
        <v>3/4"</v>
      </c>
      <c r="D10" s="496">
        <f>+'Formato Pisocret'!B49</f>
        <v>64.400000000000006</v>
      </c>
      <c r="E10" s="497" t="e">
        <f t="shared" ref="E10:E21" si="9">VLOOKUP(B10,$C$9:$D$14,2,FALSE)</f>
        <v>#N/A</v>
      </c>
      <c r="F10" s="497">
        <f t="shared" si="1"/>
        <v>100</v>
      </c>
      <c r="G10" s="495" t="str">
        <f t="shared" si="2"/>
        <v>1 1/2"</v>
      </c>
      <c r="H10" s="496">
        <f>+'Formato Pisocret'!E49</f>
        <v>96.85</v>
      </c>
      <c r="I10" s="497">
        <f t="shared" si="3"/>
        <v>96.85</v>
      </c>
      <c r="J10" s="497">
        <f t="shared" si="4"/>
        <v>96.85</v>
      </c>
      <c r="K10" s="495" t="str">
        <f t="shared" ref="K10:K15" si="10">AM39</f>
        <v>3/8"</v>
      </c>
      <c r="L10" s="496">
        <f>+'Formato Pisocret'!H49</f>
        <v>98</v>
      </c>
      <c r="M10" s="497" t="e">
        <f t="shared" si="5"/>
        <v>#N/A</v>
      </c>
      <c r="N10" s="497">
        <f t="shared" si="6"/>
        <v>100</v>
      </c>
      <c r="O10" s="498" t="s">
        <v>215</v>
      </c>
      <c r="P10" s="496">
        <v>100</v>
      </c>
      <c r="Q10" s="496">
        <v>100</v>
      </c>
      <c r="R10" s="498" t="s">
        <v>215</v>
      </c>
      <c r="S10" s="499">
        <f>$F$10*$F$8+$J$10*$J$8+$P$10*$P$8+$Q$10*$Q$8+$N$10*$N$8</f>
        <v>100.00000000000001</v>
      </c>
      <c r="T10" s="499">
        <f t="shared" si="7"/>
        <v>100</v>
      </c>
      <c r="U10" s="499"/>
      <c r="V10" s="501"/>
      <c r="W10" s="501"/>
      <c r="X10" s="502"/>
      <c r="Y10" s="502"/>
      <c r="Z10" s="502">
        <v>90</v>
      </c>
      <c r="AA10" s="502">
        <v>100</v>
      </c>
      <c r="AB10" s="662">
        <f>+IF(B10=$C$9,D9,IF(B10=$C$10,D10,IF(B10=$C$11,D11,IF(B10=$C$12,D12,IF(B10=$C$13,D13,IF(B10=$C$14,D14,IF(B10=$C$15,D15,100)))))))</f>
        <v>100</v>
      </c>
      <c r="AC10" s="662">
        <f>+IF(B10=$G$9,H9,IF(B10=$G$10,H10,IF(B10=$G$11,H11,IF(B10=$G$12,H12,IF(B10=$G$13,H13,IF(B10=$G$14,H14,IF(B10=$G$15,H15,100)))))))</f>
        <v>96.85</v>
      </c>
      <c r="AD10" s="662">
        <f>+IF(B10=$K$9,L9,IF(B10=$K$10,L10,IF(B10=$K$11,L11,IF(B10=$K$12,L12,IF(B10=$K$13,L13,IF(B10=$K$14,L14,IF(B10=$K$15,L15,100)))))))</f>
        <v>100</v>
      </c>
      <c r="AE10" s="664">
        <f t="shared" si="8"/>
        <v>100</v>
      </c>
    </row>
    <row r="11" spans="1:44" ht="13" x14ac:dyDescent="0.3">
      <c r="B11" s="494" t="s">
        <v>216</v>
      </c>
      <c r="C11" s="495" t="str">
        <f t="shared" si="0"/>
        <v>1/2"</v>
      </c>
      <c r="D11" s="496">
        <f>+'Formato Pisocret'!B50</f>
        <v>40.299999999999997</v>
      </c>
      <c r="E11" s="497">
        <f t="shared" si="9"/>
        <v>90</v>
      </c>
      <c r="F11" s="497">
        <f t="shared" si="1"/>
        <v>90</v>
      </c>
      <c r="G11" s="495" t="str">
        <f t="shared" si="2"/>
        <v>1"</v>
      </c>
      <c r="H11" s="496">
        <f>+'Formato Pisocret'!E50</f>
        <v>61.15</v>
      </c>
      <c r="I11" s="497">
        <f t="shared" si="3"/>
        <v>61.15</v>
      </c>
      <c r="J11" s="497">
        <f t="shared" si="4"/>
        <v>61.15</v>
      </c>
      <c r="K11" s="495" t="str">
        <f t="shared" si="10"/>
        <v># 4</v>
      </c>
      <c r="L11" s="496">
        <f>+'Formato Pisocret'!H50</f>
        <v>5</v>
      </c>
      <c r="M11" s="497" t="e">
        <f t="shared" si="5"/>
        <v>#N/A</v>
      </c>
      <c r="N11" s="497">
        <f t="shared" si="6"/>
        <v>100</v>
      </c>
      <c r="O11" s="498" t="s">
        <v>216</v>
      </c>
      <c r="P11" s="496">
        <v>100</v>
      </c>
      <c r="Q11" s="496">
        <v>100</v>
      </c>
      <c r="R11" s="498" t="s">
        <v>216</v>
      </c>
      <c r="S11" s="499">
        <f>$F$11*$F$8+$J$11*$J$8+$P$11*$P$8+$Q$11*$Q$8+$N$11*N8</f>
        <v>94.901960784313729</v>
      </c>
      <c r="T11" s="499">
        <f t="shared" si="7"/>
        <v>90</v>
      </c>
      <c r="U11" s="499"/>
      <c r="V11" s="501"/>
      <c r="W11" s="501"/>
      <c r="X11" s="502"/>
      <c r="Y11" s="502"/>
      <c r="Z11" s="502">
        <v>60</v>
      </c>
      <c r="AA11" s="502">
        <v>85</v>
      </c>
      <c r="AB11" s="662">
        <f>+IF(B11=$C$9,D9,IF(B11=$C$10,D10,IF(B11=$C$11,D11,IF(B11=$C$12,D12,IF(B11=$C$13,D13,IF(B11=$C$14,D14,IF(B11=$C$15,D15,100)))))))</f>
        <v>90</v>
      </c>
      <c r="AC11" s="662">
        <f>+IF(B11=$G$9,H9,IF(B11=$G$10,H10,IF(B11=$G$11,H11,IF(B11=$G$12,H12,IF(B11=$G$13,H13,IF(B11=$G$14,H14,IF(B11=$G$15,H15,100)))))))</f>
        <v>61.15</v>
      </c>
      <c r="AD11" s="662">
        <f>+IF(B11=$K$9,L9,IF(B11=$K$10,L10,IF(B11=$K$11,L11,IF(B11=$K$12,L12,IF(B11=$K$13,L13,IF(B11=$K$14,L14,IF(B11=$K$15,L15,100)))))))</f>
        <v>100</v>
      </c>
      <c r="AE11" s="664">
        <f t="shared" si="8"/>
        <v>90</v>
      </c>
    </row>
    <row r="12" spans="1:44" ht="13" x14ac:dyDescent="0.3">
      <c r="B12" s="494" t="s">
        <v>217</v>
      </c>
      <c r="C12" s="495" t="str">
        <f t="shared" si="0"/>
        <v>3/8"</v>
      </c>
      <c r="D12" s="496">
        <f>+'Formato Pisocret'!B51</f>
        <v>10.47</v>
      </c>
      <c r="E12" s="497">
        <f t="shared" si="9"/>
        <v>64.400000000000006</v>
      </c>
      <c r="F12" s="497">
        <f t="shared" si="1"/>
        <v>64.400000000000006</v>
      </c>
      <c r="G12" s="495" t="str">
        <f t="shared" si="2"/>
        <v>3/4"</v>
      </c>
      <c r="H12" s="496">
        <f>+'Formato Pisocret'!E51</f>
        <v>36.07</v>
      </c>
      <c r="I12" s="497">
        <f t="shared" si="3"/>
        <v>36.07</v>
      </c>
      <c r="J12" s="497">
        <f t="shared" si="4"/>
        <v>36.07</v>
      </c>
      <c r="K12" s="495" t="str">
        <f t="shared" si="10"/>
        <v># 8</v>
      </c>
      <c r="L12" s="496">
        <f>+'Formato Pisocret'!H51</f>
        <v>1</v>
      </c>
      <c r="M12" s="497" t="e">
        <f t="shared" si="5"/>
        <v>#N/A</v>
      </c>
      <c r="N12" s="497">
        <f t="shared" si="6"/>
        <v>100</v>
      </c>
      <c r="O12" s="498" t="s">
        <v>217</v>
      </c>
      <c r="P12" s="496">
        <v>100</v>
      </c>
      <c r="Q12" s="496">
        <v>100</v>
      </c>
      <c r="R12" s="498" t="s">
        <v>217</v>
      </c>
      <c r="S12" s="499">
        <f>$F$12*$F$8+$J$12*$J$8+$P$12*$P$8+$Q$12*$Q$8+$N$12*$N$8</f>
        <v>81.850980392156885</v>
      </c>
      <c r="T12" s="499">
        <f t="shared" si="7"/>
        <v>64.400000000000006</v>
      </c>
      <c r="U12" s="499"/>
      <c r="V12" s="501"/>
      <c r="W12" s="501"/>
      <c r="X12" s="502"/>
      <c r="Y12" s="502"/>
      <c r="Z12" s="502">
        <v>35</v>
      </c>
      <c r="AA12" s="502">
        <v>70</v>
      </c>
      <c r="AB12" s="662">
        <f>+IF(B12=$C$9,D9,IF(B12=$C$10,D10,IF(B12=$C$11,D11,IF(B12=$C$12,D12,IF(B12=$C$13,D13,IF(B12=$C$14,D14,IF(B12=$C$15,D15,AB11)))))))</f>
        <v>64.400000000000006</v>
      </c>
      <c r="AC12" s="662">
        <f>+IF(B12=$G$9,H9,IF(B12=$G$10,H10,IF(B12=$G$11,H11,IF(B12=$G$12,H12,IF(B12=$G$13,H13,IF(B12=$G$14,H14,IF(B12=$G$15,H15,AC11)))))))</f>
        <v>36.07</v>
      </c>
      <c r="AD12" s="662">
        <f>+IF(B12=$K$9,L9,IF(B12=$K$10,L10,IF(B12=$K$11,L11,IF(B12=$K$12,L12,IF(B12=$K$13,L13,IF(B12=$K$14,L14,IF(B12=$K$15,L15,AD11)))))))</f>
        <v>100</v>
      </c>
      <c r="AE12" s="664">
        <f t="shared" si="8"/>
        <v>64.400000000000006</v>
      </c>
    </row>
    <row r="13" spans="1:44" ht="13" x14ac:dyDescent="0.3">
      <c r="B13" s="494" t="s">
        <v>218</v>
      </c>
      <c r="C13" s="495" t="str">
        <f t="shared" si="0"/>
        <v># 4</v>
      </c>
      <c r="D13" s="496">
        <f>+'Formato Pisocret'!B52</f>
        <v>0.32</v>
      </c>
      <c r="E13" s="497">
        <f t="shared" si="9"/>
        <v>40.299999999999997</v>
      </c>
      <c r="F13" s="497">
        <f t="shared" si="1"/>
        <v>40.299999999999997</v>
      </c>
      <c r="G13" s="495" t="str">
        <f t="shared" si="2"/>
        <v>1/2"</v>
      </c>
      <c r="H13" s="496">
        <f>+'Formato Pisocret'!E52</f>
        <v>7.81</v>
      </c>
      <c r="I13" s="497">
        <f t="shared" si="3"/>
        <v>7.81</v>
      </c>
      <c r="J13" s="497">
        <f t="shared" si="4"/>
        <v>7.81</v>
      </c>
      <c r="K13" s="495" t="str">
        <f t="shared" si="10"/>
        <v># 16</v>
      </c>
      <c r="L13" s="496">
        <f>+'Formato Pisocret'!H52</f>
        <v>0.5</v>
      </c>
      <c r="M13" s="497">
        <f t="shared" si="5"/>
        <v>99</v>
      </c>
      <c r="N13" s="497">
        <f t="shared" si="6"/>
        <v>99</v>
      </c>
      <c r="O13" s="498" t="s">
        <v>218</v>
      </c>
      <c r="P13" s="496">
        <v>100</v>
      </c>
      <c r="Q13" s="496">
        <v>100</v>
      </c>
      <c r="R13" s="498" t="s">
        <v>218</v>
      </c>
      <c r="S13" s="499">
        <f>$F$13*$F$8+$J$13*$J$8+$P$13*$P$8+$Q$13*$Q$8+$N$13*$N$8</f>
        <v>69.564705882352939</v>
      </c>
      <c r="T13" s="499">
        <f t="shared" si="7"/>
        <v>40.299999999999997</v>
      </c>
      <c r="U13" s="499"/>
      <c r="V13" s="501"/>
      <c r="W13" s="501"/>
      <c r="X13" s="502"/>
      <c r="Y13" s="502"/>
      <c r="Z13" s="502">
        <v>20</v>
      </c>
      <c r="AA13" s="502">
        <v>55</v>
      </c>
      <c r="AB13" s="662">
        <f>+IF(B13=$C$9,D9,IF(B13=$C$10,D10,IF(B13=$C$11,D11,IF(B13=$C$12,D12,IF(B13=$C$13,D13,IF(B13=$C$14,D14,IF(B13=$C$15,D15,100)))))))</f>
        <v>40.299999999999997</v>
      </c>
      <c r="AC13" s="662">
        <f>+IF(B13=$G$9,H9,IF(B13=$G$10,H10,IF(B13=$G$11,H11,IF(B13=$G$12,H12,IF(B13=$G$13,H13,IF(B13=$G$14,H14,IF(B13=$G$15,H15,100)))))))</f>
        <v>7.81</v>
      </c>
      <c r="AD13" s="662">
        <f>+IF(B13=$K$9,L9,IF(B13=$K$10,L10,IF(B13=$K$11,L11,IF(B13=$K$12,L12,IF(B13=$K$13,L13,IF(B13=$K$14,L14,IF(B13=$K$15,L15,100)))))))</f>
        <v>99</v>
      </c>
      <c r="AE13" s="664">
        <f t="shared" si="8"/>
        <v>40.299999999999997</v>
      </c>
    </row>
    <row r="14" spans="1:44" x14ac:dyDescent="0.25">
      <c r="B14" s="494" t="s">
        <v>219</v>
      </c>
      <c r="C14" s="495" t="str">
        <f t="shared" si="0"/>
        <v># 8</v>
      </c>
      <c r="D14" s="496">
        <f>+'Formato Pisocret'!B53</f>
        <v>0.15</v>
      </c>
      <c r="E14" s="497">
        <f t="shared" si="9"/>
        <v>10.47</v>
      </c>
      <c r="F14" s="497">
        <f t="shared" si="1"/>
        <v>10.47</v>
      </c>
      <c r="G14" s="495" t="str">
        <f t="shared" si="2"/>
        <v>3/8"</v>
      </c>
      <c r="H14" s="496">
        <f>+'Formato Pisocret'!E53</f>
        <v>4.55</v>
      </c>
      <c r="I14" s="497">
        <f t="shared" si="3"/>
        <v>4.55</v>
      </c>
      <c r="J14" s="497">
        <f t="shared" si="4"/>
        <v>4.55</v>
      </c>
      <c r="K14" s="495">
        <f t="shared" si="10"/>
        <v>0</v>
      </c>
      <c r="L14" s="496">
        <f>+'Formato Pisocret'!H53</f>
        <v>0</v>
      </c>
      <c r="M14" s="497">
        <f t="shared" si="5"/>
        <v>98</v>
      </c>
      <c r="N14" s="497">
        <f t="shared" si="6"/>
        <v>98</v>
      </c>
      <c r="O14" s="498" t="s">
        <v>219</v>
      </c>
      <c r="P14" s="496">
        <f>+'Formato Pisocret'!B70</f>
        <v>100</v>
      </c>
      <c r="Q14" s="496">
        <f>+'Formato Pisocret'!E70</f>
        <v>0</v>
      </c>
      <c r="R14" s="498" t="s">
        <v>219</v>
      </c>
      <c r="S14" s="499">
        <f>$F$14*$F$8+$J$14*$J$8+$P$14*$P$8+$Q$14*$Q$8+$N$14*$N$8</f>
        <v>54.357254901960786</v>
      </c>
      <c r="T14" s="499">
        <f t="shared" si="7"/>
        <v>10.47</v>
      </c>
      <c r="U14" s="499">
        <f>P14*Diseño!$J$8+Q14*Diseño!$J$9</f>
        <v>100</v>
      </c>
      <c r="V14" s="499">
        <v>100</v>
      </c>
      <c r="W14" s="499">
        <v>100</v>
      </c>
      <c r="X14" s="502">
        <v>100</v>
      </c>
      <c r="Y14" s="502">
        <v>100</v>
      </c>
      <c r="Z14" s="502">
        <v>10</v>
      </c>
      <c r="AA14" s="502">
        <v>30</v>
      </c>
      <c r="AB14" s="662">
        <f>+IF(B14=$C$9,D9,IF(B14=$C$10,D10,IF(B14=$C$11,D11,IF(B14=$C$12,D12,IF(B14=$C$13,D13,IF(B14=$C$14,D14,IF(B14=$C$15,D15,AB13)))))))</f>
        <v>10.47</v>
      </c>
      <c r="AC14" s="662">
        <f>+IF(B14=$G$9,H9,IF(B14=$G$10,H10,IF(B14=$G$11,H11,IF(B14=$G$12,H12,IF(B14=$G$13,H13,IF(B14=$G$14,H14,IF(B14=$G$15,H15,AC13)))))))</f>
        <v>4.55</v>
      </c>
      <c r="AD14" s="662">
        <f>+IF(B14=$K$9,L9,IF(B14=$K$10,L10,IF(B14=$K$11,L11,IF(B14=$K$12,L12,IF(B14=$K$13,L13,IF(B14=$K$14,L14,IF(B14=$K$15,L15,AD13)))))))</f>
        <v>98</v>
      </c>
      <c r="AE14" s="664">
        <f t="shared" si="8"/>
        <v>10.47</v>
      </c>
    </row>
    <row r="15" spans="1:44" x14ac:dyDescent="0.25">
      <c r="B15" s="494" t="s">
        <v>220</v>
      </c>
      <c r="C15" s="495">
        <f t="shared" si="0"/>
        <v>0</v>
      </c>
      <c r="D15" s="496">
        <f>+'Formato Pisocret'!B54</f>
        <v>0</v>
      </c>
      <c r="E15" s="497">
        <f>VLOOKUP(B15,$C$9:$D$15,2,FALSE)</f>
        <v>0.32</v>
      </c>
      <c r="F15" s="497">
        <f t="shared" ref="F15:F21" si="11">IF(ISNA(E15),0,E15)</f>
        <v>0.32</v>
      </c>
      <c r="G15" s="498"/>
      <c r="H15" s="496">
        <f>+'Formato Pisocret'!E54</f>
        <v>0</v>
      </c>
      <c r="I15" s="497" t="e">
        <f t="shared" si="3"/>
        <v>#N/A</v>
      </c>
      <c r="J15" s="497">
        <f t="shared" ref="J15:J21" si="12">IF(ISNA(I15),0,I15)</f>
        <v>0</v>
      </c>
      <c r="K15" s="495">
        <f t="shared" si="10"/>
        <v>0</v>
      </c>
      <c r="L15" s="496">
        <f>+'Formato Pisocret'!H54</f>
        <v>0</v>
      </c>
      <c r="M15" s="497">
        <f t="shared" si="5"/>
        <v>5</v>
      </c>
      <c r="N15" s="497">
        <f t="shared" ref="N15:N21" si="13">IF(ISNA(M15),0,M15)</f>
        <v>5</v>
      </c>
      <c r="O15" s="498" t="s">
        <v>220</v>
      </c>
      <c r="P15" s="496">
        <f>+'Formato Pisocret'!B71</f>
        <v>88</v>
      </c>
      <c r="Q15" s="496">
        <f>+'Formato Pisocret'!E71</f>
        <v>0</v>
      </c>
      <c r="R15" s="498" t="s">
        <v>220</v>
      </c>
      <c r="S15" s="499">
        <f>$F$15*$F$8+$J$15*$J$8+$P$15*$P$8+$Q$15*$Q$8+$N$15*$N$8</f>
        <v>43.300392156862749</v>
      </c>
      <c r="T15" s="499">
        <f t="shared" si="7"/>
        <v>0.32</v>
      </c>
      <c r="U15" s="499">
        <f>P15*Diseño!$J$8+Q15*Diseño!$J$9</f>
        <v>88</v>
      </c>
      <c r="V15" s="499">
        <v>95</v>
      </c>
      <c r="W15" s="499">
        <v>100</v>
      </c>
      <c r="X15" s="502">
        <v>95</v>
      </c>
      <c r="Y15" s="502">
        <v>100</v>
      </c>
      <c r="Z15" s="502">
        <v>0</v>
      </c>
      <c r="AA15" s="502">
        <v>5</v>
      </c>
      <c r="AB15" s="662">
        <f>+IF(B15=$C$9,D9,IF(B15=$C$10,D10,IF(B15=$C$11,D11,IF(B15=$C$12,D12,IF(B15=$C$13,D13,IF(B15=$C$14,D14,IF(B15=$C$15,D15,100)))))))</f>
        <v>0.32</v>
      </c>
      <c r="AC15" s="662">
        <f>+IF(B15=$G$9,H9,IF(B15=$G$10,H10,IF(B15=$G$11,H11,IF(B15=$G$12,H12,IF(B15=$G$13,H13,IF(B15=$G$14,H14,IF(B15=$G$15,H15,10)))))))</f>
        <v>10</v>
      </c>
      <c r="AD15" s="662">
        <f>+IF(B15=$K$9,L9,IF(B15=$K$10,L10,IF(B15=$K$11,L11,IF(B15=$K$12,L12,IF(B15=$K$13,L13,IF(B15=$K$14,L14,IF(B15=$K$15,L15,100)))))))</f>
        <v>5</v>
      </c>
      <c r="AE15" s="664">
        <f t="shared" si="8"/>
        <v>0.32</v>
      </c>
    </row>
    <row r="16" spans="1:44" x14ac:dyDescent="0.25">
      <c r="B16" s="494" t="s">
        <v>221</v>
      </c>
      <c r="C16" s="495"/>
      <c r="D16" s="496">
        <v>0</v>
      </c>
      <c r="E16" s="497">
        <f t="shared" si="9"/>
        <v>0.15</v>
      </c>
      <c r="F16" s="497">
        <f t="shared" si="11"/>
        <v>0.15</v>
      </c>
      <c r="G16" s="498"/>
      <c r="H16" s="496">
        <v>0</v>
      </c>
      <c r="I16" s="497" t="e">
        <f t="shared" si="3"/>
        <v>#N/A</v>
      </c>
      <c r="J16" s="497">
        <f t="shared" si="12"/>
        <v>0</v>
      </c>
      <c r="K16" s="498"/>
      <c r="L16" s="496">
        <v>0</v>
      </c>
      <c r="M16" s="497">
        <f t="shared" si="5"/>
        <v>1</v>
      </c>
      <c r="N16" s="497">
        <f t="shared" si="13"/>
        <v>1</v>
      </c>
      <c r="O16" s="498" t="s">
        <v>221</v>
      </c>
      <c r="P16" s="496">
        <f>+'Formato Pisocret'!B72</f>
        <v>67</v>
      </c>
      <c r="Q16" s="496">
        <f>+'Formato Pisocret'!E72</f>
        <v>0</v>
      </c>
      <c r="R16" s="498" t="s">
        <v>221</v>
      </c>
      <c r="S16" s="499">
        <f>$F$16*$F$8+$J$16*$J$8+$P$16*$P$8+$Q$16*$Q$8+$N$16*$N$8</f>
        <v>32.919607843137257</v>
      </c>
      <c r="T16" s="499"/>
      <c r="U16" s="499">
        <f>P16*Diseño!$J$8+Q16*Diseño!$J$9</f>
        <v>67</v>
      </c>
      <c r="V16" s="499">
        <v>80</v>
      </c>
      <c r="W16" s="499">
        <v>90</v>
      </c>
      <c r="X16" s="502">
        <v>80</v>
      </c>
      <c r="Y16" s="502">
        <v>100</v>
      </c>
      <c r="Z16" s="502">
        <v>0</v>
      </c>
      <c r="AA16" s="502">
        <v>0</v>
      </c>
      <c r="AB16" s="662">
        <f>+IF(B16=$C$9,D9,IF(B16=$C$10,D10,IF(B16=$C$11,D11,IF(B16=$C$12,D12,IF(B16=$C$13,D13,IF(B16=$C$14,D14,IF(B16=$C$15,D15,0)))))))</f>
        <v>0.15</v>
      </c>
      <c r="AC16" s="662">
        <f>+IF(B16=$G$9,H9,IF(B16=$G$10,H10,IF(B16=$G$11,H11,IF(B16=$G$12,H12,IF(B16=$G$13,H13,IF(B16=$G$14,H14,IF(B16=$G$15,H15,0)))))))</f>
        <v>0</v>
      </c>
      <c r="AD16" s="662">
        <f>+IF(B16=$K$9,L9,IF(B16=$K$10,L10,IF(B16=$K$11,L11,IF(B16=$K$12,L12,IF(B16=$K$13,L13,IF(B16=$K$14,L14,IF(B16=$K$15,L15,0)))))))</f>
        <v>1</v>
      </c>
      <c r="AE16" s="664">
        <f t="shared" si="8"/>
        <v>0.15</v>
      </c>
    </row>
    <row r="17" spans="1:44" x14ac:dyDescent="0.25">
      <c r="B17" s="494" t="s">
        <v>222</v>
      </c>
      <c r="C17" s="495"/>
      <c r="D17" s="496">
        <v>0</v>
      </c>
      <c r="E17" s="497" t="e">
        <f t="shared" si="9"/>
        <v>#N/A</v>
      </c>
      <c r="F17" s="497">
        <f t="shared" si="11"/>
        <v>0</v>
      </c>
      <c r="G17" s="498"/>
      <c r="H17" s="496">
        <v>0</v>
      </c>
      <c r="I17" s="497" t="e">
        <f t="shared" si="3"/>
        <v>#N/A</v>
      </c>
      <c r="J17" s="497">
        <f t="shared" si="12"/>
        <v>0</v>
      </c>
      <c r="K17" s="498"/>
      <c r="L17" s="496">
        <v>0</v>
      </c>
      <c r="M17" s="497">
        <f t="shared" si="5"/>
        <v>0.5</v>
      </c>
      <c r="N17" s="497">
        <f t="shared" si="13"/>
        <v>0.5</v>
      </c>
      <c r="O17" s="498" t="s">
        <v>222</v>
      </c>
      <c r="P17" s="496">
        <f>+'Formato Pisocret'!B73</f>
        <v>54.32</v>
      </c>
      <c r="Q17" s="496">
        <f>+'Formato Pisocret'!E73</f>
        <v>0</v>
      </c>
      <c r="R17" s="498" t="s">
        <v>222</v>
      </c>
      <c r="S17" s="499">
        <f>$F$17*$F$8+$J$17*$J$8+$P$17*$P$8+$Q$17*$Q$8+$N$17*$N$8</f>
        <v>26.627450980392158</v>
      </c>
      <c r="T17" s="499"/>
      <c r="U17" s="499">
        <f>P17*Diseño!$J$8+Q17*Diseño!$J$9</f>
        <v>54.32</v>
      </c>
      <c r="V17" s="499">
        <v>50</v>
      </c>
      <c r="W17" s="499">
        <v>75</v>
      </c>
      <c r="X17" s="502">
        <v>50</v>
      </c>
      <c r="Y17" s="502">
        <v>85</v>
      </c>
      <c r="Z17" s="502">
        <v>0</v>
      </c>
      <c r="AA17" s="502">
        <v>0</v>
      </c>
      <c r="AB17" s="662">
        <f>+IF(B17=$C$9,D9,IF(B17=$C$10,D10,IF(B17=$C$11,D11,IF(B17=$C$12,D12,IF(B17=$C$13,D13,IF(B17=$C$14,D14,IF(B17=$C$15,D15,0)))))))</f>
        <v>0</v>
      </c>
      <c r="AC17" s="662">
        <f>+IF(B17=$G$9,H9,IF(B17=$G$10,H10,IF(B17=$G$11,H11,IF(B17=$G$12,H12,IF(B17=$G$13,H13,IF(B17=$G$14,H14,IF(B17=$G$15,H15,0)))))))</f>
        <v>0</v>
      </c>
      <c r="AD17" s="662">
        <f>+IF(B17=$K$9,L9,IF(B17=$K$10,L10,IF(B17=$K$11,L11,IF(B17=$K$12,L12,IF(B17=$K$13,L13,IF(B17=$K$14,L14,IF(B17=$K$15,L15,0)))))))</f>
        <v>0.5</v>
      </c>
      <c r="AE17" s="664">
        <f t="shared" si="8"/>
        <v>0</v>
      </c>
    </row>
    <row r="18" spans="1:44" x14ac:dyDescent="0.25">
      <c r="B18" s="494" t="s">
        <v>223</v>
      </c>
      <c r="C18" s="495"/>
      <c r="D18" s="496">
        <v>0</v>
      </c>
      <c r="E18" s="497" t="e">
        <f t="shared" si="9"/>
        <v>#N/A</v>
      </c>
      <c r="F18" s="497">
        <f t="shared" si="11"/>
        <v>0</v>
      </c>
      <c r="G18" s="498"/>
      <c r="H18" s="496">
        <v>0</v>
      </c>
      <c r="I18" s="497" t="e">
        <f t="shared" si="3"/>
        <v>#N/A</v>
      </c>
      <c r="J18" s="497">
        <f t="shared" si="12"/>
        <v>0</v>
      </c>
      <c r="K18" s="498"/>
      <c r="L18" s="496">
        <v>0</v>
      </c>
      <c r="M18" s="497" t="e">
        <f t="shared" si="5"/>
        <v>#N/A</v>
      </c>
      <c r="N18" s="497">
        <f t="shared" si="13"/>
        <v>0</v>
      </c>
      <c r="O18" s="498" t="s">
        <v>223</v>
      </c>
      <c r="P18" s="496">
        <f>+'Formato Pisocret'!B74</f>
        <v>38.97</v>
      </c>
      <c r="Q18" s="496">
        <f>+'Formato Pisocret'!E74</f>
        <v>0</v>
      </c>
      <c r="R18" s="498" t="s">
        <v>223</v>
      </c>
      <c r="S18" s="499">
        <f>$F$18*$F$8+$J$18*$J$8+$P$18*$P$8+$Q$18*$Q$8+$N$18*$N$8</f>
        <v>19.102941176470591</v>
      </c>
      <c r="T18" s="499"/>
      <c r="U18" s="499">
        <f>P18*Diseño!$J$8+Q18*Diseño!$J$9</f>
        <v>38.97</v>
      </c>
      <c r="V18" s="499">
        <v>30</v>
      </c>
      <c r="W18" s="499">
        <v>50</v>
      </c>
      <c r="X18" s="502">
        <v>25</v>
      </c>
      <c r="Y18" s="502">
        <v>60</v>
      </c>
      <c r="Z18" s="502"/>
      <c r="AA18" s="502"/>
      <c r="AB18" s="662">
        <f>+IF(B18=$C$9,D9,IF(B18=$C$10,D10,IF(B18=$C$11,D11,IF(B18=$C$12,D12,IF(B18=$C$13,D13,IF(B18=$C$14,D14,IF(B18=$C$15,D15,0)))))))</f>
        <v>0</v>
      </c>
      <c r="AC18" s="662">
        <f>+IF(B18=$G$9,H9,IF(B18=$G$10,H10,IF(B18=$G$11,H11,IF(B18=$G$12,H12,IF(B18=$G$13,H13,IF(B18=$G$14,H14,IF(B18=$G$15,H15,0)))))))</f>
        <v>0</v>
      </c>
      <c r="AD18" s="662">
        <f>+IF(B18=$K$9,L9,IF(B18=$K$10,L10,IF(B18=$K$11,L11,IF(B18=$K$12,L12,IF(B18=$K$13,L13,IF(B18=$K$14,L14,IF(B18=$K$15,L15,0)))))))</f>
        <v>0</v>
      </c>
      <c r="AE18" s="664">
        <f t="shared" si="8"/>
        <v>0</v>
      </c>
    </row>
    <row r="19" spans="1:44" x14ac:dyDescent="0.25">
      <c r="B19" s="494" t="s">
        <v>224</v>
      </c>
      <c r="C19" s="495"/>
      <c r="D19" s="496">
        <v>0</v>
      </c>
      <c r="E19" s="497" t="e">
        <f t="shared" si="9"/>
        <v>#N/A</v>
      </c>
      <c r="F19" s="497">
        <f t="shared" si="11"/>
        <v>0</v>
      </c>
      <c r="G19" s="498"/>
      <c r="H19" s="496">
        <v>0</v>
      </c>
      <c r="I19" s="497" t="e">
        <f t="shared" si="3"/>
        <v>#N/A</v>
      </c>
      <c r="J19" s="497">
        <f t="shared" si="12"/>
        <v>0</v>
      </c>
      <c r="K19" s="498"/>
      <c r="L19" s="496">
        <v>0</v>
      </c>
      <c r="M19" s="497" t="e">
        <f t="shared" si="5"/>
        <v>#N/A</v>
      </c>
      <c r="N19" s="497">
        <f t="shared" si="13"/>
        <v>0</v>
      </c>
      <c r="O19" s="498" t="s">
        <v>224</v>
      </c>
      <c r="P19" s="496">
        <f>+'Formato Pisocret'!B75</f>
        <v>27.46</v>
      </c>
      <c r="Q19" s="496">
        <f>+'Formato Pisocret'!E75</f>
        <v>0</v>
      </c>
      <c r="R19" s="498" t="s">
        <v>224</v>
      </c>
      <c r="S19" s="499">
        <f>$F$19*$F$8+$J$19*$J$8+$P$19*$P$8+$Q$19*$Q$8+$N$19*$N$8</f>
        <v>13.460784313725492</v>
      </c>
      <c r="T19" s="499"/>
      <c r="U19" s="499">
        <f>P19*Diseño!$J$8+Q19*Diseño!$J$9</f>
        <v>27.46</v>
      </c>
      <c r="V19" s="499">
        <v>10</v>
      </c>
      <c r="W19" s="499">
        <v>20</v>
      </c>
      <c r="X19" s="502">
        <v>5</v>
      </c>
      <c r="Y19" s="502">
        <v>30</v>
      </c>
      <c r="Z19" s="502"/>
      <c r="AA19" s="502"/>
      <c r="AB19" s="662">
        <f>+IF(B19=$C$9,D9,IF(B19=$C$10,D10,IF(B19=$C$11,D11,IF(B19=$C$12,D12,IF(B19=$C$13,D13,IF(B19=$C$14,D14,IF(B19=$C$15,D15,0)))))))</f>
        <v>0</v>
      </c>
      <c r="AC19" s="662">
        <f>+IF(B19=$G$9,H9,IF(B19=$G$10,H10,IF(B19=$G$11,H11,IF(B19=$G$12,H12,IF(B19=$G$13,H13,IF(B19=$G$14,H14,IF(B19=$G$15,H15,0)))))))</f>
        <v>0</v>
      </c>
      <c r="AD19" s="662">
        <f>+IF(B19=$K$9,L9,IF(B19=$K$10,L10,IF(B19=$K$11,L11,IF(B19=$K$12,L12,IF(B19=$K$13,L13,IF(B19=$K$14,L14,IF(B19=$K$15,L15,0)))))))</f>
        <v>0</v>
      </c>
      <c r="AE19" s="662"/>
    </row>
    <row r="20" spans="1:44" x14ac:dyDescent="0.25">
      <c r="B20" s="494" t="s">
        <v>225</v>
      </c>
      <c r="C20" s="495"/>
      <c r="D20" s="496">
        <v>0</v>
      </c>
      <c r="E20" s="497" t="e">
        <f t="shared" si="9"/>
        <v>#N/A</v>
      </c>
      <c r="F20" s="497">
        <f t="shared" si="11"/>
        <v>0</v>
      </c>
      <c r="G20" s="498"/>
      <c r="H20" s="496">
        <v>0</v>
      </c>
      <c r="I20" s="497" t="e">
        <f t="shared" si="3"/>
        <v>#N/A</v>
      </c>
      <c r="J20" s="497">
        <f t="shared" si="12"/>
        <v>0</v>
      </c>
      <c r="K20" s="498"/>
      <c r="L20" s="496">
        <v>0</v>
      </c>
      <c r="M20" s="497" t="e">
        <f t="shared" si="5"/>
        <v>#N/A</v>
      </c>
      <c r="N20" s="497">
        <f t="shared" si="13"/>
        <v>0</v>
      </c>
      <c r="O20" s="498" t="s">
        <v>225</v>
      </c>
      <c r="P20" s="496">
        <f>+'Formato Pisocret'!B76</f>
        <v>11.19</v>
      </c>
      <c r="Q20" s="496">
        <f>+'Formato Pisocret'!E76</f>
        <v>0</v>
      </c>
      <c r="R20" s="498" t="s">
        <v>225</v>
      </c>
      <c r="S20" s="499">
        <f>$F$20*$F$8+$J$20*$J$8+$P$20*$P$8+$Q$20*$Q$8+$N$20*$N$8</f>
        <v>5.4852941176470589</v>
      </c>
      <c r="T20" s="499"/>
      <c r="U20" s="499">
        <f>P20*Diseño!$J$8+Q20*Diseño!$J$9</f>
        <v>11.19</v>
      </c>
      <c r="V20" s="499">
        <v>2</v>
      </c>
      <c r="W20" s="499">
        <v>5</v>
      </c>
      <c r="X20" s="502">
        <v>0</v>
      </c>
      <c r="Y20" s="502">
        <v>10</v>
      </c>
      <c r="Z20" s="502"/>
      <c r="AA20" s="502"/>
      <c r="AB20" s="662">
        <f>+IF(B20=$C$9,D9,IF(B20=$C$10,D10,IF(B20=$C$11,D11,IF(B20=$C$12,D12,IF(B20=$C$13,D13,IF(B20=$C$14,D14,IF(B20=$C$15,D15,0)))))))</f>
        <v>0</v>
      </c>
      <c r="AC20" s="662">
        <f>+IF(B20=$G$9,H9,IF(B20=$G$10,H10,IF(B20=$G$11,H11,IF(B20=$G$12,H12,IF(B20=$G$13,H13,IF(B20=$G$14,H14,IF(B20=$G$15,H15,0)))))))</f>
        <v>0</v>
      </c>
      <c r="AD20" s="662">
        <f>+IF(B20=$K$9,L9,IF(B20=$K$10,L10,IF(B20=$K$11,L11,IF(B20=$K$12,L12,IF(B20=$K$13,L13,IF(B20=$K$14,L14,IF(B20=$K$15,L15,0)))))))</f>
        <v>0</v>
      </c>
      <c r="AE20" s="662"/>
    </row>
    <row r="21" spans="1:44" x14ac:dyDescent="0.25">
      <c r="B21" s="494" t="s">
        <v>226</v>
      </c>
      <c r="C21" s="495"/>
      <c r="D21" s="496">
        <v>0</v>
      </c>
      <c r="E21" s="497" t="e">
        <f t="shared" si="9"/>
        <v>#N/A</v>
      </c>
      <c r="F21" s="497">
        <f t="shared" si="11"/>
        <v>0</v>
      </c>
      <c r="G21" s="498"/>
      <c r="H21" s="496">
        <v>0</v>
      </c>
      <c r="I21" s="497" t="e">
        <f t="shared" si="3"/>
        <v>#N/A</v>
      </c>
      <c r="J21" s="497">
        <f t="shared" si="12"/>
        <v>0</v>
      </c>
      <c r="K21" s="498"/>
      <c r="L21" s="496">
        <v>0</v>
      </c>
      <c r="M21" s="497" t="e">
        <f t="shared" si="5"/>
        <v>#N/A</v>
      </c>
      <c r="N21" s="497">
        <f t="shared" si="13"/>
        <v>0</v>
      </c>
      <c r="O21" s="498" t="s">
        <v>226</v>
      </c>
      <c r="P21" s="496">
        <f>+'Formato Pisocret'!B77</f>
        <v>0</v>
      </c>
      <c r="Q21" s="496">
        <f>+'Formato Pisocret'!E77</f>
        <v>0</v>
      </c>
      <c r="R21" s="498" t="s">
        <v>226</v>
      </c>
      <c r="S21" s="499">
        <f>$F$21*$F$8+$J$21*$J$8+$P$21*$P$8+$Q$21*$Q$8+$N$21*$N$8</f>
        <v>0</v>
      </c>
      <c r="T21" s="499"/>
      <c r="U21" s="499">
        <f>P21*Diseño!$J$8+Q21*Diseño!$J$9</f>
        <v>0</v>
      </c>
      <c r="V21" s="499">
        <v>0</v>
      </c>
      <c r="W21" s="499">
        <v>0</v>
      </c>
      <c r="X21" s="502"/>
      <c r="Y21" s="502"/>
      <c r="Z21" s="502"/>
      <c r="AA21" s="502"/>
      <c r="AB21" s="662">
        <f>+IF(B21=$C$9,D9,IF(B21=$C$10,D10,IF(B21=$C$11,D11,IF(B21=$C$12,D12,IF(B21=$C$13,D13,IF(B21=$C$14,D14,IF(B21=$C$15,D15,0)))))))</f>
        <v>0</v>
      </c>
      <c r="AC21" s="662">
        <f>+IF(B21=$G$9,H21,IF(B21=$G$10,H22,IF(B21=$G$11,H23,IF(B21=$G$12,H24,IF(B21=$G$13,H25,IF(B21=$G$14,H26,IF(B21=$G$15,H27,0)))))))</f>
        <v>0</v>
      </c>
      <c r="AD21" s="662">
        <f>+IF(B21=$K$9,L9,IF(B21=$K$10,L10,IF(B21=$K$11,L11,IF(B21=$K$12,L12,IF(B21=$K$13,L13,IF(B21=$K$14,L14,IF(B21=$K$15,L15,0)))))))</f>
        <v>0</v>
      </c>
      <c r="AE21" s="662"/>
    </row>
    <row r="22" spans="1:44" x14ac:dyDescent="0.25">
      <c r="B22" s="433"/>
      <c r="C22" s="433"/>
      <c r="D22" s="503"/>
      <c r="E22" s="503"/>
      <c r="F22" s="503"/>
      <c r="H22" s="503"/>
      <c r="I22" s="503"/>
      <c r="J22" s="503"/>
      <c r="L22" s="503"/>
      <c r="M22" s="503"/>
      <c r="N22" s="503"/>
      <c r="P22" s="503"/>
      <c r="Q22" s="503"/>
      <c r="R22" s="433"/>
      <c r="S22" s="503"/>
      <c r="T22" s="503"/>
    </row>
    <row r="23" spans="1:44" ht="13" x14ac:dyDescent="0.3">
      <c r="B23" s="504" t="s">
        <v>227</v>
      </c>
      <c r="C23" s="504"/>
      <c r="D23" s="505">
        <f>IF(F8=0,0,((1000-(F9+F11+F12+F14+F15))/100))</f>
        <v>7.3480999999999996</v>
      </c>
      <c r="E23" s="505"/>
      <c r="F23" s="506"/>
      <c r="G23" s="505"/>
      <c r="H23" s="505">
        <f>IF(J8=0,0,((1000-(J9+J11+J12+J14+J15))/100))</f>
        <v>0</v>
      </c>
      <c r="I23" s="505"/>
      <c r="J23" s="506"/>
      <c r="K23" s="505"/>
      <c r="L23" s="505">
        <f>IF(N8=0,0,((1000-(N9+N11+N12+N14+N15))/100))</f>
        <v>0</v>
      </c>
      <c r="M23" s="505"/>
      <c r="N23" s="506"/>
      <c r="O23" s="505"/>
      <c r="P23" s="505">
        <f>IF(P8=0,0,(700-SUM(P14:P20))/100)</f>
        <v>3.1306000000000007</v>
      </c>
      <c r="Q23" s="505">
        <f>IF(Q8=0,0,(700-SUM(Q14:Q20))/100)</f>
        <v>0</v>
      </c>
      <c r="R23" s="505"/>
      <c r="S23" s="505">
        <f>(1200-SUM(S10:S21))/100</f>
        <v>6.5842862745098021</v>
      </c>
      <c r="T23" s="507"/>
    </row>
    <row r="24" spans="1:44" x14ac:dyDescent="0.25">
      <c r="A24" s="508"/>
      <c r="B24" s="509"/>
      <c r="C24" s="510"/>
      <c r="D24" s="510"/>
      <c r="E24" s="510"/>
      <c r="F24" s="510"/>
      <c r="G24" s="510"/>
      <c r="H24" s="510"/>
      <c r="I24" s="510"/>
      <c r="J24" s="508"/>
      <c r="O24" s="477"/>
    </row>
    <row r="25" spans="1:44" s="514" customFormat="1" ht="18" x14ac:dyDescent="0.4">
      <c r="A25" s="511"/>
      <c r="B25" s="512" t="s">
        <v>228</v>
      </c>
      <c r="C25" s="513"/>
      <c r="D25" s="513"/>
      <c r="E25" s="513"/>
      <c r="F25" s="513"/>
      <c r="G25" s="513"/>
      <c r="H25" s="513"/>
      <c r="I25" s="513"/>
      <c r="J25" s="513"/>
      <c r="K25" s="511"/>
      <c r="O25" s="1"/>
      <c r="P25" s="1"/>
      <c r="AB25" s="665"/>
      <c r="AC25" s="665"/>
      <c r="AD25" s="665"/>
      <c r="AE25" s="665"/>
      <c r="AF25" s="665"/>
      <c r="AG25" s="665"/>
      <c r="AH25" s="665"/>
      <c r="AI25" s="719"/>
      <c r="AJ25" s="665"/>
      <c r="AK25" s="665"/>
      <c r="AL25" s="665"/>
      <c r="AM25" s="665"/>
      <c r="AN25" s="665"/>
      <c r="AO25" s="681"/>
      <c r="AP25" s="681"/>
      <c r="AQ25" s="681"/>
      <c r="AR25" s="681"/>
    </row>
    <row r="26" spans="1:44" s="514" customFormat="1" ht="18" x14ac:dyDescent="0.4">
      <c r="A26" s="511"/>
      <c r="B26" s="515"/>
      <c r="C26" s="513"/>
      <c r="D26" s="513"/>
      <c r="E26" s="513"/>
      <c r="F26" s="513"/>
      <c r="G26" s="513"/>
      <c r="H26" s="513"/>
      <c r="I26" s="513"/>
      <c r="J26" s="513"/>
      <c r="K26" s="511"/>
      <c r="O26" s="1"/>
      <c r="P26" s="1"/>
      <c r="AB26" s="665"/>
      <c r="AC26" s="665"/>
      <c r="AD26" s="665"/>
      <c r="AE26" s="665"/>
      <c r="AF26" s="665"/>
      <c r="AG26" s="665"/>
      <c r="AH26" s="665"/>
      <c r="AI26" s="720" t="s">
        <v>305</v>
      </c>
      <c r="AJ26" s="665"/>
      <c r="AK26" s="665"/>
      <c r="AL26" s="665"/>
      <c r="AM26" s="665"/>
      <c r="AN26" s="665"/>
      <c r="AO26" s="681"/>
      <c r="AP26" s="681"/>
      <c r="AQ26" s="681"/>
      <c r="AR26" s="681"/>
    </row>
    <row r="27" spans="1:44" s="514" customFormat="1" ht="15.5" x14ac:dyDescent="0.35">
      <c r="A27" s="511"/>
      <c r="B27" s="516" t="str">
        <f>CONCATENATE("Grava"," ",D6," ","TMA"," ",D4)</f>
        <v>Grava GB2 TMA 20</v>
      </c>
      <c r="C27" s="513"/>
      <c r="D27" s="513"/>
      <c r="E27" s="513"/>
      <c r="F27" s="513"/>
      <c r="G27" s="513"/>
      <c r="H27" s="513"/>
      <c r="I27" s="513"/>
      <c r="J27" s="513"/>
      <c r="K27" s="511"/>
      <c r="O27" s="1"/>
      <c r="P27" s="1"/>
      <c r="Q27" s="517" t="str">
        <f>CONCATENATE("Arena"," ",P6," ",)</f>
        <v xml:space="preserve">Arena AC2 </v>
      </c>
      <c r="AB27" s="665"/>
      <c r="AC27" s="1210" t="s">
        <v>280</v>
      </c>
      <c r="AD27" s="1210"/>
      <c r="AE27" s="662"/>
      <c r="AF27" s="662"/>
      <c r="AG27" s="662"/>
      <c r="AH27" s="662"/>
      <c r="AI27" s="720">
        <v>10</v>
      </c>
      <c r="AJ27" s="662"/>
      <c r="AK27" s="662"/>
      <c r="AL27" s="665"/>
      <c r="AM27" s="665"/>
      <c r="AN27" s="665"/>
      <c r="AO27" s="681"/>
      <c r="AP27" s="681"/>
      <c r="AQ27" s="681"/>
      <c r="AR27" s="681"/>
    </row>
    <row r="28" spans="1:44" s="514" customFormat="1" ht="12.75" customHeight="1" x14ac:dyDescent="0.25">
      <c r="A28" s="511"/>
      <c r="B28" s="518"/>
      <c r="C28" s="513"/>
      <c r="D28" s="513"/>
      <c r="E28" s="513"/>
      <c r="F28" s="513"/>
      <c r="G28" s="513"/>
      <c r="H28" s="513"/>
      <c r="I28" s="513"/>
      <c r="J28" s="513"/>
      <c r="K28" s="511"/>
      <c r="O28" s="1"/>
      <c r="P28" s="1"/>
      <c r="AB28" s="665"/>
      <c r="AC28" s="661">
        <v>1</v>
      </c>
      <c r="AD28" s="661">
        <v>10</v>
      </c>
      <c r="AE28" s="662">
        <f>MID(D6,3,1)*1</f>
        <v>2</v>
      </c>
      <c r="AF28" s="662">
        <f>IF(H6=0," ",MID(H6,3,1)*1)</f>
        <v>4</v>
      </c>
      <c r="AG28" s="662"/>
      <c r="AH28" s="662"/>
      <c r="AI28" s="720">
        <v>13</v>
      </c>
      <c r="AJ28" s="662"/>
      <c r="AK28" s="662"/>
      <c r="AL28" s="665"/>
      <c r="AM28" s="665"/>
      <c r="AN28" s="665"/>
      <c r="AO28" s="681"/>
      <c r="AP28" s="681"/>
      <c r="AQ28" s="681"/>
      <c r="AR28" s="681"/>
    </row>
    <row r="29" spans="1:44" s="514" customFormat="1" ht="15" customHeight="1" x14ac:dyDescent="0.25">
      <c r="B29" s="518"/>
      <c r="C29" s="513"/>
      <c r="D29" s="513"/>
      <c r="E29" s="513"/>
      <c r="F29" s="513"/>
      <c r="G29" s="513"/>
      <c r="H29" s="513"/>
      <c r="I29" s="513"/>
      <c r="AB29" s="665"/>
      <c r="AC29" s="661">
        <v>2</v>
      </c>
      <c r="AD29" s="661">
        <v>20</v>
      </c>
      <c r="AE29" s="661"/>
      <c r="AF29" s="661"/>
      <c r="AG29" s="661"/>
      <c r="AH29" s="661"/>
      <c r="AI29" s="720">
        <v>20</v>
      </c>
      <c r="AJ29" s="661"/>
      <c r="AK29" s="661"/>
      <c r="AL29" s="665"/>
      <c r="AM29" s="665"/>
      <c r="AN29" s="665"/>
      <c r="AO29" s="681"/>
      <c r="AP29" s="681"/>
      <c r="AQ29" s="681"/>
      <c r="AR29" s="681"/>
    </row>
    <row r="30" spans="1:44" s="514" customFormat="1" ht="15" customHeight="1" x14ac:dyDescent="0.25">
      <c r="AB30" s="665"/>
      <c r="AC30" s="661">
        <v>3</v>
      </c>
      <c r="AD30" s="661">
        <v>13</v>
      </c>
      <c r="AE30" s="661"/>
      <c r="AF30" s="661"/>
      <c r="AG30" s="661"/>
      <c r="AH30" s="661"/>
      <c r="AI30" s="720">
        <v>25</v>
      </c>
      <c r="AJ30" s="661"/>
      <c r="AK30" s="661"/>
      <c r="AL30" s="665"/>
      <c r="AM30" s="665"/>
      <c r="AN30" s="665"/>
      <c r="AO30" s="681"/>
      <c r="AP30" s="681"/>
      <c r="AQ30" s="681"/>
      <c r="AR30" s="681"/>
    </row>
    <row r="31" spans="1:44" s="514" customFormat="1" ht="15" customHeight="1" x14ac:dyDescent="0.25">
      <c r="AB31" s="665"/>
      <c r="AC31" s="661">
        <v>4</v>
      </c>
      <c r="AD31" s="661">
        <v>40</v>
      </c>
      <c r="AE31" s="661"/>
      <c r="AF31" s="661"/>
      <c r="AG31" s="661"/>
      <c r="AH31" s="661"/>
      <c r="AI31" s="720" t="s">
        <v>290</v>
      </c>
      <c r="AJ31" s="661"/>
      <c r="AK31" s="661"/>
      <c r="AL31" s="665"/>
      <c r="AM31" s="665"/>
      <c r="AN31" s="665"/>
      <c r="AO31" s="681"/>
      <c r="AP31" s="681"/>
      <c r="AQ31" s="681"/>
      <c r="AR31" s="681"/>
    </row>
    <row r="32" spans="1:44" s="514" customFormat="1" ht="15" customHeight="1" x14ac:dyDescent="0.25">
      <c r="AB32" s="665"/>
      <c r="AC32" s="661">
        <v>5</v>
      </c>
      <c r="AD32" s="661">
        <v>25</v>
      </c>
      <c r="AE32" s="661"/>
      <c r="AF32" s="661"/>
      <c r="AG32" s="661"/>
      <c r="AH32" s="661"/>
      <c r="AI32" s="720" t="s">
        <v>292</v>
      </c>
      <c r="AJ32" s="661"/>
      <c r="AK32" s="661"/>
      <c r="AL32" s="665"/>
      <c r="AM32" s="665"/>
      <c r="AN32" s="665"/>
      <c r="AO32" s="681"/>
      <c r="AP32" s="681"/>
      <c r="AQ32" s="681"/>
      <c r="AR32" s="681"/>
    </row>
    <row r="33" spans="2:44" s="514" customFormat="1" ht="15" customHeight="1" x14ac:dyDescent="0.25">
      <c r="AB33" s="665"/>
      <c r="AC33" s="661"/>
      <c r="AD33" s="661"/>
      <c r="AE33" s="661"/>
      <c r="AF33" s="661"/>
      <c r="AG33" s="661"/>
      <c r="AH33" s="661"/>
      <c r="AI33" s="717"/>
      <c r="AJ33" s="661"/>
      <c r="AK33" s="661"/>
      <c r="AL33" s="665"/>
      <c r="AM33" s="665"/>
      <c r="AN33" s="665"/>
      <c r="AO33" s="681"/>
      <c r="AP33" s="681"/>
      <c r="AQ33" s="681"/>
      <c r="AR33" s="681"/>
    </row>
    <row r="34" spans="2:44" s="514" customFormat="1" ht="15" customHeight="1" x14ac:dyDescent="0.25">
      <c r="AB34" s="665"/>
      <c r="AC34" s="1211"/>
      <c r="AD34" s="1211"/>
      <c r="AE34" s="661"/>
      <c r="AF34" s="661"/>
      <c r="AG34" s="661"/>
      <c r="AH34" s="661"/>
      <c r="AI34" s="717"/>
      <c r="AJ34" s="661"/>
      <c r="AK34" s="661"/>
      <c r="AL34" s="665"/>
      <c r="AM34" s="665"/>
      <c r="AN34" s="665"/>
      <c r="AO34" s="681"/>
      <c r="AP34" s="681"/>
      <c r="AQ34" s="681"/>
      <c r="AR34" s="681"/>
    </row>
    <row r="35" spans="2:44" s="514" customFormat="1" ht="15" customHeight="1" x14ac:dyDescent="0.3">
      <c r="AB35" s="665"/>
      <c r="AC35" s="666" t="s">
        <v>293</v>
      </c>
      <c r="AD35" s="666"/>
      <c r="AE35" s="666"/>
      <c r="AF35" s="666"/>
      <c r="AG35" s="666"/>
      <c r="AH35" s="666" t="s">
        <v>294</v>
      </c>
      <c r="AI35" s="721"/>
      <c r="AJ35" s="666"/>
      <c r="AK35" s="666"/>
      <c r="AL35" s="665"/>
      <c r="AM35" s="666" t="s">
        <v>332</v>
      </c>
      <c r="AN35" s="666"/>
      <c r="AO35" s="682"/>
      <c r="AP35" s="682"/>
      <c r="AQ35" s="681"/>
      <c r="AR35" s="681"/>
    </row>
    <row r="36" spans="2:44" s="514" customFormat="1" ht="15" customHeight="1" x14ac:dyDescent="0.3">
      <c r="AB36" s="665"/>
      <c r="AC36" s="667" t="str">
        <f>IF($D$4=10,AC46,IF($D$4=13,AC55,IF($D$4=20,AC64,IF($D$4=25,AC73,IF($D$4=AE82,AC82,IF($D$4=AE92,AC92,""))))))</f>
        <v>Gráfica Grava 20 mm</v>
      </c>
      <c r="AD36" s="668"/>
      <c r="AE36" s="668"/>
      <c r="AF36" s="668"/>
      <c r="AG36" s="666"/>
      <c r="AH36" s="667" t="str">
        <f>IF($H$4=10,AH46,IF($H$4=13,AH55,IF($H$4=20,AH64,IF($H$4=25,AH73,IF($H$4=AJ82,AH82,IF($H$4=AJ92,AH92,""))))))</f>
        <v>Gráfica Grava 40-4 mm</v>
      </c>
      <c r="AI36" s="722"/>
      <c r="AJ36" s="668"/>
      <c r="AK36" s="668"/>
      <c r="AL36" s="665"/>
      <c r="AM36" s="667" t="str">
        <f>IF($L$4=10,AH46,IF($L$4=13,AH55,IF($L$4=20,AH64,IF($L$4=25,AH73,IF($L$4=AJ82,AH82,IF($L$4=AJ92,AH92,""))))))</f>
        <v>Gráfica Grava 10 mm</v>
      </c>
      <c r="AN36" s="668"/>
      <c r="AO36" s="684"/>
      <c r="AP36" s="684"/>
      <c r="AQ36" s="681"/>
      <c r="AR36" s="681"/>
    </row>
    <row r="37" spans="2:44" s="514" customFormat="1" ht="15" customHeight="1" x14ac:dyDescent="0.3">
      <c r="AB37" s="665"/>
      <c r="AC37" s="668" t="s">
        <v>281</v>
      </c>
      <c r="AD37" s="668" t="s">
        <v>282</v>
      </c>
      <c r="AE37" s="668" t="s">
        <v>283</v>
      </c>
      <c r="AF37" s="668" t="s">
        <v>284</v>
      </c>
      <c r="AG37" s="666"/>
      <c r="AH37" s="668" t="s">
        <v>281</v>
      </c>
      <c r="AI37" s="722" t="s">
        <v>282</v>
      </c>
      <c r="AJ37" s="668" t="s">
        <v>283</v>
      </c>
      <c r="AK37" s="668" t="s">
        <v>284</v>
      </c>
      <c r="AL37" s="665"/>
      <c r="AM37" s="668" t="s">
        <v>281</v>
      </c>
      <c r="AN37" s="668" t="s">
        <v>282</v>
      </c>
      <c r="AO37" s="684" t="s">
        <v>283</v>
      </c>
      <c r="AP37" s="684" t="s">
        <v>284</v>
      </c>
      <c r="AQ37" s="681"/>
      <c r="AR37" s="681"/>
    </row>
    <row r="38" spans="2:44" s="514" customFormat="1" ht="15" customHeight="1" x14ac:dyDescent="0.3">
      <c r="AB38" s="665"/>
      <c r="AC38" s="667" t="str">
        <f>IF($D$4=10,AC48,IF($D$4=13,AC57,IF($D$4=20,AC66,IF($D$4=25,AC75,IF($D$4=$AE$82,AC84,IF($D$4=$AE$92,AC94,""))))))</f>
        <v>1"</v>
      </c>
      <c r="AD38" s="669">
        <f>IF($D$7=0,0,D9)</f>
        <v>90</v>
      </c>
      <c r="AE38" s="667">
        <f t="shared" ref="AE38:AF44" si="14">IF($D$4=10,AE48,IF($D$4=13,AE57,IF($D$4=20,AE66,IF($D$4=25,AE75,IF($D$4=$AE$82,AE84,IF($D$4=$AE$92,AE94,""))))))</f>
        <v>100</v>
      </c>
      <c r="AF38" s="667">
        <f t="shared" si="14"/>
        <v>100</v>
      </c>
      <c r="AG38" s="666"/>
      <c r="AH38" s="667" t="str">
        <f t="shared" ref="AH38:AH44" si="15">IF($H$4=10,AH48,IF($H$4=13,AH57,IF($H$4=20,AH66,IF($H$4=25,AH75,IF($H$4=$AJ$82,AH84,IF($H$4=$AJ$92,AH94,""))))))</f>
        <v>2"</v>
      </c>
      <c r="AI38" s="723">
        <f t="shared" ref="AI38:AI43" si="16">IF($H$7=0,0,H9)</f>
        <v>0</v>
      </c>
      <c r="AJ38" s="667" t="str">
        <f>IF($H$4=10,AJ48,IF($H$4=13,AJ57,IF($H$4=20,AJ66,IF($H$4=25,AJ75,IF($H$4=$AW$57,AJ84,IF($H$4=$AW$65,AJ94,""))))))</f>
        <v/>
      </c>
      <c r="AK38" s="667" t="str">
        <f>IF($H$4=10,AK48,IF($H$4=13,AK57,IF($H$4=20,AK66,IF($H$4=25,AK75,IF($H$4=$AW$57,AK84,IF($H$4=$AW$65,AK94,""))))))</f>
        <v/>
      </c>
      <c r="AL38" s="665"/>
      <c r="AM38" s="667" t="str">
        <f t="shared" ref="AM38:AM44" si="17">IF($L$4=10,AH48,IF($L$4=13,AH57,IF($L$4=20,AH66,IF($L$4=25,AH75,IF($L$4=$AJ$82,AH84,IF($L$4=$AJ$92,AH94,""))))))</f>
        <v>1/2"</v>
      </c>
      <c r="AN38" s="669">
        <f>IF($L$7=0,0,L9)</f>
        <v>0</v>
      </c>
      <c r="AO38" s="683">
        <f t="shared" ref="AO38:AO44" si="18">IF($L$4=10,AJ48,IF($L$4=13,AJ57,IF($L$4=20,AJ66,IF($L$4=25,AJ75,IF($L$4=$AJ$82,AJ84,IF($L$4=$AJ$92,AJ94,""))))))</f>
        <v>100</v>
      </c>
      <c r="AP38" s="683">
        <f t="shared" ref="AP38:AP43" si="19">IF($H$4=10,AK48,IF($H$4=13,AK57,IF($H$4=20,AK66,IF($H$4=25,AK75,IF($H$4=$AJ$82,AK84,IF($H$4=$AJ$92,AK94,""))))))</f>
        <v>100</v>
      </c>
      <c r="AQ38" s="681"/>
      <c r="AR38" s="681"/>
    </row>
    <row r="39" spans="2:44" s="514" customFormat="1" ht="15" customHeight="1" x14ac:dyDescent="0.3">
      <c r="AB39" s="665"/>
      <c r="AC39" s="667" t="str">
        <f t="shared" ref="AC39:AC44" si="20">IF($D$4=10,AC49,IF($D$4=13,AC58,IF($D$4=20,AC67,IF($D$4=25,AC76,IF($D$4=$AE$82,AC85,IF($D$4=$AE$92,AC95,""))))))</f>
        <v>3/4"</v>
      </c>
      <c r="AD39" s="669">
        <f t="shared" ref="AD39:AD44" si="21">IF($D$7=0,0,D10)</f>
        <v>64.400000000000006</v>
      </c>
      <c r="AE39" s="667">
        <f t="shared" si="14"/>
        <v>90</v>
      </c>
      <c r="AF39" s="667">
        <f t="shared" si="14"/>
        <v>100</v>
      </c>
      <c r="AG39" s="666"/>
      <c r="AH39" s="667" t="str">
        <f t="shared" si="15"/>
        <v>1 1/2"</v>
      </c>
      <c r="AI39" s="723">
        <f t="shared" si="16"/>
        <v>0</v>
      </c>
      <c r="AJ39" s="667" t="str">
        <f>IF($H$4=10,AJ49,IF($H$4=13,AJ58,IF($H$4=20,AJ67,IF($H$4=25,AJ76,IF($H$4=$AW$57,AJ85,IF($H$4=$AW$65,AJ95,""))))))</f>
        <v/>
      </c>
      <c r="AK39" s="667" t="str">
        <f>IF($H$4=10,AK49,IF($H$4=13,AK58,IF($H$4=20,AK67,IF($H$4=25,AK76,IF($H$4=$AW$57,AK85,IF($H$4=$AW$65,AK95,""))))))</f>
        <v/>
      </c>
      <c r="AL39" s="665"/>
      <c r="AM39" s="667" t="str">
        <f t="shared" si="17"/>
        <v>3/8"</v>
      </c>
      <c r="AN39" s="669">
        <f t="shared" ref="AN39:AN44" si="22">IF($L$7=0,0,L10)</f>
        <v>0</v>
      </c>
      <c r="AO39" s="683">
        <f t="shared" si="18"/>
        <v>85</v>
      </c>
      <c r="AP39" s="683">
        <f t="shared" si="19"/>
        <v>100</v>
      </c>
      <c r="AQ39" s="681"/>
      <c r="AR39" s="681"/>
    </row>
    <row r="40" spans="2:44" s="514" customFormat="1" ht="15" customHeight="1" x14ac:dyDescent="0.3">
      <c r="AB40" s="665"/>
      <c r="AC40" s="667" t="str">
        <f t="shared" si="20"/>
        <v>1/2"</v>
      </c>
      <c r="AD40" s="669">
        <f t="shared" si="21"/>
        <v>40.299999999999997</v>
      </c>
      <c r="AE40" s="667">
        <f t="shared" si="14"/>
        <v>40</v>
      </c>
      <c r="AF40" s="667">
        <f t="shared" si="14"/>
        <v>70</v>
      </c>
      <c r="AG40" s="666"/>
      <c r="AH40" s="667" t="str">
        <f t="shared" si="15"/>
        <v>1"</v>
      </c>
      <c r="AI40" s="723">
        <f t="shared" si="16"/>
        <v>0</v>
      </c>
      <c r="AJ40" s="667" t="str">
        <f>IF($H$4=10,AJ50,IF($H$4=13,AJ59,IF($H$4=20,AJ68,IF($H$4=25,AJ77,IF($H$4=$AW$57,AJ86,IF($H$4=$AW$65,AJ97,""))))))</f>
        <v/>
      </c>
      <c r="AK40" s="667" t="str">
        <f>IF($H$4=10,AK50,IF($H$4=13,AK59,IF($H$4=20,AK68,IF($H$4=25,AK77,IF($H$4=$AW$57,AK86,IF($H$4=$AW$65,AK97,""))))))</f>
        <v/>
      </c>
      <c r="AL40" s="665"/>
      <c r="AM40" s="667" t="str">
        <f t="shared" si="17"/>
        <v># 4</v>
      </c>
      <c r="AN40" s="669">
        <f t="shared" si="22"/>
        <v>0</v>
      </c>
      <c r="AO40" s="683">
        <f t="shared" si="18"/>
        <v>10</v>
      </c>
      <c r="AP40" s="683">
        <f t="shared" si="19"/>
        <v>55</v>
      </c>
      <c r="AQ40" s="681"/>
      <c r="AR40" s="681"/>
    </row>
    <row r="41" spans="2:44" s="514" customFormat="1" ht="15" customHeight="1" x14ac:dyDescent="0.3">
      <c r="AB41" s="665"/>
      <c r="AC41" s="667" t="str">
        <f t="shared" si="20"/>
        <v>3/8"</v>
      </c>
      <c r="AD41" s="669">
        <f t="shared" si="21"/>
        <v>10.47</v>
      </c>
      <c r="AE41" s="667">
        <f t="shared" si="14"/>
        <v>20</v>
      </c>
      <c r="AF41" s="667">
        <f t="shared" si="14"/>
        <v>55</v>
      </c>
      <c r="AG41" s="666"/>
      <c r="AH41" s="667" t="str">
        <f t="shared" si="15"/>
        <v>3/4"</v>
      </c>
      <c r="AI41" s="723">
        <f t="shared" si="16"/>
        <v>0</v>
      </c>
      <c r="AJ41" s="667" t="str">
        <f>IF($H$4=10,AJ51,IF($H$4=13,AJ60,IF($H$4=20,AJ69,IF($H$4=25,AJ78,IF($H$4=$AW$57,AJ88,IF($H$4=$AW$65,AJ99,""))))))</f>
        <v/>
      </c>
      <c r="AK41" s="667" t="str">
        <f>IF($H$4=10,AK51,IF($H$4=13,AK60,IF($H$4=20,AK69,IF($H$4=25,AK78,IF($H$4=$AW$57,AK88,IF($H$4=$AW$65,AK99,""))))))</f>
        <v/>
      </c>
      <c r="AL41" s="665"/>
      <c r="AM41" s="667" t="str">
        <f t="shared" si="17"/>
        <v># 8</v>
      </c>
      <c r="AN41" s="669">
        <f t="shared" si="22"/>
        <v>0</v>
      </c>
      <c r="AO41" s="683">
        <f t="shared" si="18"/>
        <v>0</v>
      </c>
      <c r="AP41" s="683">
        <f t="shared" si="19"/>
        <v>15</v>
      </c>
      <c r="AQ41" s="681"/>
      <c r="AR41" s="681"/>
    </row>
    <row r="42" spans="2:44" s="514" customFormat="1" ht="15" customHeight="1" x14ac:dyDescent="0.3">
      <c r="AB42" s="665"/>
      <c r="AC42" s="667" t="str">
        <f t="shared" si="20"/>
        <v># 4</v>
      </c>
      <c r="AD42" s="669">
        <f t="shared" si="21"/>
        <v>0.32</v>
      </c>
      <c r="AE42" s="667">
        <f t="shared" si="14"/>
        <v>0</v>
      </c>
      <c r="AF42" s="667">
        <f t="shared" si="14"/>
        <v>10</v>
      </c>
      <c r="AG42" s="666"/>
      <c r="AH42" s="667" t="str">
        <f t="shared" si="15"/>
        <v>1/2"</v>
      </c>
      <c r="AI42" s="723">
        <f t="shared" si="16"/>
        <v>0</v>
      </c>
      <c r="AJ42" s="667" t="str">
        <f>IF($H$4=10,AJ52,IF($H$4=13,AJ61,IF($H$4=20,AJ70,IF($H$4=25,AJ79,IF($H$4=$AW$57,AJ89,IF($H$4=$AW$65,AJ100,""))))))</f>
        <v/>
      </c>
      <c r="AK42" s="667" t="str">
        <f>IF($H$4=10,AK52,IF($H$4=13,AK61,IF($H$4=20,AK70,IF($H$4=25,AK79,IF($H$4=$AW$57,AK89,IF($H$4=$AW$65,AK100,""))))))</f>
        <v/>
      </c>
      <c r="AL42" s="665"/>
      <c r="AM42" s="667" t="str">
        <f t="shared" si="17"/>
        <v># 16</v>
      </c>
      <c r="AN42" s="669">
        <f t="shared" si="22"/>
        <v>0</v>
      </c>
      <c r="AO42" s="683">
        <f t="shared" si="18"/>
        <v>0</v>
      </c>
      <c r="AP42" s="683">
        <f t="shared" si="19"/>
        <v>15</v>
      </c>
      <c r="AQ42" s="681"/>
      <c r="AR42" s="681"/>
    </row>
    <row r="43" spans="2:44" s="514" customFormat="1" ht="15.5" x14ac:dyDescent="0.35">
      <c r="B43" s="517" t="str">
        <f>CONCATENATE("Grava"," ",H6," ","TMA"," ",H4)</f>
        <v>Grava GB4 TMA 40-4</v>
      </c>
      <c r="Q43" s="517" t="str">
        <f>CONCATENATE("Arena"," ",Q6," ",)</f>
        <v xml:space="preserve">Arena AR1 </v>
      </c>
      <c r="AB43" s="665"/>
      <c r="AC43" s="667" t="str">
        <f t="shared" si="20"/>
        <v># 8</v>
      </c>
      <c r="AD43" s="669">
        <f t="shared" si="21"/>
        <v>0.15</v>
      </c>
      <c r="AE43" s="667">
        <f t="shared" si="14"/>
        <v>0</v>
      </c>
      <c r="AF43" s="667">
        <f t="shared" si="14"/>
        <v>5</v>
      </c>
      <c r="AG43" s="666"/>
      <c r="AH43" s="667" t="str">
        <f t="shared" si="15"/>
        <v>3/8"</v>
      </c>
      <c r="AI43" s="723">
        <f t="shared" si="16"/>
        <v>0</v>
      </c>
      <c r="AJ43" s="667" t="str">
        <f>IF($H$4=10,AJ53,IF($H$4=13,AJ62,IF($H$4=20,AJ71,IF($H$4=25,AJ80,IF($H$4=$AW$57,AJ91,IF($H$4=$AW$65,AJ101,""))))))</f>
        <v/>
      </c>
      <c r="AK43" s="667" t="str">
        <f>IF($H$4=10,AK53,IF($H$4=13,AK62,IF($H$4=20,AK71,IF($H$4=25,AK80,IF($H$4=$AW$57,AK91,IF($H$4=$AW$65,AK101,""))))))</f>
        <v/>
      </c>
      <c r="AL43" s="665"/>
      <c r="AM43" s="667">
        <f t="shared" si="17"/>
        <v>0</v>
      </c>
      <c r="AN43" s="669">
        <f t="shared" si="22"/>
        <v>0</v>
      </c>
      <c r="AO43" s="683">
        <f t="shared" si="18"/>
        <v>0</v>
      </c>
      <c r="AP43" s="683">
        <f t="shared" si="19"/>
        <v>5</v>
      </c>
      <c r="AQ43" s="681"/>
      <c r="AR43" s="681"/>
    </row>
    <row r="44" spans="2:44" s="514" customFormat="1" ht="14.25" customHeight="1" x14ac:dyDescent="0.3">
      <c r="AB44" s="665"/>
      <c r="AC44" s="667">
        <f t="shared" si="20"/>
        <v>0</v>
      </c>
      <c r="AD44" s="669">
        <f t="shared" si="21"/>
        <v>0</v>
      </c>
      <c r="AE44" s="667">
        <f t="shared" si="14"/>
        <v>0</v>
      </c>
      <c r="AF44" s="667">
        <f t="shared" si="14"/>
        <v>0</v>
      </c>
      <c r="AG44" s="666"/>
      <c r="AH44" s="667" t="str">
        <f t="shared" si="15"/>
        <v># 4</v>
      </c>
      <c r="AI44" s="723"/>
      <c r="AJ44" s="667"/>
      <c r="AK44" s="667"/>
      <c r="AL44" s="665"/>
      <c r="AM44" s="667">
        <f t="shared" si="17"/>
        <v>0</v>
      </c>
      <c r="AN44" s="669">
        <f t="shared" si="22"/>
        <v>0</v>
      </c>
      <c r="AO44" s="683">
        <f t="shared" si="18"/>
        <v>0</v>
      </c>
      <c r="AP44" s="683">
        <f>IF($D$4=10,AK54,IF($D$4=13,AK63,IF($D$4=20,AK72,IF($D$4=25,AK81,IF($D$4=$AJ$82,AK90,IF($D$4=$AJ$92,AK100,""))))))</f>
        <v>0</v>
      </c>
      <c r="AQ44" s="681"/>
      <c r="AR44" s="681"/>
    </row>
    <row r="45" spans="2:44" s="514" customFormat="1" ht="14.25" customHeight="1" x14ac:dyDescent="0.25">
      <c r="AB45" s="665"/>
      <c r="AC45" s="670"/>
      <c r="AD45" s="670"/>
      <c r="AE45" s="670"/>
      <c r="AF45" s="670"/>
      <c r="AG45" s="661"/>
      <c r="AH45" s="670"/>
      <c r="AI45" s="724"/>
      <c r="AJ45" s="670"/>
      <c r="AK45" s="670"/>
      <c r="AL45" s="665"/>
      <c r="AM45" s="665"/>
      <c r="AN45" s="665"/>
      <c r="AO45" s="681"/>
      <c r="AP45" s="681"/>
      <c r="AQ45" s="681"/>
      <c r="AR45" s="681"/>
    </row>
    <row r="46" spans="2:44" s="514" customFormat="1" ht="14.25" customHeight="1" x14ac:dyDescent="0.25">
      <c r="AB46" s="665"/>
      <c r="AC46" s="671" t="s">
        <v>285</v>
      </c>
      <c r="AD46" s="671"/>
      <c r="AE46" s="671"/>
      <c r="AF46" s="671"/>
      <c r="AG46" s="672"/>
      <c r="AH46" s="671" t="s">
        <v>285</v>
      </c>
      <c r="AI46" s="725"/>
      <c r="AJ46" s="671"/>
      <c r="AK46" s="671"/>
      <c r="AL46" s="673"/>
      <c r="AM46" s="673"/>
      <c r="AN46" s="673"/>
      <c r="AO46" s="685"/>
      <c r="AP46" s="685"/>
      <c r="AQ46" s="681"/>
      <c r="AR46" s="681"/>
    </row>
    <row r="47" spans="2:44" s="514" customFormat="1" ht="14.25" customHeight="1" x14ac:dyDescent="0.25">
      <c r="AB47" s="665"/>
      <c r="AC47" s="671" t="s">
        <v>281</v>
      </c>
      <c r="AD47" s="671" t="s">
        <v>282</v>
      </c>
      <c r="AE47" s="671" t="s">
        <v>283</v>
      </c>
      <c r="AF47" s="671" t="s">
        <v>284</v>
      </c>
      <c r="AG47" s="672"/>
      <c r="AH47" s="671" t="s">
        <v>281</v>
      </c>
      <c r="AI47" s="725" t="s">
        <v>282</v>
      </c>
      <c r="AJ47" s="671" t="s">
        <v>283</v>
      </c>
      <c r="AK47" s="671" t="s">
        <v>284</v>
      </c>
      <c r="AL47" s="673"/>
      <c r="AM47" s="673"/>
      <c r="AN47" s="673"/>
      <c r="AO47" s="685"/>
      <c r="AP47" s="685"/>
      <c r="AQ47" s="681"/>
      <c r="AR47" s="681"/>
    </row>
    <row r="48" spans="2:44" s="514" customFormat="1" ht="14.25" customHeight="1" x14ac:dyDescent="0.25">
      <c r="AB48" s="665"/>
      <c r="AC48" s="674" t="s">
        <v>218</v>
      </c>
      <c r="AD48" s="671"/>
      <c r="AE48" s="671">
        <v>100</v>
      </c>
      <c r="AF48" s="671">
        <v>100</v>
      </c>
      <c r="AG48" s="672"/>
      <c r="AH48" s="674" t="s">
        <v>218</v>
      </c>
      <c r="AI48" s="725"/>
      <c r="AJ48" s="671">
        <v>100</v>
      </c>
      <c r="AK48" s="671">
        <v>100</v>
      </c>
      <c r="AL48" s="673"/>
      <c r="AM48" s="673"/>
      <c r="AN48" s="673"/>
      <c r="AO48" s="685"/>
      <c r="AP48" s="685"/>
      <c r="AQ48" s="681"/>
      <c r="AR48" s="681"/>
    </row>
    <row r="49" spans="2:44" s="514" customFormat="1" ht="14.25" customHeight="1" x14ac:dyDescent="0.25">
      <c r="AB49" s="665"/>
      <c r="AC49" s="674" t="s">
        <v>219</v>
      </c>
      <c r="AD49" s="671"/>
      <c r="AE49" s="671">
        <v>85</v>
      </c>
      <c r="AF49" s="671">
        <v>100</v>
      </c>
      <c r="AG49" s="672"/>
      <c r="AH49" s="674" t="s">
        <v>219</v>
      </c>
      <c r="AI49" s="725"/>
      <c r="AJ49" s="671">
        <v>85</v>
      </c>
      <c r="AK49" s="671">
        <v>100</v>
      </c>
      <c r="AL49" s="673"/>
      <c r="AM49" s="673"/>
      <c r="AN49" s="673"/>
      <c r="AO49" s="685"/>
      <c r="AP49" s="685"/>
      <c r="AQ49" s="681"/>
      <c r="AR49" s="681"/>
    </row>
    <row r="50" spans="2:44" s="514" customFormat="1" ht="14.25" customHeight="1" x14ac:dyDescent="0.25">
      <c r="AB50" s="665"/>
      <c r="AC50" s="671" t="s">
        <v>220</v>
      </c>
      <c r="AD50" s="671"/>
      <c r="AE50" s="671">
        <v>10</v>
      </c>
      <c r="AF50" s="671">
        <v>30</v>
      </c>
      <c r="AG50" s="672"/>
      <c r="AH50" s="671" t="s">
        <v>220</v>
      </c>
      <c r="AI50" s="725"/>
      <c r="AJ50" s="671">
        <v>10</v>
      </c>
      <c r="AK50" s="671">
        <v>30</v>
      </c>
      <c r="AL50" s="673"/>
      <c r="AM50" s="673"/>
      <c r="AN50" s="673"/>
      <c r="AO50" s="685"/>
      <c r="AP50" s="685"/>
      <c r="AQ50" s="681"/>
      <c r="AR50" s="681"/>
    </row>
    <row r="51" spans="2:44" s="514" customFormat="1" ht="14.25" customHeight="1" x14ac:dyDescent="0.25">
      <c r="AB51" s="665"/>
      <c r="AC51" s="671" t="s">
        <v>221</v>
      </c>
      <c r="AD51" s="671"/>
      <c r="AE51" s="671">
        <v>0</v>
      </c>
      <c r="AF51" s="671">
        <v>10</v>
      </c>
      <c r="AG51" s="672"/>
      <c r="AH51" s="671" t="s">
        <v>221</v>
      </c>
      <c r="AI51" s="725"/>
      <c r="AJ51" s="671">
        <v>0</v>
      </c>
      <c r="AK51" s="671">
        <v>10</v>
      </c>
      <c r="AL51" s="673"/>
      <c r="AM51" s="673"/>
      <c r="AN51" s="673"/>
      <c r="AO51" s="685"/>
      <c r="AP51" s="685"/>
      <c r="AQ51" s="681"/>
      <c r="AR51" s="681"/>
    </row>
    <row r="52" spans="2:44" s="514" customFormat="1" ht="14.25" customHeight="1" x14ac:dyDescent="0.25">
      <c r="AB52" s="665"/>
      <c r="AC52" s="671" t="s">
        <v>222</v>
      </c>
      <c r="AD52" s="671"/>
      <c r="AE52" s="671">
        <v>0</v>
      </c>
      <c r="AF52" s="671">
        <v>5</v>
      </c>
      <c r="AG52" s="672"/>
      <c r="AH52" s="671" t="s">
        <v>222</v>
      </c>
      <c r="AI52" s="725"/>
      <c r="AJ52" s="671">
        <v>0</v>
      </c>
      <c r="AK52" s="671">
        <v>5</v>
      </c>
      <c r="AL52" s="673"/>
      <c r="AM52" s="673"/>
      <c r="AN52" s="673"/>
      <c r="AO52" s="685"/>
      <c r="AP52" s="685"/>
      <c r="AQ52" s="681"/>
      <c r="AR52" s="681"/>
    </row>
    <row r="53" spans="2:44" s="514" customFormat="1" ht="14.25" customHeight="1" x14ac:dyDescent="0.25">
      <c r="AB53" s="665"/>
      <c r="AC53" s="671"/>
      <c r="AD53" s="671"/>
      <c r="AE53" s="671"/>
      <c r="AF53" s="671"/>
      <c r="AG53" s="672"/>
      <c r="AH53" s="671"/>
      <c r="AI53" s="725"/>
      <c r="AJ53" s="671"/>
      <c r="AK53" s="671"/>
      <c r="AL53" s="673"/>
      <c r="AM53" s="673"/>
      <c r="AN53" s="673"/>
      <c r="AO53" s="685"/>
      <c r="AP53" s="685"/>
      <c r="AQ53" s="681"/>
      <c r="AR53" s="681"/>
    </row>
    <row r="54" spans="2:44" s="514" customFormat="1" ht="14.25" customHeight="1" x14ac:dyDescent="0.25">
      <c r="AB54" s="665"/>
      <c r="AC54" s="671"/>
      <c r="AD54" s="671"/>
      <c r="AE54" s="671"/>
      <c r="AF54" s="671"/>
      <c r="AG54" s="672"/>
      <c r="AH54" s="671"/>
      <c r="AI54" s="725"/>
      <c r="AJ54" s="671"/>
      <c r="AK54" s="671"/>
      <c r="AL54" s="673"/>
      <c r="AM54" s="673"/>
      <c r="AN54" s="673"/>
      <c r="AO54" s="685"/>
      <c r="AP54" s="685"/>
      <c r="AQ54" s="681"/>
      <c r="AR54" s="681"/>
    </row>
    <row r="55" spans="2:44" s="514" customFormat="1" ht="14.25" customHeight="1" x14ac:dyDescent="0.25">
      <c r="AB55" s="665"/>
      <c r="AC55" s="671" t="s">
        <v>286</v>
      </c>
      <c r="AD55" s="671"/>
      <c r="AE55" s="671"/>
      <c r="AF55" s="671"/>
      <c r="AG55" s="672"/>
      <c r="AH55" s="671" t="s">
        <v>286</v>
      </c>
      <c r="AI55" s="725"/>
      <c r="AJ55" s="671"/>
      <c r="AK55" s="671"/>
      <c r="AL55" s="673"/>
      <c r="AM55" s="673"/>
      <c r="AN55" s="673"/>
      <c r="AO55" s="685"/>
      <c r="AP55" s="685"/>
      <c r="AQ55" s="681"/>
      <c r="AR55" s="681"/>
    </row>
    <row r="56" spans="2:44" s="514" customFormat="1" ht="14.25" customHeight="1" x14ac:dyDescent="0.25">
      <c r="AB56" s="665"/>
      <c r="AC56" s="671" t="s">
        <v>281</v>
      </c>
      <c r="AD56" s="671" t="s">
        <v>282</v>
      </c>
      <c r="AE56" s="671" t="s">
        <v>283</v>
      </c>
      <c r="AF56" s="671" t="s">
        <v>284</v>
      </c>
      <c r="AG56" s="672"/>
      <c r="AH56" s="671" t="s">
        <v>281</v>
      </c>
      <c r="AI56" s="725" t="s">
        <v>282</v>
      </c>
      <c r="AJ56" s="671" t="s">
        <v>283</v>
      </c>
      <c r="AK56" s="671" t="s">
        <v>284</v>
      </c>
      <c r="AL56" s="673"/>
      <c r="AM56" s="673"/>
      <c r="AN56" s="673"/>
      <c r="AO56" s="685"/>
      <c r="AP56" s="685"/>
      <c r="AQ56" s="681"/>
      <c r="AR56" s="681"/>
    </row>
    <row r="57" spans="2:44" s="514" customFormat="1" ht="14.25" customHeight="1" x14ac:dyDescent="0.25">
      <c r="AB57" s="665"/>
      <c r="AC57" s="674" t="s">
        <v>217</v>
      </c>
      <c r="AD57" s="671"/>
      <c r="AE57" s="671">
        <v>100</v>
      </c>
      <c r="AF57" s="671">
        <v>100</v>
      </c>
      <c r="AG57" s="672"/>
      <c r="AH57" s="674" t="s">
        <v>217</v>
      </c>
      <c r="AI57" s="725"/>
      <c r="AJ57" s="671">
        <v>100</v>
      </c>
      <c r="AK57" s="671">
        <v>100</v>
      </c>
      <c r="AL57" s="673"/>
      <c r="AM57" s="673"/>
      <c r="AN57" s="673"/>
      <c r="AO57" s="685"/>
      <c r="AP57" s="685"/>
      <c r="AQ57" s="681"/>
      <c r="AR57" s="681"/>
    </row>
    <row r="58" spans="2:44" s="514" customFormat="1" ht="14.25" customHeight="1" x14ac:dyDescent="0.25">
      <c r="AB58" s="665"/>
      <c r="AC58" s="674" t="s">
        <v>218</v>
      </c>
      <c r="AD58" s="671"/>
      <c r="AE58" s="671">
        <v>90</v>
      </c>
      <c r="AF58" s="671">
        <v>100</v>
      </c>
      <c r="AG58" s="672"/>
      <c r="AH58" s="674" t="s">
        <v>218</v>
      </c>
      <c r="AI58" s="725"/>
      <c r="AJ58" s="671">
        <v>90</v>
      </c>
      <c r="AK58" s="671">
        <v>100</v>
      </c>
      <c r="AL58" s="673"/>
      <c r="AM58" s="673"/>
      <c r="AN58" s="673"/>
      <c r="AO58" s="685"/>
      <c r="AP58" s="685"/>
      <c r="AQ58" s="681"/>
      <c r="AR58" s="681"/>
    </row>
    <row r="59" spans="2:44" s="514" customFormat="1" ht="14.25" customHeight="1" x14ac:dyDescent="0.35">
      <c r="B59" s="517" t="str">
        <f>CONCATENATE("Grava"," ",L6," ","TMA"," ",L4)</f>
        <v>Grava GB1 TMA 10</v>
      </c>
      <c r="AB59" s="665"/>
      <c r="AC59" s="674" t="s">
        <v>219</v>
      </c>
      <c r="AD59" s="671"/>
      <c r="AE59" s="671">
        <v>40</v>
      </c>
      <c r="AF59" s="671">
        <v>70</v>
      </c>
      <c r="AG59" s="672"/>
      <c r="AH59" s="674" t="s">
        <v>219</v>
      </c>
      <c r="AI59" s="725"/>
      <c r="AJ59" s="671">
        <v>40</v>
      </c>
      <c r="AK59" s="671">
        <v>70</v>
      </c>
      <c r="AL59" s="673"/>
      <c r="AM59" s="673"/>
      <c r="AN59" s="673"/>
      <c r="AO59" s="685"/>
      <c r="AP59" s="685"/>
      <c r="AQ59" s="681"/>
      <c r="AR59" s="681"/>
    </row>
    <row r="60" spans="2:44" s="514" customFormat="1" ht="14.25" customHeight="1" x14ac:dyDescent="0.25">
      <c r="AB60" s="665"/>
      <c r="AC60" s="671" t="s">
        <v>220</v>
      </c>
      <c r="AD60" s="671"/>
      <c r="AE60" s="671">
        <v>0</v>
      </c>
      <c r="AF60" s="671">
        <v>15</v>
      </c>
      <c r="AG60" s="672"/>
      <c r="AH60" s="671" t="s">
        <v>220</v>
      </c>
      <c r="AI60" s="725"/>
      <c r="AJ60" s="671">
        <v>0</v>
      </c>
      <c r="AK60" s="671">
        <v>15</v>
      </c>
      <c r="AL60" s="673"/>
      <c r="AM60" s="673"/>
      <c r="AN60" s="673"/>
      <c r="AO60" s="685"/>
      <c r="AP60" s="685"/>
      <c r="AQ60" s="681"/>
      <c r="AR60" s="681"/>
    </row>
    <row r="61" spans="2:44" s="514" customFormat="1" ht="14.25" customHeight="1" x14ac:dyDescent="0.25">
      <c r="AB61" s="665"/>
      <c r="AC61" s="671" t="s">
        <v>221</v>
      </c>
      <c r="AD61" s="671"/>
      <c r="AE61" s="671">
        <v>0</v>
      </c>
      <c r="AF61" s="671">
        <v>5</v>
      </c>
      <c r="AG61" s="672"/>
      <c r="AH61" s="671" t="s">
        <v>221</v>
      </c>
      <c r="AI61" s="725"/>
      <c r="AJ61" s="671">
        <v>0</v>
      </c>
      <c r="AK61" s="671">
        <v>5</v>
      </c>
      <c r="AL61" s="673"/>
      <c r="AM61" s="673"/>
      <c r="AN61" s="673"/>
      <c r="AO61" s="685"/>
      <c r="AP61" s="685"/>
      <c r="AQ61" s="681"/>
      <c r="AR61" s="681"/>
    </row>
    <row r="62" spans="2:44" s="514" customFormat="1" ht="14.25" customHeight="1" x14ac:dyDescent="0.25">
      <c r="AB62" s="665"/>
      <c r="AC62" s="671"/>
      <c r="AD62" s="671"/>
      <c r="AE62" s="671"/>
      <c r="AF62" s="671"/>
      <c r="AG62" s="672"/>
      <c r="AH62" s="671"/>
      <c r="AI62" s="725"/>
      <c r="AJ62" s="671"/>
      <c r="AK62" s="671"/>
      <c r="AL62" s="673"/>
      <c r="AM62" s="673"/>
      <c r="AN62" s="673"/>
      <c r="AO62" s="685"/>
      <c r="AP62" s="685"/>
      <c r="AQ62" s="681"/>
      <c r="AR62" s="681"/>
    </row>
    <row r="63" spans="2:44" s="514" customFormat="1" ht="14.25" customHeight="1" x14ac:dyDescent="0.25">
      <c r="AB63" s="665"/>
      <c r="AC63" s="671"/>
      <c r="AD63" s="671"/>
      <c r="AE63" s="671"/>
      <c r="AF63" s="671"/>
      <c r="AG63" s="672"/>
      <c r="AH63" s="671"/>
      <c r="AI63" s="725"/>
      <c r="AJ63" s="671"/>
      <c r="AK63" s="671"/>
      <c r="AL63" s="673"/>
      <c r="AM63" s="673"/>
      <c r="AN63" s="673"/>
      <c r="AO63" s="685"/>
      <c r="AP63" s="685"/>
      <c r="AQ63" s="681"/>
      <c r="AR63" s="681"/>
    </row>
    <row r="64" spans="2:44" s="514" customFormat="1" ht="14.25" customHeight="1" x14ac:dyDescent="0.25">
      <c r="AB64" s="665"/>
      <c r="AC64" s="671" t="s">
        <v>287</v>
      </c>
      <c r="AD64" s="671"/>
      <c r="AE64" s="671"/>
      <c r="AF64" s="671"/>
      <c r="AG64" s="672"/>
      <c r="AH64" s="671" t="s">
        <v>287</v>
      </c>
      <c r="AI64" s="725"/>
      <c r="AJ64" s="671"/>
      <c r="AK64" s="671"/>
      <c r="AL64" s="673"/>
      <c r="AM64" s="673"/>
      <c r="AN64" s="673"/>
      <c r="AO64" s="685"/>
      <c r="AP64" s="685"/>
      <c r="AQ64" s="681"/>
      <c r="AR64" s="681"/>
    </row>
    <row r="65" spans="2:44" s="514" customFormat="1" ht="14.25" customHeight="1" x14ac:dyDescent="0.25">
      <c r="AB65" s="665"/>
      <c r="AC65" s="671" t="s">
        <v>281</v>
      </c>
      <c r="AD65" s="671" t="s">
        <v>282</v>
      </c>
      <c r="AE65" s="671" t="s">
        <v>283</v>
      </c>
      <c r="AF65" s="671" t="s">
        <v>284</v>
      </c>
      <c r="AG65" s="672"/>
      <c r="AH65" s="671" t="s">
        <v>281</v>
      </c>
      <c r="AI65" s="725" t="s">
        <v>282</v>
      </c>
      <c r="AJ65" s="671" t="s">
        <v>283</v>
      </c>
      <c r="AK65" s="671" t="s">
        <v>284</v>
      </c>
      <c r="AL65" s="673"/>
      <c r="AM65" s="673"/>
      <c r="AN65" s="673"/>
      <c r="AO65" s="685"/>
      <c r="AP65" s="685"/>
      <c r="AQ65" s="681"/>
      <c r="AR65" s="681"/>
    </row>
    <row r="66" spans="2:44" s="514" customFormat="1" ht="14.25" customHeight="1" x14ac:dyDescent="0.25">
      <c r="AB66" s="665"/>
      <c r="AC66" s="674" t="s">
        <v>216</v>
      </c>
      <c r="AD66" s="675"/>
      <c r="AE66" s="671">
        <v>100</v>
      </c>
      <c r="AF66" s="671">
        <v>100</v>
      </c>
      <c r="AG66" s="672"/>
      <c r="AH66" s="674" t="s">
        <v>216</v>
      </c>
      <c r="AI66" s="726"/>
      <c r="AJ66" s="671">
        <v>100</v>
      </c>
      <c r="AK66" s="671">
        <v>100</v>
      </c>
      <c r="AL66" s="673"/>
      <c r="AM66" s="673"/>
      <c r="AN66" s="673"/>
      <c r="AO66" s="685"/>
      <c r="AP66" s="685"/>
      <c r="AQ66" s="681"/>
      <c r="AR66" s="681"/>
    </row>
    <row r="67" spans="2:44" s="514" customFormat="1" ht="14.25" customHeight="1" x14ac:dyDescent="0.25">
      <c r="AB67" s="665"/>
      <c r="AC67" s="674" t="s">
        <v>217</v>
      </c>
      <c r="AD67" s="675"/>
      <c r="AE67" s="671">
        <v>90</v>
      </c>
      <c r="AF67" s="671">
        <v>100</v>
      </c>
      <c r="AG67" s="672"/>
      <c r="AH67" s="674" t="s">
        <v>217</v>
      </c>
      <c r="AI67" s="726"/>
      <c r="AJ67" s="671">
        <v>90</v>
      </c>
      <c r="AK67" s="671">
        <v>100</v>
      </c>
      <c r="AL67" s="673"/>
      <c r="AM67" s="673"/>
      <c r="AN67" s="673"/>
      <c r="AO67" s="685"/>
      <c r="AP67" s="685"/>
      <c r="AQ67" s="681"/>
      <c r="AR67" s="681"/>
    </row>
    <row r="68" spans="2:44" s="514" customFormat="1" ht="14.25" customHeight="1" x14ac:dyDescent="0.25">
      <c r="AB68" s="665"/>
      <c r="AC68" s="674" t="s">
        <v>218</v>
      </c>
      <c r="AD68" s="675"/>
      <c r="AE68" s="671">
        <v>40</v>
      </c>
      <c r="AF68" s="671">
        <v>70</v>
      </c>
      <c r="AG68" s="672"/>
      <c r="AH68" s="674" t="s">
        <v>218</v>
      </c>
      <c r="AI68" s="726"/>
      <c r="AJ68" s="671">
        <v>40</v>
      </c>
      <c r="AK68" s="671">
        <v>70</v>
      </c>
      <c r="AL68" s="673"/>
      <c r="AM68" s="673"/>
      <c r="AN68" s="673"/>
      <c r="AO68" s="685"/>
      <c r="AP68" s="685"/>
      <c r="AQ68" s="681"/>
      <c r="AR68" s="681"/>
    </row>
    <row r="69" spans="2:44" s="514" customFormat="1" ht="14.25" customHeight="1" x14ac:dyDescent="0.25">
      <c r="AB69" s="665"/>
      <c r="AC69" s="674" t="s">
        <v>219</v>
      </c>
      <c r="AD69" s="675"/>
      <c r="AE69" s="671">
        <v>20</v>
      </c>
      <c r="AF69" s="671">
        <v>55</v>
      </c>
      <c r="AG69" s="672"/>
      <c r="AH69" s="674" t="s">
        <v>219</v>
      </c>
      <c r="AI69" s="726"/>
      <c r="AJ69" s="671">
        <v>20</v>
      </c>
      <c r="AK69" s="671">
        <v>55</v>
      </c>
      <c r="AL69" s="673"/>
      <c r="AM69" s="673"/>
      <c r="AN69" s="673"/>
      <c r="AO69" s="685"/>
      <c r="AP69" s="685"/>
      <c r="AQ69" s="681"/>
      <c r="AR69" s="681"/>
    </row>
    <row r="70" spans="2:44" s="514" customFormat="1" ht="14.25" customHeight="1" x14ac:dyDescent="0.25">
      <c r="AB70" s="665"/>
      <c r="AC70" s="671" t="s">
        <v>220</v>
      </c>
      <c r="AD70" s="675"/>
      <c r="AE70" s="671">
        <v>0</v>
      </c>
      <c r="AF70" s="671">
        <v>10</v>
      </c>
      <c r="AG70" s="672"/>
      <c r="AH70" s="671" t="s">
        <v>220</v>
      </c>
      <c r="AI70" s="726"/>
      <c r="AJ70" s="671">
        <v>0</v>
      </c>
      <c r="AK70" s="671">
        <v>10</v>
      </c>
      <c r="AL70" s="673"/>
      <c r="AM70" s="673"/>
      <c r="AN70" s="673"/>
      <c r="AO70" s="685"/>
      <c r="AP70" s="685"/>
      <c r="AQ70" s="681"/>
      <c r="AR70" s="681"/>
    </row>
    <row r="71" spans="2:44" s="514" customFormat="1" ht="14.25" customHeight="1" x14ac:dyDescent="0.25">
      <c r="AB71" s="665"/>
      <c r="AC71" s="671" t="s">
        <v>221</v>
      </c>
      <c r="AD71" s="675"/>
      <c r="AE71" s="671">
        <v>0</v>
      </c>
      <c r="AF71" s="671">
        <v>5</v>
      </c>
      <c r="AG71" s="672"/>
      <c r="AH71" s="671" t="s">
        <v>221</v>
      </c>
      <c r="AI71" s="726"/>
      <c r="AJ71" s="671">
        <v>0</v>
      </c>
      <c r="AK71" s="671">
        <v>5</v>
      </c>
      <c r="AL71" s="673"/>
      <c r="AM71" s="673"/>
      <c r="AN71" s="673"/>
      <c r="AO71" s="685"/>
      <c r="AP71" s="685"/>
      <c r="AQ71" s="681"/>
      <c r="AR71" s="681"/>
    </row>
    <row r="72" spans="2:44" s="514" customFormat="1" ht="14.25" customHeight="1" x14ac:dyDescent="0.25">
      <c r="AB72" s="665"/>
      <c r="AC72" s="671"/>
      <c r="AD72" s="671"/>
      <c r="AE72" s="671"/>
      <c r="AF72" s="671"/>
      <c r="AG72" s="672"/>
      <c r="AH72" s="671"/>
      <c r="AI72" s="725"/>
      <c r="AJ72" s="671"/>
      <c r="AK72" s="671"/>
      <c r="AL72" s="673"/>
      <c r="AM72" s="673"/>
      <c r="AN72" s="673"/>
      <c r="AO72" s="685"/>
      <c r="AP72" s="685"/>
      <c r="AQ72" s="681"/>
      <c r="AR72" s="681"/>
    </row>
    <row r="73" spans="2:44" s="514" customFormat="1" ht="14.25" customHeight="1" x14ac:dyDescent="0.25">
      <c r="AB73" s="665"/>
      <c r="AC73" s="671" t="s">
        <v>288</v>
      </c>
      <c r="AD73" s="671"/>
      <c r="AE73" s="671"/>
      <c r="AF73" s="671"/>
      <c r="AG73" s="672"/>
      <c r="AH73" s="671" t="s">
        <v>288</v>
      </c>
      <c r="AI73" s="725"/>
      <c r="AJ73" s="671"/>
      <c r="AK73" s="671"/>
      <c r="AL73" s="673"/>
      <c r="AM73" s="673"/>
      <c r="AN73" s="673"/>
      <c r="AO73" s="685"/>
      <c r="AP73" s="685"/>
      <c r="AQ73" s="681"/>
      <c r="AR73" s="681"/>
    </row>
    <row r="74" spans="2:44" s="514" customFormat="1" ht="14.25" customHeight="1" x14ac:dyDescent="0.25">
      <c r="AB74" s="665"/>
      <c r="AC74" s="671" t="s">
        <v>281</v>
      </c>
      <c r="AD74" s="671" t="s">
        <v>282</v>
      </c>
      <c r="AE74" s="671" t="s">
        <v>283</v>
      </c>
      <c r="AF74" s="671" t="s">
        <v>284</v>
      </c>
      <c r="AG74" s="672"/>
      <c r="AH74" s="671" t="s">
        <v>281</v>
      </c>
      <c r="AI74" s="725" t="s">
        <v>282</v>
      </c>
      <c r="AJ74" s="671" t="s">
        <v>283</v>
      </c>
      <c r="AK74" s="671" t="s">
        <v>284</v>
      </c>
      <c r="AL74" s="673"/>
      <c r="AM74" s="673"/>
      <c r="AN74" s="673"/>
      <c r="AO74" s="685"/>
      <c r="AP74" s="685"/>
      <c r="AQ74" s="681"/>
      <c r="AR74" s="681"/>
    </row>
    <row r="75" spans="2:44" s="514" customFormat="1" ht="14.25" customHeight="1" x14ac:dyDescent="0.35">
      <c r="B75" s="517" t="str">
        <f>CONCATENATE("Grava"," ",T5," ","TMA",)</f>
        <v>Grava Combo Gruesos TMA</v>
      </c>
      <c r="Q75" s="517" t="str">
        <f>CONCATENATE("Arena"," ",U5," ",)</f>
        <v xml:space="preserve">Arena Combo Finos </v>
      </c>
      <c r="AB75" s="665"/>
      <c r="AC75" s="674" t="s">
        <v>215</v>
      </c>
      <c r="AD75" s="675"/>
      <c r="AE75" s="671">
        <v>100</v>
      </c>
      <c r="AF75" s="671">
        <v>100</v>
      </c>
      <c r="AG75" s="672"/>
      <c r="AH75" s="674" t="s">
        <v>215</v>
      </c>
      <c r="AI75" s="726"/>
      <c r="AJ75" s="671">
        <v>100</v>
      </c>
      <c r="AK75" s="671">
        <v>100</v>
      </c>
      <c r="AL75" s="673"/>
      <c r="AM75" s="673"/>
      <c r="AN75" s="673"/>
      <c r="AO75" s="685"/>
      <c r="AP75" s="685"/>
      <c r="AQ75" s="681"/>
      <c r="AR75" s="681"/>
    </row>
    <row r="76" spans="2:44" s="514" customFormat="1" ht="14.25" customHeight="1" x14ac:dyDescent="0.25">
      <c r="AB76" s="665"/>
      <c r="AC76" s="674" t="s">
        <v>216</v>
      </c>
      <c r="AD76" s="675"/>
      <c r="AE76" s="671">
        <v>95</v>
      </c>
      <c r="AF76" s="671">
        <v>100</v>
      </c>
      <c r="AG76" s="672"/>
      <c r="AH76" s="674" t="s">
        <v>216</v>
      </c>
      <c r="AI76" s="726"/>
      <c r="AJ76" s="671">
        <v>95</v>
      </c>
      <c r="AK76" s="671">
        <v>100</v>
      </c>
      <c r="AL76" s="673"/>
      <c r="AM76" s="673"/>
      <c r="AN76" s="673"/>
      <c r="AO76" s="685"/>
      <c r="AP76" s="685"/>
      <c r="AQ76" s="681"/>
      <c r="AR76" s="681"/>
    </row>
    <row r="77" spans="2:44" s="514" customFormat="1" ht="14.25" customHeight="1" x14ac:dyDescent="0.25">
      <c r="AB77" s="665"/>
      <c r="AC77" s="674" t="s">
        <v>218</v>
      </c>
      <c r="AD77" s="675"/>
      <c r="AE77" s="671">
        <v>25</v>
      </c>
      <c r="AF77" s="671">
        <v>60</v>
      </c>
      <c r="AG77" s="672"/>
      <c r="AH77" s="674" t="s">
        <v>218</v>
      </c>
      <c r="AI77" s="726"/>
      <c r="AJ77" s="671">
        <v>25</v>
      </c>
      <c r="AK77" s="671">
        <v>60</v>
      </c>
      <c r="AL77" s="673"/>
      <c r="AM77" s="673"/>
      <c r="AN77" s="673"/>
      <c r="AO77" s="685"/>
      <c r="AP77" s="685"/>
      <c r="AQ77" s="681"/>
      <c r="AR77" s="681"/>
    </row>
    <row r="78" spans="2:44" s="514" customFormat="1" ht="14.25" customHeight="1" x14ac:dyDescent="0.25">
      <c r="AB78" s="665"/>
      <c r="AC78" s="671" t="s">
        <v>220</v>
      </c>
      <c r="AD78" s="675"/>
      <c r="AE78" s="671">
        <v>0</v>
      </c>
      <c r="AF78" s="671">
        <v>10</v>
      </c>
      <c r="AG78" s="672"/>
      <c r="AH78" s="671" t="s">
        <v>220</v>
      </c>
      <c r="AI78" s="726"/>
      <c r="AJ78" s="671">
        <v>0</v>
      </c>
      <c r="AK78" s="671">
        <v>10</v>
      </c>
      <c r="AL78" s="673"/>
      <c r="AM78" s="673"/>
      <c r="AN78" s="673"/>
      <c r="AO78" s="685"/>
      <c r="AP78" s="685"/>
      <c r="AQ78" s="681"/>
      <c r="AR78" s="681"/>
    </row>
    <row r="79" spans="2:44" s="514" customFormat="1" ht="14.25" customHeight="1" x14ac:dyDescent="0.25">
      <c r="AB79" s="665"/>
      <c r="AC79" s="671" t="s">
        <v>221</v>
      </c>
      <c r="AD79" s="675"/>
      <c r="AE79" s="671">
        <v>0</v>
      </c>
      <c r="AF79" s="671">
        <v>5</v>
      </c>
      <c r="AG79" s="672"/>
      <c r="AH79" s="671" t="s">
        <v>221</v>
      </c>
      <c r="AI79" s="726"/>
      <c r="AJ79" s="671">
        <v>0</v>
      </c>
      <c r="AK79" s="671">
        <v>5</v>
      </c>
      <c r="AL79" s="673"/>
      <c r="AM79" s="673"/>
      <c r="AN79" s="673"/>
      <c r="AO79" s="685"/>
      <c r="AP79" s="685"/>
      <c r="AQ79" s="681"/>
      <c r="AR79" s="681"/>
    </row>
    <row r="80" spans="2:44" s="514" customFormat="1" ht="14.25" customHeight="1" x14ac:dyDescent="0.25">
      <c r="AB80" s="665"/>
      <c r="AC80" s="671"/>
      <c r="AD80" s="671"/>
      <c r="AE80" s="671"/>
      <c r="AF80" s="671"/>
      <c r="AG80" s="672"/>
      <c r="AH80" s="671"/>
      <c r="AI80" s="725"/>
      <c r="AJ80" s="671"/>
      <c r="AK80" s="671"/>
      <c r="AL80" s="673"/>
      <c r="AM80" s="673"/>
      <c r="AN80" s="673"/>
      <c r="AO80" s="685"/>
      <c r="AP80" s="685"/>
      <c r="AQ80" s="681"/>
      <c r="AR80" s="681"/>
    </row>
    <row r="81" spans="28:44" s="514" customFormat="1" ht="14.25" customHeight="1" x14ac:dyDescent="0.25">
      <c r="AB81" s="665"/>
      <c r="AC81" s="671"/>
      <c r="AD81" s="671"/>
      <c r="AE81" s="671"/>
      <c r="AF81" s="671"/>
      <c r="AG81" s="672"/>
      <c r="AH81" s="671"/>
      <c r="AI81" s="725"/>
      <c r="AJ81" s="671"/>
      <c r="AK81" s="671"/>
      <c r="AL81" s="673"/>
      <c r="AM81" s="673"/>
      <c r="AN81" s="673"/>
      <c r="AO81" s="685"/>
      <c r="AP81" s="685"/>
      <c r="AQ81" s="681"/>
      <c r="AR81" s="681"/>
    </row>
    <row r="82" spans="28:44" s="514" customFormat="1" ht="14.25" customHeight="1" x14ac:dyDescent="0.25">
      <c r="AB82" s="665"/>
      <c r="AC82" s="671" t="s">
        <v>289</v>
      </c>
      <c r="AD82" s="671"/>
      <c r="AE82" s="671" t="s">
        <v>290</v>
      </c>
      <c r="AF82" s="671"/>
      <c r="AG82" s="672"/>
      <c r="AH82" s="671" t="s">
        <v>289</v>
      </c>
      <c r="AI82" s="725"/>
      <c r="AJ82" s="671" t="s">
        <v>290</v>
      </c>
      <c r="AK82" s="671"/>
      <c r="AL82" s="673"/>
      <c r="AM82" s="673"/>
      <c r="AN82" s="673"/>
      <c r="AO82" s="685"/>
      <c r="AP82" s="685"/>
      <c r="AQ82" s="681"/>
      <c r="AR82" s="681"/>
    </row>
    <row r="83" spans="28:44" s="514" customFormat="1" ht="14.25" customHeight="1" x14ac:dyDescent="0.25">
      <c r="AB83" s="665"/>
      <c r="AC83" s="671" t="s">
        <v>281</v>
      </c>
      <c r="AD83" s="671" t="s">
        <v>282</v>
      </c>
      <c r="AE83" s="671" t="s">
        <v>283</v>
      </c>
      <c r="AF83" s="671" t="s">
        <v>284</v>
      </c>
      <c r="AG83" s="672"/>
      <c r="AH83" s="671" t="s">
        <v>281</v>
      </c>
      <c r="AI83" s="725" t="s">
        <v>282</v>
      </c>
      <c r="AJ83" s="671" t="s">
        <v>283</v>
      </c>
      <c r="AK83" s="671" t="s">
        <v>284</v>
      </c>
      <c r="AL83" s="673"/>
      <c r="AM83" s="673"/>
      <c r="AN83" s="673"/>
      <c r="AO83" s="685"/>
      <c r="AP83" s="685"/>
      <c r="AQ83" s="681"/>
      <c r="AR83" s="681"/>
    </row>
    <row r="84" spans="28:44" s="514" customFormat="1" ht="14.25" customHeight="1" x14ac:dyDescent="0.25">
      <c r="AB84" s="665"/>
      <c r="AC84" s="674" t="s">
        <v>214</v>
      </c>
      <c r="AD84" s="675"/>
      <c r="AE84" s="671">
        <v>100</v>
      </c>
      <c r="AF84" s="671">
        <v>100</v>
      </c>
      <c r="AG84" s="672"/>
      <c r="AH84" s="674" t="s">
        <v>214</v>
      </c>
      <c r="AI84" s="726"/>
      <c r="AJ84" s="671">
        <v>100</v>
      </c>
      <c r="AK84" s="671">
        <v>100</v>
      </c>
      <c r="AL84" s="673"/>
      <c r="AM84" s="673"/>
      <c r="AN84" s="673"/>
      <c r="AO84" s="685"/>
      <c r="AP84" s="685"/>
      <c r="AQ84" s="681"/>
      <c r="AR84" s="681"/>
    </row>
    <row r="85" spans="28:44" s="514" customFormat="1" ht="14.25" customHeight="1" x14ac:dyDescent="0.25">
      <c r="AB85" s="665"/>
      <c r="AC85" s="674" t="s">
        <v>215</v>
      </c>
      <c r="AD85" s="675"/>
      <c r="AE85" s="671">
        <v>90</v>
      </c>
      <c r="AF85" s="671">
        <v>100</v>
      </c>
      <c r="AG85" s="672"/>
      <c r="AH85" s="674" t="s">
        <v>215</v>
      </c>
      <c r="AI85" s="726"/>
      <c r="AJ85" s="671">
        <v>90</v>
      </c>
      <c r="AK85" s="671">
        <v>100</v>
      </c>
      <c r="AL85" s="673"/>
      <c r="AM85" s="673"/>
      <c r="AN85" s="673"/>
      <c r="AO85" s="685"/>
      <c r="AP85" s="685"/>
      <c r="AQ85" s="681"/>
      <c r="AR85" s="681"/>
    </row>
    <row r="86" spans="28:44" s="514" customFormat="1" ht="14.25" customHeight="1" x14ac:dyDescent="0.25">
      <c r="AB86" s="665"/>
      <c r="AC86" s="674" t="s">
        <v>216</v>
      </c>
      <c r="AD86" s="675"/>
      <c r="AE86" s="671">
        <v>20</v>
      </c>
      <c r="AF86" s="671">
        <v>55</v>
      </c>
      <c r="AG86" s="672"/>
      <c r="AH86" s="674" t="s">
        <v>216</v>
      </c>
      <c r="AI86" s="726"/>
      <c r="AJ86" s="671">
        <v>20</v>
      </c>
      <c r="AK86" s="671">
        <v>55</v>
      </c>
      <c r="AL86" s="673"/>
      <c r="AM86" s="673"/>
      <c r="AN86" s="673"/>
      <c r="AO86" s="685"/>
      <c r="AP86" s="685"/>
      <c r="AQ86" s="681"/>
      <c r="AR86" s="681"/>
    </row>
    <row r="87" spans="28:44" s="514" customFormat="1" ht="14.25" customHeight="1" x14ac:dyDescent="0.25">
      <c r="AB87" s="665"/>
      <c r="AC87" s="674" t="s">
        <v>217</v>
      </c>
      <c r="AD87" s="675"/>
      <c r="AE87" s="671">
        <v>0</v>
      </c>
      <c r="AF87" s="671">
        <v>15</v>
      </c>
      <c r="AG87" s="672"/>
      <c r="AH87" s="674" t="s">
        <v>217</v>
      </c>
      <c r="AI87" s="726"/>
      <c r="AJ87" s="671">
        <v>0</v>
      </c>
      <c r="AK87" s="671">
        <v>15</v>
      </c>
      <c r="AL87" s="673"/>
      <c r="AM87" s="673"/>
      <c r="AN87" s="673"/>
      <c r="AO87" s="685"/>
      <c r="AP87" s="685"/>
      <c r="AQ87" s="681"/>
      <c r="AR87" s="681"/>
    </row>
    <row r="88" spans="28:44" s="514" customFormat="1" ht="14.25" customHeight="1" x14ac:dyDescent="0.25">
      <c r="AB88" s="665"/>
      <c r="AC88" s="674" t="s">
        <v>218</v>
      </c>
      <c r="AD88" s="675"/>
      <c r="AE88" s="671">
        <v>0</v>
      </c>
      <c r="AF88" s="671">
        <v>10</v>
      </c>
      <c r="AG88" s="672"/>
      <c r="AH88" s="674" t="s">
        <v>218</v>
      </c>
      <c r="AI88" s="726"/>
      <c r="AJ88" s="671">
        <v>0</v>
      </c>
      <c r="AK88" s="671">
        <v>10</v>
      </c>
      <c r="AL88" s="673"/>
      <c r="AM88" s="673"/>
      <c r="AN88" s="673"/>
      <c r="AO88" s="685"/>
      <c r="AP88" s="685"/>
      <c r="AQ88" s="681"/>
      <c r="AR88" s="681"/>
    </row>
    <row r="89" spans="28:44" s="514" customFormat="1" ht="14.25" customHeight="1" x14ac:dyDescent="0.25">
      <c r="AB89" s="665"/>
      <c r="AC89" s="676" t="s">
        <v>219</v>
      </c>
      <c r="AD89" s="677"/>
      <c r="AE89" s="678">
        <v>0</v>
      </c>
      <c r="AF89" s="678">
        <v>5</v>
      </c>
      <c r="AG89" s="672"/>
      <c r="AH89" s="676" t="s">
        <v>219</v>
      </c>
      <c r="AI89" s="726"/>
      <c r="AJ89" s="678">
        <v>0</v>
      </c>
      <c r="AK89" s="678">
        <v>5</v>
      </c>
      <c r="AL89" s="673"/>
      <c r="AM89" s="673"/>
      <c r="AN89" s="673"/>
      <c r="AO89" s="685"/>
      <c r="AP89" s="685"/>
      <c r="AQ89" s="681"/>
      <c r="AR89" s="681"/>
    </row>
    <row r="90" spans="28:44" s="514" customFormat="1" x14ac:dyDescent="0.25">
      <c r="AB90" s="665"/>
      <c r="AC90" s="671" t="s">
        <v>220</v>
      </c>
      <c r="AD90" s="675"/>
      <c r="AE90" s="671">
        <v>0</v>
      </c>
      <c r="AF90" s="671">
        <v>2</v>
      </c>
      <c r="AG90" s="672"/>
      <c r="AH90" s="671" t="s">
        <v>220</v>
      </c>
      <c r="AI90" s="726"/>
      <c r="AJ90" s="671">
        <v>0</v>
      </c>
      <c r="AK90" s="671">
        <v>2</v>
      </c>
      <c r="AL90" s="673"/>
      <c r="AM90" s="673"/>
      <c r="AN90" s="673"/>
      <c r="AO90" s="685"/>
      <c r="AP90" s="685"/>
      <c r="AQ90" s="681"/>
      <c r="AR90" s="681"/>
    </row>
    <row r="91" spans="28:44" s="514" customFormat="1" x14ac:dyDescent="0.25">
      <c r="AB91" s="665"/>
      <c r="AC91" s="678"/>
      <c r="AD91" s="678"/>
      <c r="AE91" s="678"/>
      <c r="AF91" s="678"/>
      <c r="AG91" s="672"/>
      <c r="AH91" s="678"/>
      <c r="AI91" s="725"/>
      <c r="AJ91" s="678"/>
      <c r="AK91" s="678"/>
      <c r="AL91" s="673"/>
      <c r="AM91" s="673"/>
      <c r="AN91" s="673"/>
      <c r="AO91" s="685"/>
      <c r="AP91" s="685"/>
      <c r="AQ91" s="681"/>
      <c r="AR91" s="681"/>
    </row>
    <row r="92" spans="28:44" s="514" customFormat="1" x14ac:dyDescent="0.25">
      <c r="AB92" s="665"/>
      <c r="AC92" s="678" t="s">
        <v>291</v>
      </c>
      <c r="AD92" s="678"/>
      <c r="AE92" s="678" t="s">
        <v>292</v>
      </c>
      <c r="AF92" s="678"/>
      <c r="AG92" s="672"/>
      <c r="AH92" s="678" t="s">
        <v>291</v>
      </c>
      <c r="AI92" s="725"/>
      <c r="AJ92" s="678" t="s">
        <v>292</v>
      </c>
      <c r="AK92" s="678"/>
      <c r="AL92" s="673"/>
      <c r="AM92" s="673"/>
      <c r="AN92" s="673"/>
      <c r="AO92" s="685"/>
      <c r="AP92" s="685"/>
      <c r="AQ92" s="681"/>
      <c r="AR92" s="681"/>
    </row>
    <row r="93" spans="28:44" s="514" customFormat="1" x14ac:dyDescent="0.25">
      <c r="AB93" s="665"/>
      <c r="AC93" s="678" t="s">
        <v>281</v>
      </c>
      <c r="AD93" s="678" t="s">
        <v>282</v>
      </c>
      <c r="AE93" s="678" t="s">
        <v>283</v>
      </c>
      <c r="AF93" s="678" t="s">
        <v>284</v>
      </c>
      <c r="AG93" s="672"/>
      <c r="AH93" s="678" t="s">
        <v>281</v>
      </c>
      <c r="AI93" s="725" t="s">
        <v>282</v>
      </c>
      <c r="AJ93" s="678" t="s">
        <v>283</v>
      </c>
      <c r="AK93" s="678" t="s">
        <v>284</v>
      </c>
      <c r="AL93" s="673"/>
      <c r="AM93" s="673"/>
      <c r="AN93" s="673"/>
      <c r="AO93" s="685"/>
      <c r="AP93" s="685"/>
      <c r="AQ93" s="681"/>
      <c r="AR93" s="681"/>
    </row>
    <row r="94" spans="28:44" s="514" customFormat="1" x14ac:dyDescent="0.25">
      <c r="AB94" s="665"/>
      <c r="AC94" s="676" t="s">
        <v>214</v>
      </c>
      <c r="AD94" s="677"/>
      <c r="AE94" s="678">
        <v>100</v>
      </c>
      <c r="AF94" s="678">
        <v>100</v>
      </c>
      <c r="AG94" s="672"/>
      <c r="AH94" s="676" t="s">
        <v>214</v>
      </c>
      <c r="AI94" s="726"/>
      <c r="AJ94" s="678">
        <v>100</v>
      </c>
      <c r="AK94" s="678">
        <v>100</v>
      </c>
      <c r="AL94" s="673"/>
      <c r="AM94" s="673"/>
      <c r="AN94" s="673"/>
      <c r="AO94" s="685"/>
      <c r="AP94" s="685"/>
      <c r="AQ94" s="681"/>
      <c r="AR94" s="681"/>
    </row>
    <row r="95" spans="28:44" s="514" customFormat="1" x14ac:dyDescent="0.25">
      <c r="AB95" s="665"/>
      <c r="AC95" s="676" t="s">
        <v>215</v>
      </c>
      <c r="AD95" s="677"/>
      <c r="AE95" s="678">
        <v>90</v>
      </c>
      <c r="AF95" s="678">
        <v>100</v>
      </c>
      <c r="AG95" s="672"/>
      <c r="AH95" s="676" t="s">
        <v>215</v>
      </c>
      <c r="AI95" s="726"/>
      <c r="AJ95" s="678">
        <v>90</v>
      </c>
      <c r="AK95" s="678">
        <v>100</v>
      </c>
      <c r="AL95" s="673"/>
      <c r="AM95" s="673"/>
      <c r="AN95" s="673"/>
      <c r="AO95" s="685"/>
      <c r="AP95" s="685"/>
      <c r="AQ95" s="681"/>
      <c r="AR95" s="681"/>
    </row>
    <row r="96" spans="28:44" s="514" customFormat="1" x14ac:dyDescent="0.25">
      <c r="AB96" s="665"/>
      <c r="AC96" s="674" t="s">
        <v>216</v>
      </c>
      <c r="AD96" s="675"/>
      <c r="AE96" s="671">
        <v>20</v>
      </c>
      <c r="AF96" s="671">
        <v>55</v>
      </c>
      <c r="AG96" s="672"/>
      <c r="AH96" s="674" t="s">
        <v>216</v>
      </c>
      <c r="AI96" s="726"/>
      <c r="AJ96" s="671">
        <v>20</v>
      </c>
      <c r="AK96" s="671">
        <v>55</v>
      </c>
      <c r="AL96" s="673"/>
      <c r="AM96" s="673"/>
      <c r="AN96" s="673"/>
      <c r="AO96" s="685"/>
      <c r="AP96" s="685"/>
      <c r="AQ96" s="681"/>
      <c r="AR96" s="681"/>
    </row>
    <row r="97" spans="28:44" s="514" customFormat="1" x14ac:dyDescent="0.25">
      <c r="AB97" s="665"/>
      <c r="AC97" s="676" t="s">
        <v>217</v>
      </c>
      <c r="AD97" s="677"/>
      <c r="AE97" s="678">
        <v>0</v>
      </c>
      <c r="AF97" s="678">
        <v>15</v>
      </c>
      <c r="AG97" s="672"/>
      <c r="AH97" s="676" t="s">
        <v>217</v>
      </c>
      <c r="AI97" s="726"/>
      <c r="AJ97" s="678">
        <v>0</v>
      </c>
      <c r="AK97" s="678">
        <v>15</v>
      </c>
      <c r="AL97" s="673"/>
      <c r="AM97" s="673"/>
      <c r="AN97" s="673"/>
      <c r="AO97" s="685"/>
      <c r="AP97" s="685"/>
      <c r="AQ97" s="681"/>
      <c r="AR97" s="681"/>
    </row>
    <row r="98" spans="28:44" s="514" customFormat="1" x14ac:dyDescent="0.25">
      <c r="AB98" s="665"/>
      <c r="AC98" s="674" t="s">
        <v>218</v>
      </c>
      <c r="AD98" s="675"/>
      <c r="AE98" s="671">
        <v>0</v>
      </c>
      <c r="AF98" s="671">
        <v>15</v>
      </c>
      <c r="AG98" s="672"/>
      <c r="AH98" s="674" t="s">
        <v>218</v>
      </c>
      <c r="AI98" s="726"/>
      <c r="AJ98" s="671">
        <v>0</v>
      </c>
      <c r="AK98" s="671">
        <v>15</v>
      </c>
      <c r="AL98" s="673"/>
      <c r="AM98" s="673"/>
      <c r="AN98" s="673"/>
      <c r="AO98" s="685"/>
      <c r="AP98" s="685"/>
      <c r="AQ98" s="681"/>
      <c r="AR98" s="681"/>
    </row>
    <row r="99" spans="28:44" s="514" customFormat="1" x14ac:dyDescent="0.25">
      <c r="AB99" s="665"/>
      <c r="AC99" s="676" t="s">
        <v>219</v>
      </c>
      <c r="AD99" s="677"/>
      <c r="AE99" s="678">
        <v>0</v>
      </c>
      <c r="AF99" s="678">
        <v>5</v>
      </c>
      <c r="AG99" s="672"/>
      <c r="AH99" s="676" t="s">
        <v>219</v>
      </c>
      <c r="AI99" s="726"/>
      <c r="AJ99" s="678">
        <v>0</v>
      </c>
      <c r="AK99" s="678">
        <v>5</v>
      </c>
      <c r="AL99" s="673"/>
      <c r="AM99" s="673"/>
      <c r="AN99" s="673"/>
      <c r="AO99" s="685"/>
      <c r="AP99" s="685"/>
      <c r="AQ99" s="681"/>
      <c r="AR99" s="681"/>
    </row>
    <row r="100" spans="28:44" s="514" customFormat="1" x14ac:dyDescent="0.25">
      <c r="AB100" s="665"/>
      <c r="AC100" s="676" t="s">
        <v>220</v>
      </c>
      <c r="AD100" s="677"/>
      <c r="AE100" s="678">
        <v>0</v>
      </c>
      <c r="AF100" s="678">
        <v>0</v>
      </c>
      <c r="AG100" s="672"/>
      <c r="AH100" s="676" t="s">
        <v>220</v>
      </c>
      <c r="AI100" s="726"/>
      <c r="AJ100" s="678">
        <v>0</v>
      </c>
      <c r="AK100" s="678">
        <v>0</v>
      </c>
      <c r="AL100" s="673"/>
      <c r="AM100" s="673"/>
      <c r="AN100" s="673"/>
      <c r="AO100" s="685"/>
      <c r="AP100" s="685"/>
      <c r="AQ100" s="681"/>
      <c r="AR100" s="681"/>
    </row>
    <row r="101" spans="28:44" s="514" customFormat="1" x14ac:dyDescent="0.25">
      <c r="AB101" s="665"/>
      <c r="AC101" s="673"/>
      <c r="AD101" s="673"/>
      <c r="AE101" s="673"/>
      <c r="AF101" s="673"/>
      <c r="AG101" s="673"/>
      <c r="AH101" s="673"/>
      <c r="AI101" s="727"/>
      <c r="AJ101" s="673"/>
      <c r="AK101" s="673"/>
      <c r="AL101" s="673"/>
      <c r="AM101" s="673"/>
      <c r="AN101" s="673"/>
      <c r="AO101" s="685"/>
      <c r="AP101" s="685"/>
      <c r="AQ101" s="681"/>
      <c r="AR101" s="681"/>
    </row>
    <row r="102" spans="28:44" s="514" customFormat="1" x14ac:dyDescent="0.25">
      <c r="AB102" s="665"/>
      <c r="AC102" s="673"/>
      <c r="AD102" s="673"/>
      <c r="AE102" s="673"/>
      <c r="AF102" s="673"/>
      <c r="AG102" s="673"/>
      <c r="AH102" s="673"/>
      <c r="AI102" s="727"/>
      <c r="AJ102" s="673"/>
      <c r="AK102" s="673"/>
      <c r="AL102" s="673"/>
      <c r="AM102" s="673"/>
      <c r="AN102" s="673"/>
      <c r="AO102" s="685"/>
      <c r="AP102" s="685"/>
      <c r="AQ102" s="681"/>
      <c r="AR102" s="681"/>
    </row>
    <row r="103" spans="28:44" s="514" customFormat="1" x14ac:dyDescent="0.25">
      <c r="AB103" s="665"/>
      <c r="AC103" s="673"/>
      <c r="AD103" s="673"/>
      <c r="AE103" s="673"/>
      <c r="AF103" s="673"/>
      <c r="AG103" s="673"/>
      <c r="AH103" s="673"/>
      <c r="AI103" s="727"/>
      <c r="AJ103" s="673"/>
      <c r="AK103" s="673"/>
      <c r="AL103" s="673"/>
      <c r="AM103" s="673"/>
      <c r="AN103" s="673"/>
      <c r="AO103" s="685"/>
      <c r="AP103" s="685"/>
      <c r="AQ103" s="681"/>
      <c r="AR103" s="681"/>
    </row>
    <row r="104" spans="28:44" s="514" customFormat="1" x14ac:dyDescent="0.25">
      <c r="AB104" s="665"/>
      <c r="AC104" s="673"/>
      <c r="AD104" s="673"/>
      <c r="AE104" s="673"/>
      <c r="AF104" s="673"/>
      <c r="AG104" s="673"/>
      <c r="AH104" s="673"/>
      <c r="AI104" s="727"/>
      <c r="AJ104" s="673"/>
      <c r="AK104" s="673"/>
      <c r="AL104" s="673"/>
      <c r="AM104" s="673"/>
      <c r="AN104" s="673"/>
      <c r="AO104" s="685"/>
      <c r="AP104" s="685"/>
      <c r="AQ104" s="681"/>
      <c r="AR104" s="681"/>
    </row>
    <row r="105" spans="28:44" s="514" customFormat="1" x14ac:dyDescent="0.25">
      <c r="AB105" s="665"/>
      <c r="AC105" s="673"/>
      <c r="AD105" s="673"/>
      <c r="AE105" s="673"/>
      <c r="AF105" s="673"/>
      <c r="AG105" s="673"/>
      <c r="AH105" s="673"/>
      <c r="AI105" s="727"/>
      <c r="AJ105" s="673"/>
      <c r="AK105" s="673"/>
      <c r="AL105" s="673"/>
      <c r="AM105" s="673"/>
      <c r="AN105" s="673"/>
      <c r="AO105" s="685"/>
      <c r="AP105" s="685"/>
      <c r="AQ105" s="681"/>
      <c r="AR105" s="681"/>
    </row>
    <row r="106" spans="28:44" s="514" customFormat="1" x14ac:dyDescent="0.25">
      <c r="AB106" s="665"/>
      <c r="AC106" s="673"/>
      <c r="AD106" s="673"/>
      <c r="AE106" s="673"/>
      <c r="AF106" s="673"/>
      <c r="AG106" s="673"/>
      <c r="AH106" s="673"/>
      <c r="AI106" s="727"/>
      <c r="AJ106" s="673"/>
      <c r="AK106" s="673"/>
      <c r="AL106" s="673"/>
      <c r="AM106" s="673"/>
      <c r="AN106" s="673"/>
      <c r="AO106" s="685"/>
      <c r="AP106" s="685"/>
      <c r="AQ106" s="681"/>
      <c r="AR106" s="681"/>
    </row>
    <row r="107" spans="28:44" s="514" customFormat="1" x14ac:dyDescent="0.25">
      <c r="AB107" s="665"/>
      <c r="AC107" s="673"/>
      <c r="AD107" s="673"/>
      <c r="AE107" s="673"/>
      <c r="AF107" s="673"/>
      <c r="AG107" s="673"/>
      <c r="AH107" s="673"/>
      <c r="AI107" s="727"/>
      <c r="AJ107" s="673"/>
      <c r="AK107" s="673"/>
      <c r="AL107" s="673"/>
      <c r="AM107" s="673"/>
      <c r="AN107" s="673"/>
      <c r="AO107" s="685"/>
      <c r="AP107" s="685"/>
      <c r="AQ107" s="681"/>
      <c r="AR107" s="681"/>
    </row>
    <row r="108" spans="28:44" s="514" customFormat="1" x14ac:dyDescent="0.25">
      <c r="AB108" s="665"/>
      <c r="AC108" s="673"/>
      <c r="AD108" s="673"/>
      <c r="AE108" s="673"/>
      <c r="AF108" s="673"/>
      <c r="AG108" s="673"/>
      <c r="AH108" s="673"/>
      <c r="AI108" s="727"/>
      <c r="AJ108" s="673"/>
      <c r="AK108" s="673"/>
      <c r="AL108" s="673"/>
      <c r="AM108" s="673"/>
      <c r="AN108" s="673"/>
      <c r="AO108" s="685"/>
      <c r="AP108" s="685"/>
      <c r="AQ108" s="681"/>
      <c r="AR108" s="681"/>
    </row>
    <row r="109" spans="28:44" s="514" customFormat="1" x14ac:dyDescent="0.25">
      <c r="AB109" s="665"/>
      <c r="AC109" s="673"/>
      <c r="AD109" s="673"/>
      <c r="AE109" s="673"/>
      <c r="AF109" s="673"/>
      <c r="AG109" s="673"/>
      <c r="AH109" s="673"/>
      <c r="AI109" s="727"/>
      <c r="AJ109" s="673"/>
      <c r="AK109" s="673"/>
      <c r="AL109" s="673"/>
      <c r="AM109" s="673"/>
      <c r="AN109" s="673"/>
      <c r="AO109" s="685"/>
      <c r="AP109" s="685"/>
      <c r="AQ109" s="681"/>
      <c r="AR109" s="681"/>
    </row>
    <row r="110" spans="28:44" s="514" customFormat="1" x14ac:dyDescent="0.25">
      <c r="AB110" s="665"/>
      <c r="AC110" s="673"/>
      <c r="AD110" s="673"/>
      <c r="AE110" s="673"/>
      <c r="AF110" s="673"/>
      <c r="AG110" s="673"/>
      <c r="AH110" s="673"/>
      <c r="AI110" s="727"/>
      <c r="AJ110" s="673"/>
      <c r="AK110" s="673"/>
      <c r="AL110" s="673"/>
      <c r="AM110" s="673"/>
      <c r="AN110" s="673"/>
      <c r="AO110" s="685"/>
      <c r="AP110" s="685"/>
      <c r="AQ110" s="681"/>
      <c r="AR110" s="681"/>
    </row>
    <row r="111" spans="28:44" s="514" customFormat="1" x14ac:dyDescent="0.25">
      <c r="AB111" s="665"/>
      <c r="AC111" s="673"/>
      <c r="AD111" s="673"/>
      <c r="AE111" s="673"/>
      <c r="AF111" s="673"/>
      <c r="AG111" s="673"/>
      <c r="AH111" s="673"/>
      <c r="AI111" s="727"/>
      <c r="AJ111" s="673"/>
      <c r="AK111" s="673"/>
      <c r="AL111" s="673"/>
      <c r="AM111" s="673"/>
      <c r="AN111" s="673"/>
      <c r="AO111" s="685"/>
      <c r="AP111" s="685"/>
      <c r="AQ111" s="681"/>
      <c r="AR111" s="681"/>
    </row>
    <row r="112" spans="28:44" s="514" customFormat="1" x14ac:dyDescent="0.25">
      <c r="AB112" s="665"/>
      <c r="AC112" s="673"/>
      <c r="AD112" s="673"/>
      <c r="AE112" s="673"/>
      <c r="AF112" s="673"/>
      <c r="AG112" s="673"/>
      <c r="AH112" s="673"/>
      <c r="AI112" s="727"/>
      <c r="AJ112" s="673"/>
      <c r="AK112" s="673"/>
      <c r="AL112" s="673"/>
      <c r="AM112" s="673"/>
      <c r="AN112" s="673"/>
      <c r="AO112" s="685"/>
      <c r="AP112" s="685"/>
      <c r="AQ112" s="681"/>
      <c r="AR112" s="681"/>
    </row>
    <row r="113" spans="28:44" s="514" customFormat="1" x14ac:dyDescent="0.25">
      <c r="AB113" s="665"/>
      <c r="AC113" s="673"/>
      <c r="AD113" s="673"/>
      <c r="AE113" s="673"/>
      <c r="AF113" s="673"/>
      <c r="AG113" s="673"/>
      <c r="AH113" s="673"/>
      <c r="AI113" s="727"/>
      <c r="AJ113" s="673"/>
      <c r="AK113" s="673"/>
      <c r="AL113" s="673"/>
      <c r="AM113" s="673"/>
      <c r="AN113" s="673"/>
      <c r="AO113" s="685"/>
      <c r="AP113" s="685"/>
      <c r="AQ113" s="681"/>
      <c r="AR113" s="681"/>
    </row>
    <row r="114" spans="28:44" s="514" customFormat="1" x14ac:dyDescent="0.25">
      <c r="AB114" s="665"/>
      <c r="AC114" s="673"/>
      <c r="AD114" s="673"/>
      <c r="AE114" s="673"/>
      <c r="AF114" s="673"/>
      <c r="AG114" s="673"/>
      <c r="AH114" s="673"/>
      <c r="AI114" s="727"/>
      <c r="AJ114" s="673"/>
      <c r="AK114" s="673"/>
      <c r="AL114" s="673"/>
      <c r="AM114" s="673"/>
      <c r="AN114" s="673"/>
      <c r="AO114" s="685"/>
      <c r="AP114" s="685"/>
      <c r="AQ114" s="681"/>
      <c r="AR114" s="681"/>
    </row>
    <row r="115" spans="28:44" s="514" customFormat="1" x14ac:dyDescent="0.25">
      <c r="AB115" s="665"/>
      <c r="AC115" s="673"/>
      <c r="AD115" s="673"/>
      <c r="AE115" s="673"/>
      <c r="AF115" s="673"/>
      <c r="AG115" s="673"/>
      <c r="AH115" s="673"/>
      <c r="AI115" s="727"/>
      <c r="AJ115" s="673"/>
      <c r="AK115" s="673"/>
      <c r="AL115" s="673"/>
      <c r="AM115" s="673"/>
      <c r="AN115" s="673"/>
      <c r="AO115" s="685"/>
      <c r="AP115" s="685"/>
      <c r="AQ115" s="681"/>
      <c r="AR115" s="681"/>
    </row>
    <row r="116" spans="28:44" s="514" customFormat="1" x14ac:dyDescent="0.25">
      <c r="AB116" s="665"/>
      <c r="AC116" s="673"/>
      <c r="AD116" s="673"/>
      <c r="AE116" s="673"/>
      <c r="AF116" s="673"/>
      <c r="AG116" s="673"/>
      <c r="AH116" s="673"/>
      <c r="AI116" s="727"/>
      <c r="AJ116" s="673"/>
      <c r="AK116" s="673"/>
      <c r="AL116" s="673"/>
      <c r="AM116" s="673"/>
      <c r="AN116" s="673"/>
      <c r="AO116" s="685"/>
      <c r="AP116" s="685"/>
      <c r="AQ116" s="681"/>
      <c r="AR116" s="681"/>
    </row>
    <row r="117" spans="28:44" s="514" customFormat="1" x14ac:dyDescent="0.25">
      <c r="AB117" s="665"/>
      <c r="AC117" s="673"/>
      <c r="AD117" s="673"/>
      <c r="AE117" s="673"/>
      <c r="AF117" s="673"/>
      <c r="AG117" s="673"/>
      <c r="AH117" s="673"/>
      <c r="AI117" s="727"/>
      <c r="AJ117" s="673"/>
      <c r="AK117" s="673"/>
      <c r="AL117" s="673"/>
      <c r="AM117" s="673"/>
      <c r="AN117" s="673"/>
      <c r="AO117" s="685"/>
      <c r="AP117" s="685"/>
      <c r="AQ117" s="681"/>
      <c r="AR117" s="681"/>
    </row>
    <row r="118" spans="28:44" s="514" customFormat="1" x14ac:dyDescent="0.25">
      <c r="AB118" s="665"/>
      <c r="AC118" s="673"/>
      <c r="AD118" s="673"/>
      <c r="AE118" s="673"/>
      <c r="AF118" s="673"/>
      <c r="AG118" s="673"/>
      <c r="AH118" s="673"/>
      <c r="AI118" s="727"/>
      <c r="AJ118" s="673"/>
      <c r="AK118" s="673"/>
      <c r="AL118" s="673"/>
      <c r="AM118" s="673"/>
      <c r="AN118" s="673"/>
      <c r="AO118" s="685"/>
      <c r="AP118" s="685"/>
      <c r="AQ118" s="681"/>
      <c r="AR118" s="681"/>
    </row>
    <row r="119" spans="28:44" s="514" customFormat="1" x14ac:dyDescent="0.25">
      <c r="AB119" s="665"/>
      <c r="AC119" s="673"/>
      <c r="AD119" s="673"/>
      <c r="AE119" s="673"/>
      <c r="AF119" s="673"/>
      <c r="AG119" s="673"/>
      <c r="AH119" s="673"/>
      <c r="AI119" s="727"/>
      <c r="AJ119" s="673"/>
      <c r="AK119" s="673"/>
      <c r="AL119" s="673"/>
      <c r="AM119" s="673"/>
      <c r="AN119" s="673"/>
      <c r="AO119" s="685"/>
      <c r="AP119" s="685"/>
      <c r="AQ119" s="681"/>
      <c r="AR119" s="681"/>
    </row>
    <row r="120" spans="28:44" s="514" customFormat="1" x14ac:dyDescent="0.25">
      <c r="AB120" s="665"/>
      <c r="AC120" s="673"/>
      <c r="AD120" s="673"/>
      <c r="AE120" s="673"/>
      <c r="AF120" s="673"/>
      <c r="AG120" s="673"/>
      <c r="AH120" s="673"/>
      <c r="AI120" s="727"/>
      <c r="AJ120" s="673"/>
      <c r="AK120" s="673"/>
      <c r="AL120" s="673"/>
      <c r="AM120" s="673"/>
      <c r="AN120" s="673"/>
      <c r="AO120" s="685"/>
      <c r="AP120" s="685"/>
      <c r="AQ120" s="681"/>
      <c r="AR120" s="681"/>
    </row>
    <row r="121" spans="28:44" s="514" customFormat="1" x14ac:dyDescent="0.25">
      <c r="AB121" s="665"/>
      <c r="AC121" s="673"/>
      <c r="AD121" s="673"/>
      <c r="AE121" s="673"/>
      <c r="AF121" s="673"/>
      <c r="AG121" s="673"/>
      <c r="AH121" s="673"/>
      <c r="AI121" s="727"/>
      <c r="AJ121" s="673"/>
      <c r="AK121" s="673"/>
      <c r="AL121" s="673"/>
      <c r="AM121" s="673"/>
      <c r="AN121" s="673"/>
      <c r="AO121" s="685"/>
      <c r="AP121" s="685"/>
      <c r="AQ121" s="681"/>
      <c r="AR121" s="681"/>
    </row>
    <row r="122" spans="28:44" s="514" customFormat="1" x14ac:dyDescent="0.25">
      <c r="AB122" s="665"/>
      <c r="AC122" s="673"/>
      <c r="AD122" s="673"/>
      <c r="AE122" s="673"/>
      <c r="AF122" s="673"/>
      <c r="AG122" s="673"/>
      <c r="AH122" s="673"/>
      <c r="AI122" s="727"/>
      <c r="AJ122" s="673"/>
      <c r="AK122" s="673"/>
      <c r="AL122" s="673"/>
      <c r="AM122" s="673"/>
      <c r="AN122" s="673"/>
      <c r="AO122" s="685"/>
      <c r="AP122" s="685"/>
      <c r="AQ122" s="681"/>
      <c r="AR122" s="681"/>
    </row>
    <row r="123" spans="28:44" s="514" customFormat="1" x14ac:dyDescent="0.25">
      <c r="AB123" s="665"/>
      <c r="AC123" s="665"/>
      <c r="AD123" s="665"/>
      <c r="AE123" s="665"/>
      <c r="AF123" s="665"/>
      <c r="AG123" s="665"/>
      <c r="AH123" s="665"/>
      <c r="AI123" s="719"/>
      <c r="AJ123" s="665"/>
      <c r="AK123" s="665"/>
      <c r="AL123" s="665"/>
      <c r="AM123" s="665"/>
      <c r="AN123" s="665"/>
      <c r="AO123" s="681"/>
      <c r="AP123" s="681"/>
      <c r="AQ123" s="681"/>
      <c r="AR123" s="681"/>
    </row>
    <row r="124" spans="28:44" s="514" customFormat="1" x14ac:dyDescent="0.25">
      <c r="AB124" s="665"/>
      <c r="AC124" s="665"/>
      <c r="AD124" s="665"/>
      <c r="AE124" s="665"/>
      <c r="AF124" s="665"/>
      <c r="AG124" s="665"/>
      <c r="AH124" s="665"/>
      <c r="AI124" s="719"/>
      <c r="AJ124" s="665"/>
      <c r="AK124" s="665"/>
      <c r="AL124" s="665"/>
      <c r="AM124" s="665"/>
      <c r="AN124" s="665"/>
      <c r="AO124" s="681"/>
      <c r="AP124" s="681"/>
      <c r="AQ124" s="681"/>
      <c r="AR124" s="681"/>
    </row>
    <row r="125" spans="28:44" s="514" customFormat="1" x14ac:dyDescent="0.25">
      <c r="AB125" s="665"/>
      <c r="AC125" s="665"/>
      <c r="AD125" s="665"/>
      <c r="AE125" s="665"/>
      <c r="AF125" s="665"/>
      <c r="AG125" s="665"/>
      <c r="AH125" s="665"/>
      <c r="AI125" s="719"/>
      <c r="AJ125" s="665"/>
      <c r="AK125" s="665"/>
      <c r="AL125" s="665"/>
      <c r="AM125" s="665"/>
      <c r="AN125" s="665"/>
      <c r="AO125" s="681"/>
      <c r="AP125" s="681"/>
      <c r="AQ125" s="681"/>
      <c r="AR125" s="681"/>
    </row>
    <row r="126" spans="28:44" s="514" customFormat="1" x14ac:dyDescent="0.25">
      <c r="AB126" s="665"/>
      <c r="AC126" s="665"/>
      <c r="AD126" s="665"/>
      <c r="AE126" s="665"/>
      <c r="AF126" s="665"/>
      <c r="AG126" s="665"/>
      <c r="AH126" s="665"/>
      <c r="AI126" s="719"/>
      <c r="AJ126" s="665"/>
      <c r="AK126" s="665"/>
      <c r="AL126" s="665"/>
      <c r="AM126" s="665"/>
      <c r="AN126" s="665"/>
      <c r="AO126" s="681"/>
      <c r="AP126" s="681"/>
      <c r="AQ126" s="681"/>
      <c r="AR126" s="681"/>
    </row>
    <row r="127" spans="28:44" s="514" customFormat="1" x14ac:dyDescent="0.25">
      <c r="AB127" s="665"/>
      <c r="AC127" s="665"/>
      <c r="AD127" s="665"/>
      <c r="AE127" s="665"/>
      <c r="AF127" s="665"/>
      <c r="AG127" s="665"/>
      <c r="AH127" s="665"/>
      <c r="AI127" s="719"/>
      <c r="AJ127" s="665"/>
      <c r="AK127" s="665"/>
      <c r="AL127" s="665"/>
      <c r="AM127" s="665"/>
      <c r="AN127" s="665"/>
      <c r="AO127" s="681"/>
      <c r="AP127" s="681"/>
      <c r="AQ127" s="681"/>
      <c r="AR127" s="681"/>
    </row>
    <row r="128" spans="28:44" s="514" customFormat="1" x14ac:dyDescent="0.25">
      <c r="AB128" s="665"/>
      <c r="AC128" s="665"/>
      <c r="AD128" s="665"/>
      <c r="AE128" s="665"/>
      <c r="AF128" s="665"/>
      <c r="AG128" s="665"/>
      <c r="AH128" s="665"/>
      <c r="AI128" s="719"/>
      <c r="AJ128" s="665"/>
      <c r="AK128" s="665"/>
      <c r="AL128" s="665"/>
      <c r="AM128" s="665"/>
      <c r="AN128" s="665"/>
      <c r="AO128" s="681"/>
      <c r="AP128" s="681"/>
      <c r="AQ128" s="681"/>
      <c r="AR128" s="681"/>
    </row>
    <row r="129" spans="28:44" s="514" customFormat="1" x14ac:dyDescent="0.25">
      <c r="AB129" s="665"/>
      <c r="AC129" s="665"/>
      <c r="AD129" s="665"/>
      <c r="AE129" s="665"/>
      <c r="AF129" s="665"/>
      <c r="AG129" s="665"/>
      <c r="AH129" s="665"/>
      <c r="AI129" s="719"/>
      <c r="AJ129" s="665"/>
      <c r="AK129" s="665"/>
      <c r="AL129" s="665"/>
      <c r="AM129" s="665"/>
      <c r="AN129" s="665"/>
      <c r="AO129" s="681"/>
      <c r="AP129" s="681"/>
      <c r="AQ129" s="681"/>
      <c r="AR129" s="681"/>
    </row>
    <row r="130" spans="28:44" s="514" customFormat="1" x14ac:dyDescent="0.25">
      <c r="AB130" s="665"/>
      <c r="AC130" s="665"/>
      <c r="AD130" s="665"/>
      <c r="AE130" s="665"/>
      <c r="AF130" s="665"/>
      <c r="AG130" s="665"/>
      <c r="AH130" s="665"/>
      <c r="AI130" s="719"/>
      <c r="AJ130" s="665"/>
      <c r="AK130" s="665"/>
      <c r="AL130" s="665"/>
      <c r="AM130" s="665"/>
      <c r="AN130" s="665"/>
      <c r="AO130" s="681"/>
      <c r="AP130" s="681"/>
      <c r="AQ130" s="681"/>
      <c r="AR130" s="681"/>
    </row>
    <row r="131" spans="28:44" s="514" customFormat="1" x14ac:dyDescent="0.25">
      <c r="AB131" s="665"/>
      <c r="AC131" s="665"/>
      <c r="AD131" s="665"/>
      <c r="AE131" s="665"/>
      <c r="AF131" s="665"/>
      <c r="AG131" s="665"/>
      <c r="AH131" s="665"/>
      <c r="AI131" s="719"/>
      <c r="AJ131" s="665"/>
      <c r="AK131" s="665"/>
      <c r="AL131" s="665"/>
      <c r="AM131" s="665"/>
      <c r="AN131" s="665"/>
      <c r="AO131" s="681"/>
      <c r="AP131" s="681"/>
      <c r="AQ131" s="681"/>
      <c r="AR131" s="681"/>
    </row>
    <row r="132" spans="28:44" s="514" customFormat="1" x14ac:dyDescent="0.25">
      <c r="AB132" s="665"/>
      <c r="AC132" s="665"/>
      <c r="AD132" s="665"/>
      <c r="AE132" s="665"/>
      <c r="AF132" s="665"/>
      <c r="AG132" s="665"/>
      <c r="AH132" s="665"/>
      <c r="AI132" s="719"/>
      <c r="AJ132" s="665"/>
      <c r="AK132" s="665"/>
      <c r="AL132" s="665"/>
      <c r="AM132" s="665"/>
      <c r="AN132" s="665"/>
      <c r="AO132" s="681"/>
      <c r="AP132" s="681"/>
      <c r="AQ132" s="681"/>
      <c r="AR132" s="681"/>
    </row>
    <row r="133" spans="28:44" s="514" customFormat="1" x14ac:dyDescent="0.25">
      <c r="AB133" s="665"/>
      <c r="AC133" s="665"/>
      <c r="AD133" s="665"/>
      <c r="AE133" s="665"/>
      <c r="AF133" s="665"/>
      <c r="AG133" s="665"/>
      <c r="AH133" s="665"/>
      <c r="AI133" s="719"/>
      <c r="AJ133" s="665"/>
      <c r="AK133" s="665"/>
      <c r="AL133" s="665"/>
      <c r="AM133" s="665"/>
      <c r="AN133" s="665"/>
      <c r="AO133" s="681"/>
      <c r="AP133" s="681"/>
      <c r="AQ133" s="681"/>
      <c r="AR133" s="681"/>
    </row>
    <row r="134" spans="28:44" s="514" customFormat="1" x14ac:dyDescent="0.25">
      <c r="AB134" s="665"/>
      <c r="AC134" s="665"/>
      <c r="AD134" s="665"/>
      <c r="AE134" s="665"/>
      <c r="AF134" s="665"/>
      <c r="AG134" s="665"/>
      <c r="AH134" s="665"/>
      <c r="AI134" s="719"/>
      <c r="AJ134" s="665"/>
      <c r="AK134" s="665"/>
      <c r="AL134" s="665"/>
      <c r="AM134" s="665"/>
      <c r="AN134" s="665"/>
      <c r="AO134" s="681"/>
      <c r="AP134" s="681"/>
      <c r="AQ134" s="681"/>
      <c r="AR134" s="681"/>
    </row>
    <row r="135" spans="28:44" s="514" customFormat="1" x14ac:dyDescent="0.25">
      <c r="AB135" s="665"/>
      <c r="AC135" s="665"/>
      <c r="AD135" s="665"/>
      <c r="AE135" s="665"/>
      <c r="AF135" s="665"/>
      <c r="AG135" s="665"/>
      <c r="AH135" s="665"/>
      <c r="AI135" s="719"/>
      <c r="AJ135" s="665"/>
      <c r="AK135" s="665"/>
      <c r="AL135" s="665"/>
      <c r="AM135" s="665"/>
      <c r="AN135" s="665"/>
      <c r="AO135" s="681"/>
      <c r="AP135" s="681"/>
      <c r="AQ135" s="681"/>
      <c r="AR135" s="681"/>
    </row>
    <row r="136" spans="28:44" s="514" customFormat="1" x14ac:dyDescent="0.25">
      <c r="AB136" s="665"/>
      <c r="AC136" s="665"/>
      <c r="AD136" s="665"/>
      <c r="AE136" s="665"/>
      <c r="AF136" s="665"/>
      <c r="AG136" s="665"/>
      <c r="AH136" s="665"/>
      <c r="AI136" s="719"/>
      <c r="AJ136" s="665"/>
      <c r="AK136" s="665"/>
      <c r="AL136" s="665"/>
      <c r="AM136" s="665"/>
      <c r="AN136" s="665"/>
      <c r="AO136" s="681"/>
      <c r="AP136" s="681"/>
      <c r="AQ136" s="681"/>
      <c r="AR136" s="681"/>
    </row>
    <row r="137" spans="28:44" s="514" customFormat="1" x14ac:dyDescent="0.25">
      <c r="AB137" s="665"/>
      <c r="AC137" s="665"/>
      <c r="AD137" s="665"/>
      <c r="AE137" s="665"/>
      <c r="AF137" s="665"/>
      <c r="AG137" s="665"/>
      <c r="AH137" s="665"/>
      <c r="AI137" s="719"/>
      <c r="AJ137" s="665"/>
      <c r="AK137" s="665"/>
      <c r="AL137" s="665"/>
      <c r="AM137" s="665"/>
      <c r="AN137" s="665"/>
      <c r="AO137" s="681"/>
      <c r="AP137" s="681"/>
      <c r="AQ137" s="681"/>
      <c r="AR137" s="681"/>
    </row>
    <row r="138" spans="28:44" s="514" customFormat="1" x14ac:dyDescent="0.25">
      <c r="AB138" s="665"/>
      <c r="AC138" s="665"/>
      <c r="AD138" s="665"/>
      <c r="AE138" s="665"/>
      <c r="AF138" s="665"/>
      <c r="AG138" s="665"/>
      <c r="AH138" s="665"/>
      <c r="AI138" s="719"/>
      <c r="AJ138" s="665"/>
      <c r="AK138" s="665"/>
      <c r="AL138" s="665"/>
      <c r="AM138" s="665"/>
      <c r="AN138" s="665"/>
      <c r="AO138" s="681"/>
      <c r="AP138" s="681"/>
      <c r="AQ138" s="681"/>
      <c r="AR138" s="681"/>
    </row>
    <row r="139" spans="28:44" s="514" customFormat="1" x14ac:dyDescent="0.25">
      <c r="AB139" s="665"/>
      <c r="AC139" s="665"/>
      <c r="AD139" s="665"/>
      <c r="AE139" s="665"/>
      <c r="AF139" s="665"/>
      <c r="AG139" s="665"/>
      <c r="AH139" s="665"/>
      <c r="AI139" s="719"/>
      <c r="AJ139" s="665"/>
      <c r="AK139" s="665"/>
      <c r="AL139" s="665"/>
      <c r="AM139" s="665"/>
      <c r="AN139" s="665"/>
      <c r="AO139" s="681"/>
      <c r="AP139" s="681"/>
      <c r="AQ139" s="681"/>
      <c r="AR139" s="681"/>
    </row>
    <row r="140" spans="28:44" s="514" customFormat="1" x14ac:dyDescent="0.25">
      <c r="AB140" s="665"/>
      <c r="AC140" s="665"/>
      <c r="AD140" s="665"/>
      <c r="AE140" s="665"/>
      <c r="AF140" s="665"/>
      <c r="AG140" s="665"/>
      <c r="AH140" s="665"/>
      <c r="AI140" s="719"/>
      <c r="AJ140" s="665"/>
      <c r="AK140" s="665"/>
      <c r="AL140" s="665"/>
      <c r="AM140" s="665"/>
      <c r="AN140" s="665"/>
      <c r="AO140" s="681"/>
      <c r="AP140" s="681"/>
      <c r="AQ140" s="681"/>
      <c r="AR140" s="681"/>
    </row>
    <row r="141" spans="28:44" s="514" customFormat="1" x14ac:dyDescent="0.25">
      <c r="AB141" s="665"/>
      <c r="AC141" s="665"/>
      <c r="AD141" s="665"/>
      <c r="AE141" s="665"/>
      <c r="AF141" s="665"/>
      <c r="AG141" s="665"/>
      <c r="AH141" s="665"/>
      <c r="AI141" s="719"/>
      <c r="AJ141" s="665"/>
      <c r="AK141" s="665"/>
      <c r="AL141" s="665"/>
      <c r="AM141" s="665"/>
      <c r="AN141" s="665"/>
      <c r="AO141" s="681"/>
      <c r="AP141" s="681"/>
      <c r="AQ141" s="681"/>
      <c r="AR141" s="681"/>
    </row>
    <row r="142" spans="28:44" s="514" customFormat="1" x14ac:dyDescent="0.25">
      <c r="AB142" s="665"/>
      <c r="AC142" s="665"/>
      <c r="AD142" s="665"/>
      <c r="AE142" s="665"/>
      <c r="AF142" s="665"/>
      <c r="AG142" s="665"/>
      <c r="AH142" s="665"/>
      <c r="AI142" s="719"/>
      <c r="AJ142" s="665"/>
      <c r="AK142" s="665"/>
      <c r="AL142" s="665"/>
      <c r="AM142" s="665"/>
      <c r="AN142" s="665"/>
      <c r="AO142" s="681"/>
      <c r="AP142" s="681"/>
      <c r="AQ142" s="681"/>
      <c r="AR142" s="681"/>
    </row>
    <row r="143" spans="28:44" s="514" customFormat="1" x14ac:dyDescent="0.25">
      <c r="AB143" s="665"/>
      <c r="AC143" s="665"/>
      <c r="AD143" s="665"/>
      <c r="AE143" s="665"/>
      <c r="AF143" s="665"/>
      <c r="AG143" s="665"/>
      <c r="AH143" s="665"/>
      <c r="AI143" s="719"/>
      <c r="AJ143" s="665"/>
      <c r="AK143" s="665"/>
      <c r="AL143" s="665"/>
      <c r="AM143" s="665"/>
      <c r="AN143" s="665"/>
      <c r="AO143" s="681"/>
      <c r="AP143" s="681"/>
      <c r="AQ143" s="681"/>
      <c r="AR143" s="681"/>
    </row>
    <row r="144" spans="28:44" s="514" customFormat="1" x14ac:dyDescent="0.25">
      <c r="AB144" s="665"/>
      <c r="AC144" s="665"/>
      <c r="AD144" s="665"/>
      <c r="AE144" s="665"/>
      <c r="AF144" s="665"/>
      <c r="AG144" s="665"/>
      <c r="AH144" s="665"/>
      <c r="AI144" s="719"/>
      <c r="AJ144" s="665"/>
      <c r="AK144" s="665"/>
      <c r="AL144" s="665"/>
      <c r="AM144" s="665"/>
      <c r="AN144" s="665"/>
      <c r="AO144" s="681"/>
      <c r="AP144" s="681"/>
      <c r="AQ144" s="681"/>
      <c r="AR144" s="681"/>
    </row>
    <row r="145" spans="28:44" s="514" customFormat="1" x14ac:dyDescent="0.25">
      <c r="AB145" s="665"/>
      <c r="AC145" s="665"/>
      <c r="AD145" s="665"/>
      <c r="AE145" s="665"/>
      <c r="AF145" s="665"/>
      <c r="AG145" s="665"/>
      <c r="AH145" s="665"/>
      <c r="AI145" s="719"/>
      <c r="AJ145" s="665"/>
      <c r="AK145" s="665"/>
      <c r="AL145" s="665"/>
      <c r="AM145" s="665"/>
      <c r="AN145" s="665"/>
      <c r="AO145" s="681"/>
      <c r="AP145" s="681"/>
      <c r="AQ145" s="681"/>
      <c r="AR145" s="681"/>
    </row>
    <row r="146" spans="28:44" s="514" customFormat="1" x14ac:dyDescent="0.25">
      <c r="AB146" s="665"/>
      <c r="AC146" s="665"/>
      <c r="AD146" s="665"/>
      <c r="AE146" s="665"/>
      <c r="AF146" s="665"/>
      <c r="AG146" s="665"/>
      <c r="AH146" s="665"/>
      <c r="AI146" s="719"/>
      <c r="AJ146" s="665"/>
      <c r="AK146" s="665"/>
      <c r="AL146" s="665"/>
      <c r="AM146" s="665"/>
      <c r="AN146" s="665"/>
      <c r="AO146" s="681"/>
      <c r="AP146" s="681"/>
      <c r="AQ146" s="681"/>
      <c r="AR146" s="681"/>
    </row>
    <row r="147" spans="28:44" s="514" customFormat="1" x14ac:dyDescent="0.25">
      <c r="AB147" s="665"/>
      <c r="AC147" s="665"/>
      <c r="AD147" s="665"/>
      <c r="AE147" s="665"/>
      <c r="AF147" s="665"/>
      <c r="AG147" s="665"/>
      <c r="AH147" s="665"/>
      <c r="AI147" s="719"/>
      <c r="AJ147" s="665"/>
      <c r="AK147" s="665"/>
      <c r="AL147" s="665"/>
      <c r="AM147" s="665"/>
      <c r="AN147" s="665"/>
      <c r="AO147" s="681"/>
      <c r="AP147" s="681"/>
      <c r="AQ147" s="681"/>
      <c r="AR147" s="681"/>
    </row>
    <row r="148" spans="28:44" s="514" customFormat="1" x14ac:dyDescent="0.25">
      <c r="AB148" s="665"/>
      <c r="AC148" s="665"/>
      <c r="AD148" s="665"/>
      <c r="AE148" s="665"/>
      <c r="AF148" s="665"/>
      <c r="AG148" s="665"/>
      <c r="AH148" s="665"/>
      <c r="AI148" s="719"/>
      <c r="AJ148" s="665"/>
      <c r="AK148" s="665"/>
      <c r="AL148" s="665"/>
      <c r="AM148" s="665"/>
      <c r="AN148" s="665"/>
      <c r="AO148" s="681"/>
      <c r="AP148" s="681"/>
      <c r="AQ148" s="681"/>
      <c r="AR148" s="681"/>
    </row>
    <row r="149" spans="28:44" s="514" customFormat="1" x14ac:dyDescent="0.25">
      <c r="AB149" s="665"/>
      <c r="AC149" s="665"/>
      <c r="AD149" s="665"/>
      <c r="AE149" s="665"/>
      <c r="AF149" s="665"/>
      <c r="AG149" s="665"/>
      <c r="AH149" s="665"/>
      <c r="AI149" s="719"/>
      <c r="AJ149" s="665"/>
      <c r="AK149" s="665"/>
      <c r="AL149" s="665"/>
      <c r="AM149" s="665"/>
      <c r="AN149" s="665"/>
      <c r="AO149" s="681"/>
      <c r="AP149" s="681"/>
      <c r="AQ149" s="681"/>
      <c r="AR149" s="681"/>
    </row>
    <row r="150" spans="28:44" s="514" customFormat="1" x14ac:dyDescent="0.25">
      <c r="AB150" s="665"/>
      <c r="AC150" s="665"/>
      <c r="AD150" s="665"/>
      <c r="AE150" s="665"/>
      <c r="AF150" s="665"/>
      <c r="AG150" s="665"/>
      <c r="AH150" s="665"/>
      <c r="AI150" s="719"/>
      <c r="AJ150" s="665"/>
      <c r="AK150" s="665"/>
      <c r="AL150" s="665"/>
      <c r="AM150" s="665"/>
      <c r="AN150" s="665"/>
      <c r="AO150" s="681"/>
      <c r="AP150" s="681"/>
      <c r="AQ150" s="681"/>
      <c r="AR150" s="681"/>
    </row>
    <row r="151" spans="28:44" s="514" customFormat="1" x14ac:dyDescent="0.25">
      <c r="AB151" s="665"/>
      <c r="AC151" s="665"/>
      <c r="AD151" s="665"/>
      <c r="AE151" s="665"/>
      <c r="AF151" s="665"/>
      <c r="AG151" s="665"/>
      <c r="AH151" s="665"/>
      <c r="AI151" s="719"/>
      <c r="AJ151" s="665"/>
      <c r="AK151" s="665"/>
      <c r="AL151" s="665"/>
      <c r="AM151" s="665"/>
      <c r="AN151" s="665"/>
      <c r="AO151" s="681"/>
      <c r="AP151" s="681"/>
      <c r="AQ151" s="681"/>
      <c r="AR151" s="681"/>
    </row>
    <row r="152" spans="28:44" s="514" customFormat="1" x14ac:dyDescent="0.25">
      <c r="AB152" s="665"/>
      <c r="AC152" s="665"/>
      <c r="AD152" s="665"/>
      <c r="AE152" s="665"/>
      <c r="AF152" s="665"/>
      <c r="AG152" s="665"/>
      <c r="AH152" s="665"/>
      <c r="AI152" s="719"/>
      <c r="AJ152" s="665"/>
      <c r="AK152" s="665"/>
      <c r="AL152" s="665"/>
      <c r="AM152" s="665"/>
      <c r="AN152" s="665"/>
      <c r="AO152" s="681"/>
      <c r="AP152" s="681"/>
      <c r="AQ152" s="681"/>
      <c r="AR152" s="681"/>
    </row>
    <row r="153" spans="28:44" s="514" customFormat="1" x14ac:dyDescent="0.25">
      <c r="AB153" s="665"/>
      <c r="AC153" s="665"/>
      <c r="AD153" s="665"/>
      <c r="AE153" s="665"/>
      <c r="AF153" s="665"/>
      <c r="AG153" s="665"/>
      <c r="AH153" s="665"/>
      <c r="AI153" s="719"/>
      <c r="AJ153" s="665"/>
      <c r="AK153" s="665"/>
      <c r="AL153" s="665"/>
      <c r="AM153" s="665"/>
      <c r="AN153" s="665"/>
      <c r="AO153" s="681"/>
      <c r="AP153" s="681"/>
      <c r="AQ153" s="681"/>
      <c r="AR153" s="681"/>
    </row>
    <row r="154" spans="28:44" s="514" customFormat="1" x14ac:dyDescent="0.25">
      <c r="AB154" s="665"/>
      <c r="AC154" s="665"/>
      <c r="AD154" s="665"/>
      <c r="AE154" s="665"/>
      <c r="AF154" s="665"/>
      <c r="AG154" s="665"/>
      <c r="AH154" s="665"/>
      <c r="AI154" s="719"/>
      <c r="AJ154" s="665"/>
      <c r="AK154" s="665"/>
      <c r="AL154" s="665"/>
      <c r="AM154" s="665"/>
      <c r="AN154" s="665"/>
      <c r="AO154" s="681"/>
      <c r="AP154" s="681"/>
      <c r="AQ154" s="681"/>
      <c r="AR154" s="681"/>
    </row>
    <row r="155" spans="28:44" s="514" customFormat="1" x14ac:dyDescent="0.25">
      <c r="AB155" s="665"/>
      <c r="AC155" s="665"/>
      <c r="AD155" s="665"/>
      <c r="AE155" s="665"/>
      <c r="AF155" s="665"/>
      <c r="AG155" s="665"/>
      <c r="AH155" s="665"/>
      <c r="AI155" s="719"/>
      <c r="AJ155" s="665"/>
      <c r="AK155" s="665"/>
      <c r="AL155" s="665"/>
      <c r="AM155" s="665"/>
      <c r="AN155" s="665"/>
      <c r="AO155" s="681"/>
      <c r="AP155" s="681"/>
      <c r="AQ155" s="681"/>
      <c r="AR155" s="681"/>
    </row>
    <row r="156" spans="28:44" s="514" customFormat="1" x14ac:dyDescent="0.25">
      <c r="AB156" s="665"/>
      <c r="AC156" s="665"/>
      <c r="AD156" s="665"/>
      <c r="AE156" s="665"/>
      <c r="AF156" s="665"/>
      <c r="AG156" s="665"/>
      <c r="AH156" s="665"/>
      <c r="AI156" s="719"/>
      <c r="AJ156" s="665"/>
      <c r="AK156" s="665"/>
      <c r="AL156" s="665"/>
      <c r="AM156" s="665"/>
      <c r="AN156" s="665"/>
      <c r="AO156" s="681"/>
      <c r="AP156" s="681"/>
      <c r="AQ156" s="681"/>
      <c r="AR156" s="681"/>
    </row>
    <row r="157" spans="28:44" s="514" customFormat="1" x14ac:dyDescent="0.25">
      <c r="AB157" s="665"/>
      <c r="AC157" s="665"/>
      <c r="AD157" s="665"/>
      <c r="AE157" s="665"/>
      <c r="AF157" s="665"/>
      <c r="AG157" s="665"/>
      <c r="AH157" s="665"/>
      <c r="AI157" s="719"/>
      <c r="AJ157" s="665"/>
      <c r="AK157" s="665"/>
      <c r="AL157" s="665"/>
      <c r="AM157" s="665"/>
      <c r="AN157" s="665"/>
      <c r="AO157" s="681"/>
      <c r="AP157" s="681"/>
      <c r="AQ157" s="681"/>
      <c r="AR157" s="681"/>
    </row>
    <row r="158" spans="28:44" s="514" customFormat="1" x14ac:dyDescent="0.25">
      <c r="AB158" s="665"/>
      <c r="AC158" s="665"/>
      <c r="AD158" s="665"/>
      <c r="AE158" s="665"/>
      <c r="AF158" s="665"/>
      <c r="AG158" s="665"/>
      <c r="AH158" s="665"/>
      <c r="AI158" s="719"/>
      <c r="AJ158" s="665"/>
      <c r="AK158" s="665"/>
      <c r="AL158" s="665"/>
      <c r="AM158" s="665"/>
      <c r="AN158" s="665"/>
      <c r="AO158" s="681"/>
      <c r="AP158" s="681"/>
      <c r="AQ158" s="681"/>
      <c r="AR158" s="681"/>
    </row>
    <row r="159" spans="28:44" s="514" customFormat="1" x14ac:dyDescent="0.25">
      <c r="AB159" s="665"/>
      <c r="AC159" s="665"/>
      <c r="AD159" s="665"/>
      <c r="AE159" s="665"/>
      <c r="AF159" s="665"/>
      <c r="AG159" s="665"/>
      <c r="AH159" s="665"/>
      <c r="AI159" s="719"/>
      <c r="AJ159" s="665"/>
      <c r="AK159" s="665"/>
      <c r="AL159" s="665"/>
      <c r="AM159" s="665"/>
      <c r="AN159" s="665"/>
      <c r="AO159" s="681"/>
      <c r="AP159" s="681"/>
      <c r="AQ159" s="681"/>
      <c r="AR159" s="681"/>
    </row>
    <row r="160" spans="28:44" s="514" customFormat="1" x14ac:dyDescent="0.25">
      <c r="AB160" s="665"/>
      <c r="AC160" s="665"/>
      <c r="AD160" s="665"/>
      <c r="AE160" s="665"/>
      <c r="AF160" s="665"/>
      <c r="AG160" s="665"/>
      <c r="AH160" s="665"/>
      <c r="AI160" s="719"/>
      <c r="AJ160" s="665"/>
      <c r="AK160" s="665"/>
      <c r="AL160" s="665"/>
      <c r="AM160" s="665"/>
      <c r="AN160" s="665"/>
      <c r="AO160" s="681"/>
      <c r="AP160" s="681"/>
      <c r="AQ160" s="681"/>
      <c r="AR160" s="681"/>
    </row>
    <row r="161" spans="28:44" s="514" customFormat="1" x14ac:dyDescent="0.25">
      <c r="AB161" s="665"/>
      <c r="AC161" s="665"/>
      <c r="AD161" s="665"/>
      <c r="AE161" s="665"/>
      <c r="AF161" s="665"/>
      <c r="AG161" s="665"/>
      <c r="AH161" s="665"/>
      <c r="AI161" s="719"/>
      <c r="AJ161" s="665"/>
      <c r="AK161" s="665"/>
      <c r="AL161" s="665"/>
      <c r="AM161" s="665"/>
      <c r="AN161" s="665"/>
      <c r="AO161" s="681"/>
      <c r="AP161" s="681"/>
      <c r="AQ161" s="681"/>
      <c r="AR161" s="681"/>
    </row>
    <row r="162" spans="28:44" s="514" customFormat="1" x14ac:dyDescent="0.25">
      <c r="AB162" s="665"/>
      <c r="AC162" s="665"/>
      <c r="AD162" s="665"/>
      <c r="AE162" s="665"/>
      <c r="AF162" s="665"/>
      <c r="AG162" s="665"/>
      <c r="AH162" s="665"/>
      <c r="AI162" s="719"/>
      <c r="AJ162" s="665"/>
      <c r="AK162" s="665"/>
      <c r="AL162" s="665"/>
      <c r="AM162" s="665"/>
      <c r="AN162" s="665"/>
      <c r="AO162" s="681"/>
      <c r="AP162" s="681"/>
      <c r="AQ162" s="681"/>
      <c r="AR162" s="681"/>
    </row>
    <row r="163" spans="28:44" s="514" customFormat="1" x14ac:dyDescent="0.25">
      <c r="AB163" s="665"/>
      <c r="AC163" s="665"/>
      <c r="AD163" s="665"/>
      <c r="AE163" s="665"/>
      <c r="AF163" s="665"/>
      <c r="AG163" s="665"/>
      <c r="AH163" s="665"/>
      <c r="AI163" s="719"/>
      <c r="AJ163" s="665"/>
      <c r="AK163" s="665"/>
      <c r="AL163" s="665"/>
      <c r="AM163" s="665"/>
      <c r="AN163" s="665"/>
      <c r="AO163" s="681"/>
      <c r="AP163" s="681"/>
      <c r="AQ163" s="681"/>
      <c r="AR163" s="681"/>
    </row>
    <row r="164" spans="28:44" s="514" customFormat="1" x14ac:dyDescent="0.25">
      <c r="AB164" s="665"/>
      <c r="AC164" s="665"/>
      <c r="AD164" s="665"/>
      <c r="AE164" s="665"/>
      <c r="AF164" s="665"/>
      <c r="AG164" s="665"/>
      <c r="AH164" s="665"/>
      <c r="AI164" s="719"/>
      <c r="AJ164" s="665"/>
      <c r="AK164" s="665"/>
      <c r="AL164" s="665"/>
      <c r="AM164" s="665"/>
      <c r="AN164" s="665"/>
      <c r="AO164" s="681"/>
      <c r="AP164" s="681"/>
      <c r="AQ164" s="681"/>
      <c r="AR164" s="681"/>
    </row>
    <row r="165" spans="28:44" s="514" customFormat="1" x14ac:dyDescent="0.25">
      <c r="AB165" s="665"/>
      <c r="AC165" s="665"/>
      <c r="AD165" s="665"/>
      <c r="AE165" s="665"/>
      <c r="AF165" s="665"/>
      <c r="AG165" s="665"/>
      <c r="AH165" s="665"/>
      <c r="AI165" s="719"/>
      <c r="AJ165" s="665"/>
      <c r="AK165" s="665"/>
      <c r="AL165" s="665"/>
      <c r="AM165" s="665"/>
      <c r="AN165" s="665"/>
      <c r="AO165" s="681"/>
      <c r="AP165" s="681"/>
      <c r="AQ165" s="681"/>
      <c r="AR165" s="681"/>
    </row>
    <row r="166" spans="28:44" s="514" customFormat="1" x14ac:dyDescent="0.25">
      <c r="AB166" s="665"/>
      <c r="AC166" s="665"/>
      <c r="AD166" s="665"/>
      <c r="AE166" s="665"/>
      <c r="AF166" s="665"/>
      <c r="AG166" s="665"/>
      <c r="AH166" s="665"/>
      <c r="AI166" s="719"/>
      <c r="AJ166" s="665"/>
      <c r="AK166" s="665"/>
      <c r="AL166" s="665"/>
      <c r="AM166" s="665"/>
      <c r="AN166" s="665"/>
      <c r="AO166" s="681"/>
      <c r="AP166" s="681"/>
      <c r="AQ166" s="681"/>
      <c r="AR166" s="681"/>
    </row>
    <row r="167" spans="28:44" s="514" customFormat="1" x14ac:dyDescent="0.25">
      <c r="AB167" s="665"/>
      <c r="AC167" s="665"/>
      <c r="AD167" s="665"/>
      <c r="AE167" s="665"/>
      <c r="AF167" s="665"/>
      <c r="AG167" s="665"/>
      <c r="AH167" s="665"/>
      <c r="AI167" s="719"/>
      <c r="AJ167" s="665"/>
      <c r="AK167" s="665"/>
      <c r="AL167" s="665"/>
      <c r="AM167" s="665"/>
      <c r="AN167" s="665"/>
      <c r="AO167" s="681"/>
      <c r="AP167" s="681"/>
      <c r="AQ167" s="681"/>
      <c r="AR167" s="681"/>
    </row>
    <row r="168" spans="28:44" s="514" customFormat="1" x14ac:dyDescent="0.25">
      <c r="AB168" s="665"/>
      <c r="AC168" s="665"/>
      <c r="AD168" s="665"/>
      <c r="AE168" s="665"/>
      <c r="AF168" s="665"/>
      <c r="AG168" s="665"/>
      <c r="AH168" s="665"/>
      <c r="AI168" s="719"/>
      <c r="AJ168" s="665"/>
      <c r="AK168" s="665"/>
      <c r="AL168" s="665"/>
      <c r="AM168" s="665"/>
      <c r="AN168" s="665"/>
      <c r="AO168" s="681"/>
      <c r="AP168" s="681"/>
      <c r="AQ168" s="681"/>
      <c r="AR168" s="681"/>
    </row>
    <row r="169" spans="28:44" s="514" customFormat="1" x14ac:dyDescent="0.25">
      <c r="AB169" s="665"/>
      <c r="AC169" s="665"/>
      <c r="AD169" s="665"/>
      <c r="AE169" s="665"/>
      <c r="AF169" s="665"/>
      <c r="AG169" s="665"/>
      <c r="AH169" s="665"/>
      <c r="AI169" s="719"/>
      <c r="AJ169" s="665"/>
      <c r="AK169" s="665"/>
      <c r="AL169" s="665"/>
      <c r="AM169" s="665"/>
      <c r="AN169" s="665"/>
      <c r="AO169" s="681"/>
      <c r="AP169" s="681"/>
      <c r="AQ169" s="681"/>
      <c r="AR169" s="681"/>
    </row>
    <row r="170" spans="28:44" s="514" customFormat="1" x14ac:dyDescent="0.25">
      <c r="AB170" s="665"/>
      <c r="AC170" s="665"/>
      <c r="AD170" s="665"/>
      <c r="AE170" s="665"/>
      <c r="AF170" s="665"/>
      <c r="AG170" s="665"/>
      <c r="AH170" s="665"/>
      <c r="AI170" s="719"/>
      <c r="AJ170" s="665"/>
      <c r="AK170" s="665"/>
      <c r="AL170" s="665"/>
      <c r="AM170" s="665"/>
      <c r="AN170" s="665"/>
      <c r="AO170" s="681"/>
      <c r="AP170" s="681"/>
      <c r="AQ170" s="681"/>
      <c r="AR170" s="681"/>
    </row>
    <row r="171" spans="28:44" s="514" customFormat="1" x14ac:dyDescent="0.25">
      <c r="AB171" s="665"/>
      <c r="AC171" s="665"/>
      <c r="AD171" s="665"/>
      <c r="AE171" s="665"/>
      <c r="AF171" s="665"/>
      <c r="AG171" s="665"/>
      <c r="AH171" s="665"/>
      <c r="AI171" s="719"/>
      <c r="AJ171" s="665"/>
      <c r="AK171" s="665"/>
      <c r="AL171" s="665"/>
      <c r="AM171" s="665"/>
      <c r="AN171" s="665"/>
      <c r="AO171" s="681"/>
      <c r="AP171" s="681"/>
      <c r="AQ171" s="681"/>
      <c r="AR171" s="681"/>
    </row>
    <row r="172" spans="28:44" s="514" customFormat="1" x14ac:dyDescent="0.25">
      <c r="AB172" s="665"/>
      <c r="AC172" s="665"/>
      <c r="AD172" s="665"/>
      <c r="AE172" s="665"/>
      <c r="AF172" s="665"/>
      <c r="AG172" s="665"/>
      <c r="AH172" s="665"/>
      <c r="AI172" s="719"/>
      <c r="AJ172" s="665"/>
      <c r="AK172" s="665"/>
      <c r="AL172" s="665"/>
      <c r="AM172" s="665"/>
      <c r="AN172" s="665"/>
      <c r="AO172" s="681"/>
      <c r="AP172" s="681"/>
      <c r="AQ172" s="681"/>
      <c r="AR172" s="681"/>
    </row>
    <row r="173" spans="28:44" s="514" customFormat="1" x14ac:dyDescent="0.25">
      <c r="AB173" s="665"/>
      <c r="AC173" s="665"/>
      <c r="AD173" s="665"/>
      <c r="AE173" s="665"/>
      <c r="AF173" s="665"/>
      <c r="AG173" s="665"/>
      <c r="AH173" s="665"/>
      <c r="AI173" s="719"/>
      <c r="AJ173" s="665"/>
      <c r="AK173" s="665"/>
      <c r="AL173" s="665"/>
      <c r="AM173" s="665"/>
      <c r="AN173" s="665"/>
      <c r="AO173" s="681"/>
      <c r="AP173" s="681"/>
      <c r="AQ173" s="681"/>
      <c r="AR173" s="681"/>
    </row>
    <row r="174" spans="28:44" s="514" customFormat="1" x14ac:dyDescent="0.25">
      <c r="AB174" s="665"/>
      <c r="AC174" s="665"/>
      <c r="AD174" s="665"/>
      <c r="AE174" s="665"/>
      <c r="AF174" s="665"/>
      <c r="AG174" s="665"/>
      <c r="AH174" s="665"/>
      <c r="AI174" s="719"/>
      <c r="AJ174" s="665"/>
      <c r="AK174" s="665"/>
      <c r="AL174" s="665"/>
      <c r="AM174" s="665"/>
      <c r="AN174" s="665"/>
      <c r="AO174" s="681"/>
      <c r="AP174" s="681"/>
      <c r="AQ174" s="681"/>
      <c r="AR174" s="681"/>
    </row>
    <row r="175" spans="28:44" s="514" customFormat="1" x14ac:dyDescent="0.25">
      <c r="AB175" s="665"/>
      <c r="AC175" s="665"/>
      <c r="AD175" s="665"/>
      <c r="AE175" s="665"/>
      <c r="AF175" s="665"/>
      <c r="AG175" s="665"/>
      <c r="AH175" s="665"/>
      <c r="AI175" s="719"/>
      <c r="AJ175" s="665"/>
      <c r="AK175" s="665"/>
      <c r="AL175" s="665"/>
      <c r="AM175" s="665"/>
      <c r="AN175" s="665"/>
      <c r="AO175" s="681"/>
      <c r="AP175" s="681"/>
      <c r="AQ175" s="681"/>
      <c r="AR175" s="681"/>
    </row>
    <row r="176" spans="28:44" s="514" customFormat="1" x14ac:dyDescent="0.25">
      <c r="AB176" s="665"/>
      <c r="AC176" s="665"/>
      <c r="AD176" s="665"/>
      <c r="AE176" s="665"/>
      <c r="AF176" s="665"/>
      <c r="AG176" s="665"/>
      <c r="AH176" s="665"/>
      <c r="AI176" s="719"/>
      <c r="AJ176" s="665"/>
      <c r="AK176" s="665"/>
      <c r="AL176" s="665"/>
      <c r="AM176" s="665"/>
      <c r="AN176" s="665"/>
      <c r="AO176" s="681"/>
      <c r="AP176" s="681"/>
      <c r="AQ176" s="681"/>
      <c r="AR176" s="681"/>
    </row>
    <row r="177" spans="28:44" s="514" customFormat="1" x14ac:dyDescent="0.25">
      <c r="AB177" s="665"/>
      <c r="AC177" s="665"/>
      <c r="AD177" s="665"/>
      <c r="AE177" s="665"/>
      <c r="AF177" s="665"/>
      <c r="AG177" s="665"/>
      <c r="AH177" s="665"/>
      <c r="AI177" s="719"/>
      <c r="AJ177" s="665"/>
      <c r="AK177" s="665"/>
      <c r="AL177" s="665"/>
      <c r="AM177" s="665"/>
      <c r="AN177" s="665"/>
      <c r="AO177" s="681"/>
      <c r="AP177" s="681"/>
      <c r="AQ177" s="681"/>
      <c r="AR177" s="681"/>
    </row>
    <row r="178" spans="28:44" s="514" customFormat="1" x14ac:dyDescent="0.25">
      <c r="AB178" s="665"/>
      <c r="AC178" s="665"/>
      <c r="AD178" s="665"/>
      <c r="AE178" s="665"/>
      <c r="AF178" s="665"/>
      <c r="AG178" s="665"/>
      <c r="AH178" s="665"/>
      <c r="AI178" s="719"/>
      <c r="AJ178" s="665"/>
      <c r="AK178" s="665"/>
      <c r="AL178" s="665"/>
      <c r="AM178" s="665"/>
      <c r="AN178" s="665"/>
      <c r="AO178" s="681"/>
      <c r="AP178" s="681"/>
      <c r="AQ178" s="681"/>
      <c r="AR178" s="681"/>
    </row>
    <row r="179" spans="28:44" s="514" customFormat="1" x14ac:dyDescent="0.25">
      <c r="AB179" s="665"/>
      <c r="AC179" s="665"/>
      <c r="AD179" s="665"/>
      <c r="AE179" s="665"/>
      <c r="AF179" s="665"/>
      <c r="AG179" s="665"/>
      <c r="AH179" s="665"/>
      <c r="AI179" s="719"/>
      <c r="AJ179" s="665"/>
      <c r="AK179" s="665"/>
      <c r="AL179" s="665"/>
      <c r="AM179" s="665"/>
      <c r="AN179" s="665"/>
      <c r="AO179" s="681"/>
      <c r="AP179" s="681"/>
      <c r="AQ179" s="681"/>
      <c r="AR179" s="681"/>
    </row>
    <row r="180" spans="28:44" s="514" customFormat="1" x14ac:dyDescent="0.25">
      <c r="AB180" s="665"/>
      <c r="AC180" s="665"/>
      <c r="AD180" s="665"/>
      <c r="AE180" s="665"/>
      <c r="AF180" s="665"/>
      <c r="AG180" s="665"/>
      <c r="AH180" s="665"/>
      <c r="AI180" s="719"/>
      <c r="AJ180" s="665"/>
      <c r="AK180" s="665"/>
      <c r="AL180" s="665"/>
      <c r="AM180" s="665"/>
      <c r="AN180" s="665"/>
      <c r="AO180" s="681"/>
      <c r="AP180" s="681"/>
      <c r="AQ180" s="681"/>
      <c r="AR180" s="681"/>
    </row>
    <row r="181" spans="28:44" s="514" customFormat="1" x14ac:dyDescent="0.25">
      <c r="AB181" s="665"/>
      <c r="AC181" s="665"/>
      <c r="AD181" s="665"/>
      <c r="AE181" s="665"/>
      <c r="AF181" s="665"/>
      <c r="AG181" s="665"/>
      <c r="AH181" s="665"/>
      <c r="AI181" s="719"/>
      <c r="AJ181" s="665"/>
      <c r="AK181" s="665"/>
      <c r="AL181" s="665"/>
      <c r="AM181" s="665"/>
      <c r="AN181" s="665"/>
      <c r="AO181" s="681"/>
      <c r="AP181" s="681"/>
      <c r="AQ181" s="681"/>
      <c r="AR181" s="681"/>
    </row>
    <row r="182" spans="28:44" s="514" customFormat="1" x14ac:dyDescent="0.25">
      <c r="AB182" s="665"/>
      <c r="AC182" s="665"/>
      <c r="AD182" s="665"/>
      <c r="AE182" s="665"/>
      <c r="AF182" s="665"/>
      <c r="AG182" s="665"/>
      <c r="AH182" s="665"/>
      <c r="AI182" s="719"/>
      <c r="AJ182" s="665"/>
      <c r="AK182" s="665"/>
      <c r="AL182" s="665"/>
      <c r="AM182" s="665"/>
      <c r="AN182" s="665"/>
      <c r="AO182" s="681"/>
      <c r="AP182" s="681"/>
      <c r="AQ182" s="681"/>
      <c r="AR182" s="681"/>
    </row>
    <row r="183" spans="28:44" s="514" customFormat="1" x14ac:dyDescent="0.25">
      <c r="AB183" s="665"/>
      <c r="AC183" s="665"/>
      <c r="AD183" s="665"/>
      <c r="AE183" s="665"/>
      <c r="AF183" s="665"/>
      <c r="AG183" s="665"/>
      <c r="AH183" s="665"/>
      <c r="AI183" s="719"/>
      <c r="AJ183" s="665"/>
      <c r="AK183" s="665"/>
      <c r="AL183" s="665"/>
      <c r="AM183" s="665"/>
      <c r="AN183" s="665"/>
      <c r="AO183" s="681"/>
      <c r="AP183" s="681"/>
      <c r="AQ183" s="681"/>
      <c r="AR183" s="681"/>
    </row>
    <row r="184" spans="28:44" s="514" customFormat="1" x14ac:dyDescent="0.25">
      <c r="AB184" s="665"/>
      <c r="AC184" s="665"/>
      <c r="AD184" s="665"/>
      <c r="AE184" s="665"/>
      <c r="AF184" s="665"/>
      <c r="AG184" s="665"/>
      <c r="AH184" s="665"/>
      <c r="AI184" s="719"/>
      <c r="AJ184" s="665"/>
      <c r="AK184" s="665"/>
      <c r="AL184" s="665"/>
      <c r="AM184" s="665"/>
      <c r="AN184" s="665"/>
      <c r="AO184" s="681"/>
      <c r="AP184" s="681"/>
      <c r="AQ184" s="681"/>
      <c r="AR184" s="681"/>
    </row>
    <row r="185" spans="28:44" s="514" customFormat="1" x14ac:dyDescent="0.25">
      <c r="AB185" s="665"/>
      <c r="AC185" s="665"/>
      <c r="AD185" s="665"/>
      <c r="AE185" s="665"/>
      <c r="AF185" s="665"/>
      <c r="AG185" s="665"/>
      <c r="AH185" s="665"/>
      <c r="AI185" s="719"/>
      <c r="AJ185" s="665"/>
      <c r="AK185" s="665"/>
      <c r="AL185" s="665"/>
      <c r="AM185" s="665"/>
      <c r="AN185" s="665"/>
      <c r="AO185" s="681"/>
      <c r="AP185" s="681"/>
      <c r="AQ185" s="681"/>
      <c r="AR185" s="681"/>
    </row>
    <row r="186" spans="28:44" s="514" customFormat="1" x14ac:dyDescent="0.25">
      <c r="AB186" s="665"/>
      <c r="AC186" s="665"/>
      <c r="AD186" s="665"/>
      <c r="AE186" s="665"/>
      <c r="AF186" s="665"/>
      <c r="AG186" s="665"/>
      <c r="AH186" s="665"/>
      <c r="AI186" s="719"/>
      <c r="AJ186" s="665"/>
      <c r="AK186" s="665"/>
      <c r="AL186" s="665"/>
      <c r="AM186" s="665"/>
      <c r="AN186" s="665"/>
      <c r="AO186" s="681"/>
      <c r="AP186" s="681"/>
      <c r="AQ186" s="681"/>
      <c r="AR186" s="681"/>
    </row>
    <row r="187" spans="28:44" s="514" customFormat="1" x14ac:dyDescent="0.25">
      <c r="AB187" s="665"/>
      <c r="AC187" s="665"/>
      <c r="AD187" s="665"/>
      <c r="AE187" s="665"/>
      <c r="AF187" s="665"/>
      <c r="AG187" s="665"/>
      <c r="AH187" s="665"/>
      <c r="AI187" s="719"/>
      <c r="AJ187" s="665"/>
      <c r="AK187" s="665"/>
      <c r="AL187" s="665"/>
      <c r="AM187" s="665"/>
      <c r="AN187" s="665"/>
      <c r="AO187" s="681"/>
      <c r="AP187" s="681"/>
      <c r="AQ187" s="681"/>
      <c r="AR187" s="681"/>
    </row>
    <row r="188" spans="28:44" s="514" customFormat="1" x14ac:dyDescent="0.25">
      <c r="AB188" s="665"/>
      <c r="AC188" s="665"/>
      <c r="AD188" s="665"/>
      <c r="AE188" s="665"/>
      <c r="AF188" s="665"/>
      <c r="AG188" s="665"/>
      <c r="AH188" s="665"/>
      <c r="AI188" s="719"/>
      <c r="AJ188" s="665"/>
      <c r="AK188" s="665"/>
      <c r="AL188" s="665"/>
      <c r="AM188" s="665"/>
      <c r="AN188" s="665"/>
      <c r="AO188" s="681"/>
      <c r="AP188" s="681"/>
      <c r="AQ188" s="681"/>
      <c r="AR188" s="681"/>
    </row>
    <row r="189" spans="28:44" s="514" customFormat="1" x14ac:dyDescent="0.25">
      <c r="AB189" s="665"/>
      <c r="AC189" s="665"/>
      <c r="AD189" s="665"/>
      <c r="AE189" s="665"/>
      <c r="AF189" s="665"/>
      <c r="AG189" s="665"/>
      <c r="AH189" s="665"/>
      <c r="AI189" s="719"/>
      <c r="AJ189" s="665"/>
      <c r="AK189" s="665"/>
      <c r="AL189" s="665"/>
      <c r="AM189" s="665"/>
      <c r="AN189" s="665"/>
      <c r="AO189" s="681"/>
      <c r="AP189" s="681"/>
      <c r="AQ189" s="681"/>
      <c r="AR189" s="681"/>
    </row>
    <row r="190" spans="28:44" s="514" customFormat="1" x14ac:dyDescent="0.25">
      <c r="AB190" s="665"/>
      <c r="AC190" s="665"/>
      <c r="AD190" s="665"/>
      <c r="AE190" s="665"/>
      <c r="AF190" s="665"/>
      <c r="AG190" s="665"/>
      <c r="AH190" s="665"/>
      <c r="AI190" s="719"/>
      <c r="AJ190" s="665"/>
      <c r="AK190" s="665"/>
      <c r="AL190" s="665"/>
      <c r="AM190" s="665"/>
      <c r="AN190" s="665"/>
      <c r="AO190" s="681"/>
      <c r="AP190" s="681"/>
      <c r="AQ190" s="681"/>
      <c r="AR190" s="681"/>
    </row>
    <row r="191" spans="28:44" s="514" customFormat="1" x14ac:dyDescent="0.25">
      <c r="AB191" s="665"/>
      <c r="AC191" s="665"/>
      <c r="AD191" s="665"/>
      <c r="AE191" s="665"/>
      <c r="AF191" s="665"/>
      <c r="AG191" s="665"/>
      <c r="AH191" s="665"/>
      <c r="AI191" s="719"/>
      <c r="AJ191" s="665"/>
      <c r="AK191" s="665"/>
      <c r="AL191" s="665"/>
      <c r="AM191" s="665"/>
      <c r="AN191" s="665"/>
      <c r="AO191" s="681"/>
      <c r="AP191" s="681"/>
      <c r="AQ191" s="681"/>
      <c r="AR191" s="681"/>
    </row>
    <row r="192" spans="28:44" s="514" customFormat="1" x14ac:dyDescent="0.25">
      <c r="AB192" s="665"/>
      <c r="AC192" s="665"/>
      <c r="AD192" s="665"/>
      <c r="AE192" s="665"/>
      <c r="AF192" s="665"/>
      <c r="AG192" s="665"/>
      <c r="AH192" s="665"/>
      <c r="AI192" s="719"/>
      <c r="AJ192" s="665"/>
      <c r="AK192" s="665"/>
      <c r="AL192" s="665"/>
      <c r="AM192" s="665"/>
      <c r="AN192" s="665"/>
      <c r="AO192" s="681"/>
      <c r="AP192" s="681"/>
      <c r="AQ192" s="681"/>
      <c r="AR192" s="681"/>
    </row>
    <row r="193" spans="28:44" s="514" customFormat="1" x14ac:dyDescent="0.25">
      <c r="AB193" s="665"/>
      <c r="AC193" s="665"/>
      <c r="AD193" s="665"/>
      <c r="AE193" s="665"/>
      <c r="AF193" s="665"/>
      <c r="AG193" s="665"/>
      <c r="AH193" s="665"/>
      <c r="AI193" s="719"/>
      <c r="AJ193" s="665"/>
      <c r="AK193" s="665"/>
      <c r="AL193" s="665"/>
      <c r="AM193" s="665"/>
      <c r="AN193" s="665"/>
      <c r="AO193" s="681"/>
      <c r="AP193" s="681"/>
      <c r="AQ193" s="681"/>
      <c r="AR193" s="681"/>
    </row>
    <row r="194" spans="28:44" s="514" customFormat="1" x14ac:dyDescent="0.25">
      <c r="AB194" s="665"/>
      <c r="AC194" s="665"/>
      <c r="AD194" s="665"/>
      <c r="AE194" s="665"/>
      <c r="AF194" s="665"/>
      <c r="AG194" s="665"/>
      <c r="AH194" s="665"/>
      <c r="AI194" s="719"/>
      <c r="AJ194" s="665"/>
      <c r="AK194" s="665"/>
      <c r="AL194" s="665"/>
      <c r="AM194" s="665"/>
      <c r="AN194" s="665"/>
      <c r="AO194" s="681"/>
      <c r="AP194" s="681"/>
      <c r="AQ194" s="681"/>
      <c r="AR194" s="681"/>
    </row>
    <row r="195" spans="28:44" s="514" customFormat="1" x14ac:dyDescent="0.25">
      <c r="AB195" s="665"/>
      <c r="AC195" s="665"/>
      <c r="AD195" s="665"/>
      <c r="AE195" s="665"/>
      <c r="AF195" s="665"/>
      <c r="AG195" s="665"/>
      <c r="AH195" s="665"/>
      <c r="AI195" s="719"/>
      <c r="AJ195" s="665"/>
      <c r="AK195" s="665"/>
      <c r="AL195" s="665"/>
      <c r="AM195" s="665"/>
      <c r="AN195" s="665"/>
      <c r="AO195" s="681"/>
      <c r="AP195" s="681"/>
      <c r="AQ195" s="681"/>
      <c r="AR195" s="681"/>
    </row>
    <row r="196" spans="28:44" s="514" customFormat="1" x14ac:dyDescent="0.25">
      <c r="AB196" s="665"/>
      <c r="AC196" s="665"/>
      <c r="AD196" s="665"/>
      <c r="AE196" s="665"/>
      <c r="AF196" s="665"/>
      <c r="AG196" s="665"/>
      <c r="AH196" s="665"/>
      <c r="AI196" s="719"/>
      <c r="AJ196" s="665"/>
      <c r="AK196" s="665"/>
      <c r="AL196" s="665"/>
      <c r="AM196" s="665"/>
      <c r="AN196" s="665"/>
      <c r="AO196" s="681"/>
      <c r="AP196" s="681"/>
      <c r="AQ196" s="681"/>
      <c r="AR196" s="681"/>
    </row>
    <row r="197" spans="28:44" s="514" customFormat="1" x14ac:dyDescent="0.25">
      <c r="AB197" s="665"/>
      <c r="AC197" s="665"/>
      <c r="AD197" s="665"/>
      <c r="AE197" s="665"/>
      <c r="AF197" s="665"/>
      <c r="AG197" s="665"/>
      <c r="AH197" s="665"/>
      <c r="AI197" s="719"/>
      <c r="AJ197" s="665"/>
      <c r="AK197" s="665"/>
      <c r="AL197" s="665"/>
      <c r="AM197" s="665"/>
      <c r="AN197" s="665"/>
      <c r="AO197" s="681"/>
      <c r="AP197" s="681"/>
      <c r="AQ197" s="681"/>
      <c r="AR197" s="681"/>
    </row>
    <row r="198" spans="28:44" s="514" customFormat="1" x14ac:dyDescent="0.25">
      <c r="AB198" s="665"/>
      <c r="AC198" s="665"/>
      <c r="AD198" s="665"/>
      <c r="AE198" s="665"/>
      <c r="AF198" s="665"/>
      <c r="AG198" s="665"/>
      <c r="AH198" s="665"/>
      <c r="AI198" s="719"/>
      <c r="AJ198" s="665"/>
      <c r="AK198" s="665"/>
      <c r="AL198" s="665"/>
      <c r="AM198" s="665"/>
      <c r="AN198" s="665"/>
      <c r="AO198" s="681"/>
      <c r="AP198" s="681"/>
      <c r="AQ198" s="681"/>
      <c r="AR198" s="681"/>
    </row>
    <row r="199" spans="28:44" s="514" customFormat="1" x14ac:dyDescent="0.25">
      <c r="AB199" s="665"/>
      <c r="AC199" s="665"/>
      <c r="AD199" s="665"/>
      <c r="AE199" s="665"/>
      <c r="AF199" s="665"/>
      <c r="AG199" s="665"/>
      <c r="AH199" s="665"/>
      <c r="AI199" s="719"/>
      <c r="AJ199" s="665"/>
      <c r="AK199" s="665"/>
      <c r="AL199" s="665"/>
      <c r="AM199" s="665"/>
      <c r="AN199" s="665"/>
      <c r="AO199" s="681"/>
      <c r="AP199" s="681"/>
      <c r="AQ199" s="681"/>
      <c r="AR199" s="681"/>
    </row>
    <row r="200" spans="28:44" s="514" customFormat="1" x14ac:dyDescent="0.25">
      <c r="AB200" s="665"/>
      <c r="AC200" s="665"/>
      <c r="AD200" s="665"/>
      <c r="AE200" s="665"/>
      <c r="AF200" s="665"/>
      <c r="AG200" s="665"/>
      <c r="AH200" s="665"/>
      <c r="AI200" s="719"/>
      <c r="AJ200" s="665"/>
      <c r="AK200" s="665"/>
      <c r="AL200" s="665"/>
      <c r="AM200" s="665"/>
      <c r="AN200" s="665"/>
      <c r="AO200" s="681"/>
      <c r="AP200" s="681"/>
      <c r="AQ200" s="681"/>
      <c r="AR200" s="681"/>
    </row>
    <row r="201" spans="28:44" s="514" customFormat="1" x14ac:dyDescent="0.25">
      <c r="AB201" s="665"/>
      <c r="AC201" s="665"/>
      <c r="AD201" s="665"/>
      <c r="AE201" s="665"/>
      <c r="AF201" s="665"/>
      <c r="AG201" s="665"/>
      <c r="AH201" s="665"/>
      <c r="AI201" s="719"/>
      <c r="AJ201" s="665"/>
      <c r="AK201" s="665"/>
      <c r="AL201" s="665"/>
      <c r="AM201" s="665"/>
      <c r="AN201" s="665"/>
      <c r="AO201" s="681"/>
      <c r="AP201" s="681"/>
      <c r="AQ201" s="681"/>
      <c r="AR201" s="681"/>
    </row>
    <row r="202" spans="28:44" s="514" customFormat="1" x14ac:dyDescent="0.25">
      <c r="AB202" s="665"/>
      <c r="AC202" s="665"/>
      <c r="AD202" s="665"/>
      <c r="AE202" s="665"/>
      <c r="AF202" s="665"/>
      <c r="AG202" s="665"/>
      <c r="AH202" s="665"/>
      <c r="AI202" s="719"/>
      <c r="AJ202" s="665"/>
      <c r="AK202" s="665"/>
      <c r="AL202" s="665"/>
      <c r="AM202" s="665"/>
      <c r="AN202" s="665"/>
      <c r="AO202" s="681"/>
      <c r="AP202" s="681"/>
      <c r="AQ202" s="681"/>
      <c r="AR202" s="681"/>
    </row>
    <row r="203" spans="28:44" s="514" customFormat="1" x14ac:dyDescent="0.25">
      <c r="AB203" s="665"/>
      <c r="AC203" s="665"/>
      <c r="AD203" s="665"/>
      <c r="AE203" s="665"/>
      <c r="AF203" s="665"/>
      <c r="AG203" s="665"/>
      <c r="AH203" s="665"/>
      <c r="AI203" s="719"/>
      <c r="AJ203" s="665"/>
      <c r="AK203" s="665"/>
      <c r="AL203" s="665"/>
      <c r="AM203" s="665"/>
      <c r="AN203" s="665"/>
      <c r="AO203" s="681"/>
      <c r="AP203" s="681"/>
      <c r="AQ203" s="681"/>
      <c r="AR203" s="681"/>
    </row>
    <row r="204" spans="28:44" s="514" customFormat="1" x14ac:dyDescent="0.25">
      <c r="AB204" s="665"/>
      <c r="AC204" s="665"/>
      <c r="AD204" s="665"/>
      <c r="AE204" s="665"/>
      <c r="AF204" s="665"/>
      <c r="AG204" s="665"/>
      <c r="AH204" s="665"/>
      <c r="AI204" s="719"/>
      <c r="AJ204" s="665"/>
      <c r="AK204" s="665"/>
      <c r="AL204" s="665"/>
      <c r="AM204" s="665"/>
      <c r="AN204" s="665"/>
      <c r="AO204" s="681"/>
      <c r="AP204" s="681"/>
      <c r="AQ204" s="681"/>
      <c r="AR204" s="681"/>
    </row>
    <row r="205" spans="28:44" s="514" customFormat="1" x14ac:dyDescent="0.25">
      <c r="AB205" s="665"/>
      <c r="AC205" s="665"/>
      <c r="AD205" s="665"/>
      <c r="AE205" s="665"/>
      <c r="AF205" s="665"/>
      <c r="AG205" s="665"/>
      <c r="AH205" s="665"/>
      <c r="AI205" s="719"/>
      <c r="AJ205" s="665"/>
      <c r="AK205" s="665"/>
      <c r="AL205" s="665"/>
      <c r="AM205" s="665"/>
      <c r="AN205" s="665"/>
      <c r="AO205" s="681"/>
      <c r="AP205" s="681"/>
      <c r="AQ205" s="681"/>
      <c r="AR205" s="681"/>
    </row>
    <row r="206" spans="28:44" s="514" customFormat="1" x14ac:dyDescent="0.25">
      <c r="AB206" s="665"/>
      <c r="AC206" s="665"/>
      <c r="AD206" s="665"/>
      <c r="AE206" s="665"/>
      <c r="AF206" s="665"/>
      <c r="AG206" s="665"/>
      <c r="AH206" s="665"/>
      <c r="AI206" s="719"/>
      <c r="AJ206" s="665"/>
      <c r="AK206" s="665"/>
      <c r="AL206" s="665"/>
      <c r="AM206" s="665"/>
      <c r="AN206" s="665"/>
      <c r="AO206" s="681"/>
      <c r="AP206" s="681"/>
      <c r="AQ206" s="681"/>
      <c r="AR206" s="681"/>
    </row>
    <row r="207" spans="28:44" s="514" customFormat="1" x14ac:dyDescent="0.25">
      <c r="AB207" s="665"/>
      <c r="AC207" s="665"/>
      <c r="AD207" s="665"/>
      <c r="AE207" s="665"/>
      <c r="AF207" s="665"/>
      <c r="AG207" s="665"/>
      <c r="AH207" s="665"/>
      <c r="AI207" s="719"/>
      <c r="AJ207" s="665"/>
      <c r="AK207" s="665"/>
      <c r="AL207" s="665"/>
      <c r="AM207" s="665"/>
      <c r="AN207" s="665"/>
      <c r="AO207" s="681"/>
      <c r="AP207" s="681"/>
      <c r="AQ207" s="681"/>
      <c r="AR207" s="681"/>
    </row>
    <row r="208" spans="28:44" s="514" customFormat="1" x14ac:dyDescent="0.25">
      <c r="AB208" s="665"/>
      <c r="AC208" s="665"/>
      <c r="AD208" s="665"/>
      <c r="AE208" s="665"/>
      <c r="AF208" s="665"/>
      <c r="AG208" s="665"/>
      <c r="AH208" s="665"/>
      <c r="AI208" s="719"/>
      <c r="AJ208" s="665"/>
      <c r="AK208" s="665"/>
      <c r="AL208" s="665"/>
      <c r="AM208" s="665"/>
      <c r="AN208" s="665"/>
      <c r="AO208" s="681"/>
      <c r="AP208" s="681"/>
      <c r="AQ208" s="681"/>
      <c r="AR208" s="681"/>
    </row>
    <row r="209" spans="28:44" s="514" customFormat="1" x14ac:dyDescent="0.25">
      <c r="AB209" s="665"/>
      <c r="AC209" s="665"/>
      <c r="AD209" s="665"/>
      <c r="AE209" s="665"/>
      <c r="AF209" s="665"/>
      <c r="AG209" s="665"/>
      <c r="AH209" s="665"/>
      <c r="AI209" s="719"/>
      <c r="AJ209" s="665"/>
      <c r="AK209" s="665"/>
      <c r="AL209" s="665"/>
      <c r="AM209" s="665"/>
      <c r="AN209" s="665"/>
      <c r="AO209" s="681"/>
      <c r="AP209" s="681"/>
      <c r="AQ209" s="681"/>
      <c r="AR209" s="681"/>
    </row>
    <row r="210" spans="28:44" s="514" customFormat="1" x14ac:dyDescent="0.25">
      <c r="AB210" s="665"/>
      <c r="AC210" s="665"/>
      <c r="AD210" s="665"/>
      <c r="AE210" s="665"/>
      <c r="AF210" s="665"/>
      <c r="AG210" s="665"/>
      <c r="AH210" s="665"/>
      <c r="AI210" s="719"/>
      <c r="AJ210" s="665"/>
      <c r="AK210" s="665"/>
      <c r="AL210" s="665"/>
      <c r="AM210" s="665"/>
      <c r="AN210" s="665"/>
      <c r="AO210" s="681"/>
      <c r="AP210" s="681"/>
      <c r="AQ210" s="681"/>
      <c r="AR210" s="681"/>
    </row>
    <row r="211" spans="28:44" s="514" customFormat="1" x14ac:dyDescent="0.25">
      <c r="AB211" s="665"/>
      <c r="AC211" s="665"/>
      <c r="AD211" s="665"/>
      <c r="AE211" s="665"/>
      <c r="AF211" s="665"/>
      <c r="AG211" s="665"/>
      <c r="AH211" s="665"/>
      <c r="AI211" s="719"/>
      <c r="AJ211" s="665"/>
      <c r="AK211" s="665"/>
      <c r="AL211" s="665"/>
      <c r="AM211" s="665"/>
      <c r="AN211" s="665"/>
      <c r="AO211" s="681"/>
      <c r="AP211" s="681"/>
      <c r="AQ211" s="681"/>
      <c r="AR211" s="681"/>
    </row>
    <row r="212" spans="28:44" s="514" customFormat="1" x14ac:dyDescent="0.25">
      <c r="AB212" s="665"/>
      <c r="AC212" s="665"/>
      <c r="AD212" s="665"/>
      <c r="AE212" s="665"/>
      <c r="AF212" s="665"/>
      <c r="AG212" s="665"/>
      <c r="AH212" s="665"/>
      <c r="AI212" s="719"/>
      <c r="AJ212" s="665"/>
      <c r="AK212" s="665"/>
      <c r="AL212" s="665"/>
      <c r="AM212" s="665"/>
      <c r="AN212" s="665"/>
      <c r="AO212" s="681"/>
      <c r="AP212" s="681"/>
      <c r="AQ212" s="681"/>
      <c r="AR212" s="681"/>
    </row>
    <row r="213" spans="28:44" s="514" customFormat="1" x14ac:dyDescent="0.25">
      <c r="AB213" s="665"/>
      <c r="AC213" s="665"/>
      <c r="AD213" s="665"/>
      <c r="AE213" s="665"/>
      <c r="AF213" s="665"/>
      <c r="AG213" s="665"/>
      <c r="AH213" s="665"/>
      <c r="AI213" s="719"/>
      <c r="AJ213" s="665"/>
      <c r="AK213" s="665"/>
      <c r="AL213" s="665"/>
      <c r="AM213" s="665"/>
      <c r="AN213" s="665"/>
      <c r="AO213" s="681"/>
      <c r="AP213" s="681"/>
      <c r="AQ213" s="681"/>
      <c r="AR213" s="681"/>
    </row>
    <row r="214" spans="28:44" s="514" customFormat="1" x14ac:dyDescent="0.25">
      <c r="AB214" s="665"/>
      <c r="AC214" s="665"/>
      <c r="AD214" s="665"/>
      <c r="AE214" s="665"/>
      <c r="AF214" s="665"/>
      <c r="AG214" s="665"/>
      <c r="AH214" s="665"/>
      <c r="AI214" s="719"/>
      <c r="AJ214" s="665"/>
      <c r="AK214" s="665"/>
      <c r="AL214" s="665"/>
      <c r="AM214" s="665"/>
      <c r="AN214" s="665"/>
      <c r="AO214" s="681"/>
      <c r="AP214" s="681"/>
      <c r="AQ214" s="681"/>
      <c r="AR214" s="681"/>
    </row>
    <row r="215" spans="28:44" s="514" customFormat="1" x14ac:dyDescent="0.25">
      <c r="AB215" s="665"/>
      <c r="AC215" s="665"/>
      <c r="AD215" s="665"/>
      <c r="AE215" s="665"/>
      <c r="AF215" s="665"/>
      <c r="AG215" s="665"/>
      <c r="AH215" s="665"/>
      <c r="AI215" s="719"/>
      <c r="AJ215" s="665"/>
      <c r="AK215" s="665"/>
      <c r="AL215" s="665"/>
      <c r="AM215" s="665"/>
      <c r="AN215" s="665"/>
      <c r="AO215" s="681"/>
      <c r="AP215" s="681"/>
      <c r="AQ215" s="681"/>
      <c r="AR215" s="681"/>
    </row>
    <row r="216" spans="28:44" s="514" customFormat="1" x14ac:dyDescent="0.25">
      <c r="AB216" s="665"/>
      <c r="AC216" s="665"/>
      <c r="AD216" s="665"/>
      <c r="AE216" s="665"/>
      <c r="AF216" s="665"/>
      <c r="AG216" s="665"/>
      <c r="AH216" s="665"/>
      <c r="AI216" s="719"/>
      <c r="AJ216" s="665"/>
      <c r="AK216" s="665"/>
      <c r="AL216" s="665"/>
      <c r="AM216" s="665"/>
      <c r="AN216" s="665"/>
      <c r="AO216" s="681"/>
      <c r="AP216" s="681"/>
      <c r="AQ216" s="681"/>
      <c r="AR216" s="681"/>
    </row>
    <row r="217" spans="28:44" s="514" customFormat="1" x14ac:dyDescent="0.25">
      <c r="AB217" s="665"/>
      <c r="AC217" s="665"/>
      <c r="AD217" s="665"/>
      <c r="AE217" s="665"/>
      <c r="AF217" s="665"/>
      <c r="AG217" s="665"/>
      <c r="AH217" s="665"/>
      <c r="AI217" s="719"/>
      <c r="AJ217" s="665"/>
      <c r="AK217" s="665"/>
      <c r="AL217" s="665"/>
      <c r="AM217" s="665"/>
      <c r="AN217" s="665"/>
      <c r="AO217" s="681"/>
      <c r="AP217" s="681"/>
      <c r="AQ217" s="681"/>
      <c r="AR217" s="681"/>
    </row>
    <row r="218" spans="28:44" s="514" customFormat="1" x14ac:dyDescent="0.25">
      <c r="AB218" s="665"/>
      <c r="AC218" s="665"/>
      <c r="AD218" s="665"/>
      <c r="AE218" s="665"/>
      <c r="AF218" s="665"/>
      <c r="AG218" s="665"/>
      <c r="AH218" s="665"/>
      <c r="AI218" s="719"/>
      <c r="AJ218" s="665"/>
      <c r="AK218" s="665"/>
      <c r="AL218" s="665"/>
      <c r="AM218" s="665"/>
      <c r="AN218" s="665"/>
      <c r="AO218" s="681"/>
      <c r="AP218" s="681"/>
      <c r="AQ218" s="681"/>
      <c r="AR218" s="681"/>
    </row>
    <row r="219" spans="28:44" s="514" customFormat="1" x14ac:dyDescent="0.25">
      <c r="AB219" s="665"/>
      <c r="AC219" s="665"/>
      <c r="AD219" s="665"/>
      <c r="AE219" s="665"/>
      <c r="AF219" s="665"/>
      <c r="AG219" s="665"/>
      <c r="AH219" s="665"/>
      <c r="AI219" s="719"/>
      <c r="AJ219" s="665"/>
      <c r="AK219" s="665"/>
      <c r="AL219" s="665"/>
      <c r="AM219" s="665"/>
      <c r="AN219" s="665"/>
      <c r="AO219" s="681"/>
      <c r="AP219" s="681"/>
      <c r="AQ219" s="681"/>
      <c r="AR219" s="681"/>
    </row>
    <row r="220" spans="28:44" s="514" customFormat="1" x14ac:dyDescent="0.25">
      <c r="AB220" s="665"/>
      <c r="AC220" s="665"/>
      <c r="AD220" s="665"/>
      <c r="AE220" s="665"/>
      <c r="AF220" s="665"/>
      <c r="AG220" s="665"/>
      <c r="AH220" s="665"/>
      <c r="AI220" s="719"/>
      <c r="AJ220" s="665"/>
      <c r="AK220" s="665"/>
      <c r="AL220" s="665"/>
      <c r="AM220" s="665"/>
      <c r="AN220" s="665"/>
      <c r="AO220" s="681"/>
      <c r="AP220" s="681"/>
      <c r="AQ220" s="681"/>
      <c r="AR220" s="681"/>
    </row>
    <row r="221" spans="28:44" s="514" customFormat="1" x14ac:dyDescent="0.25">
      <c r="AB221" s="665"/>
      <c r="AC221" s="665"/>
      <c r="AD221" s="665"/>
      <c r="AE221" s="665"/>
      <c r="AF221" s="665"/>
      <c r="AG221" s="665"/>
      <c r="AH221" s="665"/>
      <c r="AI221" s="719"/>
      <c r="AJ221" s="665"/>
      <c r="AK221" s="665"/>
      <c r="AL221" s="665"/>
      <c r="AM221" s="665"/>
      <c r="AN221" s="665"/>
      <c r="AO221" s="681"/>
      <c r="AP221" s="681"/>
      <c r="AQ221" s="681"/>
      <c r="AR221" s="681"/>
    </row>
    <row r="222" spans="28:44" s="514" customFormat="1" x14ac:dyDescent="0.25">
      <c r="AB222" s="665"/>
      <c r="AC222" s="665"/>
      <c r="AD222" s="665"/>
      <c r="AE222" s="665"/>
      <c r="AF222" s="665"/>
      <c r="AG222" s="665"/>
      <c r="AH222" s="665"/>
      <c r="AI222" s="719"/>
      <c r="AJ222" s="665"/>
      <c r="AK222" s="665"/>
      <c r="AL222" s="665"/>
      <c r="AM222" s="665"/>
      <c r="AN222" s="665"/>
      <c r="AO222" s="681"/>
      <c r="AP222" s="681"/>
      <c r="AQ222" s="681"/>
      <c r="AR222" s="681"/>
    </row>
    <row r="223" spans="28:44" s="514" customFormat="1" x14ac:dyDescent="0.25">
      <c r="AB223" s="665"/>
      <c r="AC223" s="665"/>
      <c r="AD223" s="665"/>
      <c r="AE223" s="665"/>
      <c r="AF223" s="665"/>
      <c r="AG223" s="665"/>
      <c r="AH223" s="665"/>
      <c r="AI223" s="719"/>
      <c r="AJ223" s="665"/>
      <c r="AK223" s="665"/>
      <c r="AL223" s="665"/>
      <c r="AM223" s="665"/>
      <c r="AN223" s="665"/>
      <c r="AO223" s="681"/>
      <c r="AP223" s="681"/>
      <c r="AQ223" s="681"/>
      <c r="AR223" s="681"/>
    </row>
    <row r="224" spans="28:44" s="514" customFormat="1" x14ac:dyDescent="0.25">
      <c r="AB224" s="665"/>
      <c r="AC224" s="665"/>
      <c r="AD224" s="665"/>
      <c r="AE224" s="665"/>
      <c r="AF224" s="665"/>
      <c r="AG224" s="665"/>
      <c r="AH224" s="665"/>
      <c r="AI224" s="719"/>
      <c r="AJ224" s="665"/>
      <c r="AK224" s="665"/>
      <c r="AL224" s="665"/>
      <c r="AM224" s="665"/>
      <c r="AN224" s="665"/>
      <c r="AO224" s="681"/>
      <c r="AP224" s="681"/>
      <c r="AQ224" s="681"/>
      <c r="AR224" s="681"/>
    </row>
    <row r="225" spans="2:44" s="514" customFormat="1" x14ac:dyDescent="0.25">
      <c r="AB225" s="665"/>
      <c r="AC225" s="665"/>
      <c r="AD225" s="665"/>
      <c r="AE225" s="665"/>
      <c r="AF225" s="665"/>
      <c r="AG225" s="665"/>
      <c r="AH225" s="665"/>
      <c r="AI225" s="719"/>
      <c r="AJ225" s="665"/>
      <c r="AK225" s="665"/>
      <c r="AL225" s="665"/>
      <c r="AM225" s="665"/>
      <c r="AN225" s="665"/>
      <c r="AO225" s="681"/>
      <c r="AP225" s="681"/>
      <c r="AQ225" s="681"/>
      <c r="AR225" s="681"/>
    </row>
    <row r="226" spans="2:44" s="514" customFormat="1" x14ac:dyDescent="0.25">
      <c r="AB226" s="665"/>
      <c r="AC226" s="665"/>
      <c r="AD226" s="665"/>
      <c r="AE226" s="665"/>
      <c r="AF226" s="665"/>
      <c r="AG226" s="665"/>
      <c r="AH226" s="665"/>
      <c r="AI226" s="719"/>
      <c r="AJ226" s="665"/>
      <c r="AK226" s="665"/>
      <c r="AL226" s="665"/>
      <c r="AM226" s="665"/>
      <c r="AN226" s="665"/>
      <c r="AO226" s="681"/>
      <c r="AP226" s="681"/>
      <c r="AQ226" s="681"/>
      <c r="AR226" s="681"/>
    </row>
    <row r="227" spans="2:44" s="514" customFormat="1" x14ac:dyDescent="0.25">
      <c r="AB227" s="665"/>
      <c r="AC227" s="665"/>
      <c r="AD227" s="665"/>
      <c r="AE227" s="665"/>
      <c r="AF227" s="665"/>
      <c r="AG227" s="665"/>
      <c r="AH227" s="665"/>
      <c r="AI227" s="719"/>
      <c r="AJ227" s="665"/>
      <c r="AK227" s="665"/>
      <c r="AL227" s="665"/>
      <c r="AM227" s="665"/>
      <c r="AN227" s="665"/>
      <c r="AO227" s="681"/>
      <c r="AP227" s="681"/>
      <c r="AQ227" s="681"/>
      <c r="AR227" s="681"/>
    </row>
    <row r="228" spans="2:44" s="514" customFormat="1" x14ac:dyDescent="0.25">
      <c r="AB228" s="665"/>
      <c r="AC228" s="665"/>
      <c r="AD228" s="665"/>
      <c r="AE228" s="665"/>
      <c r="AF228" s="665"/>
      <c r="AG228" s="665"/>
      <c r="AH228" s="665"/>
      <c r="AI228" s="719"/>
      <c r="AJ228" s="665"/>
      <c r="AK228" s="665"/>
      <c r="AL228" s="665"/>
      <c r="AM228" s="665"/>
      <c r="AN228" s="665"/>
      <c r="AO228" s="681"/>
      <c r="AP228" s="681"/>
      <c r="AQ228" s="681"/>
      <c r="AR228" s="681"/>
    </row>
    <row r="229" spans="2:44" s="514" customFormat="1" x14ac:dyDescent="0.25">
      <c r="AB229" s="665"/>
      <c r="AC229" s="665"/>
      <c r="AD229" s="665"/>
      <c r="AE229" s="665"/>
      <c r="AF229" s="665"/>
      <c r="AG229" s="665"/>
      <c r="AH229" s="665"/>
      <c r="AI229" s="719"/>
      <c r="AJ229" s="665"/>
      <c r="AK229" s="665"/>
      <c r="AL229" s="665"/>
      <c r="AM229" s="665"/>
      <c r="AN229" s="665"/>
      <c r="AO229" s="681"/>
      <c r="AP229" s="681"/>
      <c r="AQ229" s="681"/>
      <c r="AR229" s="681"/>
    </row>
    <row r="230" spans="2:44" s="514" customFormat="1" x14ac:dyDescent="0.25">
      <c r="AB230" s="665"/>
      <c r="AC230" s="665"/>
      <c r="AD230" s="665"/>
      <c r="AE230" s="665"/>
      <c r="AF230" s="665"/>
      <c r="AG230" s="665"/>
      <c r="AH230" s="665"/>
      <c r="AI230" s="719"/>
      <c r="AJ230" s="665"/>
      <c r="AK230" s="665"/>
      <c r="AL230" s="665"/>
      <c r="AM230" s="665"/>
      <c r="AN230" s="665"/>
      <c r="AO230" s="681"/>
      <c r="AP230" s="681"/>
      <c r="AQ230" s="681"/>
      <c r="AR230" s="681"/>
    </row>
    <row r="231" spans="2:44" s="514" customFormat="1" x14ac:dyDescent="0.25">
      <c r="AB231" s="665"/>
      <c r="AC231" s="665"/>
      <c r="AD231" s="665"/>
      <c r="AE231" s="665"/>
      <c r="AF231" s="665"/>
      <c r="AG231" s="665"/>
      <c r="AH231" s="665"/>
      <c r="AI231" s="719"/>
      <c r="AJ231" s="665"/>
      <c r="AK231" s="665"/>
      <c r="AL231" s="665"/>
      <c r="AM231" s="665"/>
      <c r="AN231" s="665"/>
      <c r="AO231" s="681"/>
      <c r="AP231" s="681"/>
      <c r="AQ231" s="681"/>
      <c r="AR231" s="681"/>
    </row>
    <row r="232" spans="2:44" x14ac:dyDescent="0.25">
      <c r="B232" s="514"/>
      <c r="C232" s="514"/>
      <c r="D232" s="514"/>
      <c r="E232" s="514"/>
      <c r="F232" s="514"/>
      <c r="G232" s="514"/>
      <c r="H232" s="514"/>
      <c r="I232" s="514"/>
      <c r="J232" s="514"/>
      <c r="K232" s="514"/>
      <c r="L232" s="514"/>
      <c r="M232" s="514"/>
      <c r="N232" s="514"/>
      <c r="O232" s="514"/>
      <c r="P232" s="514"/>
      <c r="Q232" s="514"/>
      <c r="R232" s="514"/>
      <c r="S232" s="514"/>
      <c r="T232" s="514"/>
      <c r="U232" s="514"/>
      <c r="V232" s="514"/>
      <c r="W232" s="514"/>
      <c r="X232" s="514"/>
      <c r="Y232" s="514"/>
      <c r="Z232" s="514"/>
      <c r="AC232" s="665"/>
      <c r="AD232" s="665"/>
      <c r="AE232" s="665"/>
      <c r="AF232" s="665"/>
      <c r="AG232" s="665"/>
      <c r="AH232" s="665"/>
      <c r="AI232" s="719"/>
      <c r="AJ232" s="665"/>
      <c r="AK232" s="665"/>
      <c r="AL232" s="665"/>
      <c r="AM232" s="665"/>
      <c r="AN232" s="665"/>
    </row>
    <row r="233" spans="2:44" x14ac:dyDescent="0.25">
      <c r="B233" s="514"/>
      <c r="C233" s="514"/>
      <c r="D233" s="514"/>
      <c r="E233" s="514"/>
      <c r="F233" s="514"/>
      <c r="G233" s="514"/>
      <c r="H233" s="514"/>
      <c r="I233" s="514"/>
      <c r="J233" s="514"/>
      <c r="K233" s="514"/>
      <c r="L233" s="514"/>
      <c r="M233" s="514"/>
      <c r="N233" s="514"/>
      <c r="O233" s="514"/>
      <c r="P233" s="514"/>
      <c r="Q233" s="514"/>
      <c r="R233" s="514"/>
      <c r="S233" s="514"/>
      <c r="T233" s="514"/>
      <c r="U233" s="514"/>
      <c r="V233" s="514"/>
      <c r="W233" s="514"/>
      <c r="X233" s="514"/>
      <c r="Y233" s="514"/>
      <c r="Z233" s="514"/>
      <c r="AC233" s="665"/>
      <c r="AD233" s="665"/>
      <c r="AE233" s="665"/>
      <c r="AF233" s="665"/>
      <c r="AG233" s="665"/>
      <c r="AH233" s="665"/>
      <c r="AI233" s="719"/>
      <c r="AJ233" s="665"/>
      <c r="AK233" s="665"/>
      <c r="AL233" s="665"/>
      <c r="AM233" s="665"/>
    </row>
    <row r="234" spans="2:44" x14ac:dyDescent="0.25">
      <c r="B234" s="514"/>
      <c r="C234" s="514"/>
      <c r="D234" s="514"/>
      <c r="E234" s="514"/>
      <c r="F234" s="514"/>
      <c r="G234" s="514"/>
      <c r="H234" s="514"/>
      <c r="I234" s="514"/>
      <c r="J234" s="514"/>
      <c r="K234" s="514"/>
      <c r="L234" s="514"/>
      <c r="M234" s="514"/>
      <c r="N234" s="514"/>
      <c r="O234" s="514"/>
      <c r="P234" s="514"/>
      <c r="Q234" s="514"/>
      <c r="R234" s="514"/>
      <c r="S234" s="514"/>
      <c r="T234" s="514"/>
      <c r="U234" s="514"/>
      <c r="V234" s="514"/>
      <c r="W234" s="514"/>
      <c r="X234" s="514"/>
      <c r="Y234" s="514"/>
      <c r="Z234" s="514"/>
      <c r="AC234" s="665"/>
      <c r="AD234" s="665"/>
      <c r="AE234" s="665"/>
      <c r="AF234" s="665"/>
      <c r="AG234" s="665"/>
      <c r="AH234" s="665"/>
      <c r="AI234" s="719"/>
      <c r="AJ234" s="665"/>
      <c r="AK234" s="665"/>
      <c r="AL234" s="665"/>
      <c r="AM234" s="665"/>
    </row>
    <row r="235" spans="2:44" x14ac:dyDescent="0.25">
      <c r="B235" s="514"/>
      <c r="C235" s="514"/>
      <c r="D235" s="514"/>
      <c r="E235" s="514"/>
      <c r="F235" s="514"/>
      <c r="G235" s="514"/>
      <c r="H235" s="514"/>
      <c r="I235" s="514"/>
      <c r="J235" s="514"/>
      <c r="K235" s="514"/>
      <c r="L235" s="514"/>
      <c r="M235" s="514"/>
      <c r="N235" s="514"/>
      <c r="O235" s="514"/>
      <c r="P235" s="514"/>
      <c r="Q235" s="514"/>
      <c r="R235" s="514"/>
      <c r="S235" s="514"/>
      <c r="T235" s="514"/>
      <c r="U235" s="514"/>
      <c r="V235" s="514"/>
      <c r="W235" s="514"/>
      <c r="X235" s="514"/>
      <c r="Y235" s="514"/>
      <c r="Z235" s="514"/>
      <c r="AC235" s="665"/>
      <c r="AD235" s="665"/>
      <c r="AE235" s="665"/>
      <c r="AF235" s="665"/>
      <c r="AG235" s="665"/>
      <c r="AH235" s="665"/>
      <c r="AI235" s="719"/>
      <c r="AJ235" s="665"/>
      <c r="AK235" s="665"/>
      <c r="AL235" s="665"/>
    </row>
    <row r="236" spans="2:44" x14ac:dyDescent="0.25">
      <c r="B236" s="514"/>
      <c r="C236" s="514"/>
      <c r="D236" s="514"/>
      <c r="E236" s="514"/>
      <c r="F236" s="514"/>
      <c r="G236" s="514"/>
      <c r="H236" s="514"/>
      <c r="I236" s="514"/>
      <c r="J236" s="514"/>
      <c r="K236" s="514"/>
      <c r="L236" s="514"/>
      <c r="M236" s="514"/>
      <c r="N236" s="514"/>
      <c r="O236" s="514"/>
      <c r="P236" s="514"/>
      <c r="Q236" s="514"/>
      <c r="R236" s="514"/>
      <c r="S236" s="514"/>
      <c r="T236" s="514"/>
      <c r="U236" s="514"/>
      <c r="V236" s="514"/>
      <c r="W236" s="514"/>
      <c r="X236" s="514"/>
      <c r="Y236" s="514"/>
      <c r="Z236" s="514"/>
      <c r="AC236" s="665"/>
      <c r="AD236" s="665"/>
      <c r="AE236" s="665"/>
      <c r="AF236" s="665"/>
      <c r="AG236" s="665"/>
      <c r="AH236" s="665"/>
      <c r="AI236" s="719"/>
      <c r="AJ236" s="665"/>
      <c r="AK236" s="665"/>
      <c r="AL236" s="665"/>
    </row>
    <row r="237" spans="2:44" x14ac:dyDescent="0.25">
      <c r="B237" s="514"/>
      <c r="C237" s="514"/>
      <c r="D237" s="514"/>
      <c r="E237" s="514"/>
      <c r="F237" s="514"/>
      <c r="G237" s="514"/>
      <c r="H237" s="514"/>
      <c r="I237" s="514"/>
      <c r="J237" s="514"/>
      <c r="K237" s="514"/>
      <c r="L237" s="514"/>
      <c r="M237" s="514"/>
      <c r="N237" s="514"/>
      <c r="O237" s="514"/>
      <c r="P237" s="514"/>
      <c r="Q237" s="514"/>
      <c r="R237" s="514"/>
      <c r="S237" s="514"/>
      <c r="T237" s="514"/>
      <c r="U237" s="514"/>
      <c r="V237" s="514"/>
      <c r="W237" s="514"/>
      <c r="X237" s="514"/>
      <c r="Y237" s="514"/>
      <c r="Z237" s="514"/>
      <c r="AC237" s="665"/>
      <c r="AD237" s="665"/>
      <c r="AE237" s="665"/>
      <c r="AF237" s="665"/>
      <c r="AG237" s="665"/>
      <c r="AH237" s="665"/>
      <c r="AI237" s="719"/>
      <c r="AJ237" s="665"/>
      <c r="AK237" s="665"/>
    </row>
    <row r="238" spans="2:44" x14ac:dyDescent="0.25">
      <c r="B238" s="514"/>
      <c r="C238" s="514"/>
      <c r="D238" s="514"/>
      <c r="E238" s="514"/>
      <c r="F238" s="514"/>
      <c r="G238" s="514"/>
      <c r="H238" s="514"/>
      <c r="I238" s="514"/>
      <c r="J238" s="514"/>
      <c r="K238" s="514"/>
      <c r="L238" s="514"/>
      <c r="M238" s="514"/>
      <c r="N238" s="514"/>
      <c r="O238" s="514"/>
      <c r="P238" s="514"/>
      <c r="Q238" s="514"/>
      <c r="R238" s="514"/>
      <c r="S238" s="514"/>
      <c r="T238" s="514"/>
      <c r="U238" s="514"/>
      <c r="V238" s="514"/>
      <c r="W238" s="514"/>
      <c r="X238" s="514"/>
      <c r="Y238" s="514"/>
      <c r="Z238" s="514"/>
      <c r="AC238" s="665"/>
      <c r="AD238" s="665"/>
      <c r="AE238" s="665"/>
      <c r="AF238" s="665"/>
      <c r="AG238" s="665"/>
      <c r="AH238" s="665"/>
      <c r="AI238" s="719"/>
      <c r="AJ238" s="665"/>
      <c r="AK238" s="665"/>
    </row>
    <row r="239" spans="2:44" x14ac:dyDescent="0.25">
      <c r="B239" s="514"/>
      <c r="C239" s="514"/>
      <c r="D239" s="514"/>
      <c r="E239" s="514"/>
      <c r="F239" s="514"/>
      <c r="G239" s="514"/>
      <c r="H239" s="514"/>
      <c r="I239" s="514"/>
      <c r="J239" s="514"/>
      <c r="K239" s="514"/>
      <c r="L239" s="514"/>
      <c r="M239" s="514"/>
      <c r="N239" s="514"/>
      <c r="O239" s="514"/>
      <c r="P239" s="514"/>
      <c r="Q239" s="514"/>
      <c r="R239" s="514"/>
      <c r="S239" s="514"/>
      <c r="T239" s="514"/>
      <c r="U239" s="514"/>
      <c r="V239" s="514"/>
      <c r="W239" s="514"/>
      <c r="X239" s="514"/>
      <c r="Y239" s="514"/>
      <c r="Z239" s="514"/>
      <c r="AC239" s="665"/>
      <c r="AD239" s="665"/>
      <c r="AE239" s="665"/>
      <c r="AF239" s="665"/>
      <c r="AG239" s="665"/>
      <c r="AH239" s="665"/>
      <c r="AI239" s="719"/>
      <c r="AJ239" s="665"/>
      <c r="AK239" s="665"/>
    </row>
    <row r="240" spans="2:44" x14ac:dyDescent="0.25">
      <c r="B240" s="514"/>
      <c r="C240" s="514"/>
      <c r="D240" s="514"/>
      <c r="E240" s="514"/>
      <c r="F240" s="514"/>
      <c r="G240" s="514"/>
      <c r="H240" s="514"/>
      <c r="I240" s="514"/>
      <c r="J240" s="514"/>
      <c r="K240" s="514"/>
      <c r="L240" s="514"/>
      <c r="M240" s="514"/>
      <c r="N240" s="514"/>
      <c r="O240" s="514"/>
      <c r="P240" s="514"/>
      <c r="Q240" s="514"/>
      <c r="R240" s="514"/>
      <c r="S240" s="514"/>
      <c r="T240" s="514"/>
      <c r="U240" s="514"/>
      <c r="V240" s="514"/>
      <c r="W240" s="514"/>
      <c r="X240" s="514"/>
      <c r="Y240" s="514"/>
      <c r="Z240" s="514"/>
    </row>
    <row r="241" spans="2:26" x14ac:dyDescent="0.25">
      <c r="B241" s="514"/>
      <c r="C241" s="514"/>
      <c r="D241" s="514"/>
      <c r="E241" s="514"/>
      <c r="F241" s="514"/>
      <c r="G241" s="514"/>
      <c r="H241" s="514"/>
      <c r="I241" s="514"/>
      <c r="J241" s="514"/>
      <c r="K241" s="514"/>
      <c r="L241" s="514"/>
      <c r="M241" s="514"/>
      <c r="N241" s="514"/>
      <c r="O241" s="514"/>
      <c r="P241" s="514"/>
      <c r="Q241" s="514"/>
      <c r="R241" s="514"/>
      <c r="S241" s="514"/>
      <c r="T241" s="514"/>
      <c r="U241" s="514"/>
      <c r="V241" s="514"/>
      <c r="W241" s="514"/>
      <c r="X241" s="514"/>
      <c r="Y241" s="514"/>
      <c r="Z241" s="514"/>
    </row>
    <row r="242" spans="2:26" x14ac:dyDescent="0.25">
      <c r="B242" s="514"/>
      <c r="C242" s="514"/>
      <c r="D242" s="514"/>
      <c r="E242" s="514"/>
      <c r="F242" s="514"/>
      <c r="G242" s="514"/>
      <c r="H242" s="514"/>
      <c r="I242" s="514"/>
      <c r="J242" s="514"/>
      <c r="K242" s="514"/>
      <c r="L242" s="514"/>
      <c r="M242" s="514"/>
      <c r="N242" s="514"/>
      <c r="O242" s="514"/>
      <c r="P242" s="514"/>
      <c r="Q242" s="514"/>
      <c r="R242" s="514"/>
      <c r="S242" s="514"/>
      <c r="T242" s="514"/>
      <c r="U242" s="514"/>
      <c r="V242" s="514"/>
      <c r="W242" s="514"/>
      <c r="X242" s="514"/>
      <c r="Y242" s="514"/>
      <c r="Z242" s="514"/>
    </row>
    <row r="243" spans="2:26" x14ac:dyDescent="0.25">
      <c r="B243" s="514"/>
      <c r="C243" s="514"/>
      <c r="D243" s="514"/>
      <c r="E243" s="514"/>
      <c r="F243" s="514"/>
      <c r="G243" s="514"/>
      <c r="H243" s="514"/>
      <c r="I243" s="514"/>
      <c r="J243" s="514"/>
      <c r="K243" s="514"/>
      <c r="L243" s="514"/>
      <c r="M243" s="514"/>
      <c r="N243" s="514"/>
      <c r="O243" s="514"/>
      <c r="P243" s="514"/>
      <c r="Q243" s="514"/>
      <c r="R243" s="514"/>
      <c r="S243" s="514"/>
      <c r="T243" s="514"/>
      <c r="U243" s="514"/>
      <c r="V243" s="514"/>
      <c r="W243" s="514"/>
      <c r="X243" s="514"/>
      <c r="Y243" s="514"/>
      <c r="Z243" s="514"/>
    </row>
    <row r="244" spans="2:26" x14ac:dyDescent="0.25">
      <c r="B244" s="514"/>
      <c r="C244" s="514"/>
      <c r="D244" s="514"/>
      <c r="E244" s="514"/>
      <c r="F244" s="514"/>
      <c r="G244" s="514"/>
      <c r="H244" s="514"/>
      <c r="I244" s="514"/>
      <c r="J244" s="514"/>
      <c r="K244" s="514"/>
      <c r="L244" s="514"/>
      <c r="M244" s="514"/>
      <c r="N244" s="514"/>
      <c r="O244" s="514"/>
      <c r="P244" s="514"/>
      <c r="Q244" s="514"/>
      <c r="R244" s="514"/>
      <c r="S244" s="514"/>
      <c r="T244" s="514"/>
      <c r="U244" s="514"/>
      <c r="V244" s="514"/>
      <c r="W244" s="514"/>
      <c r="X244" s="514"/>
      <c r="Y244" s="514"/>
      <c r="Z244" s="514"/>
    </row>
    <row r="245" spans="2:26" x14ac:dyDescent="0.25">
      <c r="B245" s="514"/>
      <c r="C245" s="514"/>
      <c r="D245" s="514"/>
      <c r="E245" s="514"/>
      <c r="F245" s="514"/>
      <c r="G245" s="514"/>
      <c r="H245" s="514"/>
      <c r="I245" s="514"/>
      <c r="J245" s="514"/>
      <c r="K245" s="514"/>
      <c r="L245" s="514"/>
      <c r="M245" s="514"/>
      <c r="N245" s="514"/>
      <c r="O245" s="514"/>
      <c r="P245" s="514"/>
      <c r="Q245" s="514"/>
      <c r="R245" s="514"/>
      <c r="S245" s="514"/>
      <c r="T245" s="514"/>
      <c r="U245" s="514"/>
      <c r="V245" s="514"/>
      <c r="W245" s="514"/>
      <c r="X245" s="514"/>
      <c r="Y245" s="514"/>
      <c r="Z245" s="514"/>
    </row>
    <row r="246" spans="2:26" x14ac:dyDescent="0.25">
      <c r="B246" s="514"/>
      <c r="C246" s="514"/>
      <c r="D246" s="514"/>
      <c r="E246" s="514"/>
      <c r="F246" s="514"/>
      <c r="G246" s="514"/>
      <c r="H246" s="514"/>
      <c r="I246" s="514"/>
      <c r="J246" s="514"/>
      <c r="K246" s="514"/>
      <c r="L246" s="514"/>
      <c r="M246" s="514"/>
      <c r="N246" s="514"/>
      <c r="O246" s="514"/>
      <c r="P246" s="514"/>
      <c r="Q246" s="514"/>
      <c r="R246" s="514"/>
      <c r="S246" s="514"/>
      <c r="T246" s="514"/>
      <c r="U246" s="514"/>
      <c r="V246" s="514"/>
      <c r="W246" s="514"/>
      <c r="X246" s="514"/>
      <c r="Y246" s="514"/>
      <c r="Z246" s="514"/>
    </row>
    <row r="247" spans="2:26" x14ac:dyDescent="0.25">
      <c r="B247" s="514"/>
      <c r="C247" s="514"/>
      <c r="D247" s="514"/>
      <c r="E247" s="514"/>
      <c r="F247" s="514"/>
      <c r="G247" s="514"/>
      <c r="H247" s="514"/>
      <c r="I247" s="514"/>
      <c r="J247" s="514"/>
      <c r="K247" s="514"/>
      <c r="L247" s="514"/>
      <c r="M247" s="514"/>
      <c r="N247" s="514"/>
      <c r="O247" s="514"/>
      <c r="P247" s="514"/>
      <c r="Q247" s="514"/>
      <c r="R247" s="514"/>
      <c r="S247" s="514"/>
      <c r="T247" s="514"/>
      <c r="U247" s="514"/>
      <c r="V247" s="514"/>
      <c r="W247" s="514"/>
      <c r="X247" s="514"/>
      <c r="Y247" s="514"/>
      <c r="Z247" s="514"/>
    </row>
  </sheetData>
  <sheetProtection formatCells="0"/>
  <mergeCells count="11">
    <mergeCell ref="AC27:AD27"/>
    <mergeCell ref="AC34:AD34"/>
    <mergeCell ref="R7:R8"/>
    <mergeCell ref="R5:R6"/>
    <mergeCell ref="D3:H3"/>
    <mergeCell ref="B7:B8"/>
    <mergeCell ref="B5:B6"/>
    <mergeCell ref="P5:Q5"/>
    <mergeCell ref="O5:O6"/>
    <mergeCell ref="O7:O8"/>
    <mergeCell ref="D5:N5"/>
  </mergeCells>
  <phoneticPr fontId="3" type="noConversion"/>
  <printOptions horizontalCentered="1"/>
  <pageMargins left="0.75" right="0.78740157480314965" top="0.98425196850393704" bottom="1" header="0.51181102362204722" footer="0"/>
  <pageSetup orientation="landscape" horizontalDpi="4294967294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indexed="53"/>
  </sheetPr>
  <dimension ref="A1:DP271"/>
  <sheetViews>
    <sheetView showGridLines="0" view="pageBreakPreview" zoomScale="50" zoomScaleNormal="70" zoomScaleSheetLayoutView="50" workbookViewId="0">
      <selection activeCell="O104" sqref="O104"/>
    </sheetView>
  </sheetViews>
  <sheetFormatPr baseColWidth="10" defaultColWidth="9.26953125" defaultRowHeight="12.5" x14ac:dyDescent="0.25"/>
  <cols>
    <col min="1" max="1" width="10.7265625" style="357" customWidth="1"/>
    <col min="2" max="2" width="3.453125" style="359" customWidth="1"/>
    <col min="3" max="3" width="4.7265625" style="359" customWidth="1"/>
    <col min="4" max="4" width="11.7265625" style="359" customWidth="1"/>
    <col min="5" max="6" width="12.26953125" style="359" customWidth="1"/>
    <col min="7" max="7" width="11.7265625" style="359" customWidth="1"/>
    <col min="8" max="8" width="9.7265625" style="359" customWidth="1"/>
    <col min="9" max="9" width="13" style="359" customWidth="1"/>
    <col min="10" max="10" width="11.7265625" style="359" customWidth="1"/>
    <col min="11" max="11" width="13.453125" style="359" customWidth="1"/>
    <col min="12" max="12" width="15" style="359" customWidth="1"/>
    <col min="13" max="13" width="14.26953125" style="359" customWidth="1"/>
    <col min="14" max="14" width="17.7265625" style="359" bestFit="1" customWidth="1"/>
    <col min="15" max="15" width="17.26953125" style="359" customWidth="1"/>
    <col min="16" max="16" width="3.453125" style="359" customWidth="1"/>
    <col min="17" max="17" width="9.26953125" style="358" customWidth="1"/>
    <col min="18" max="18" width="9.26953125" style="358" hidden="1" customWidth="1"/>
    <col min="19" max="19" width="17.7265625" style="358" hidden="1" customWidth="1"/>
    <col min="20" max="30" width="9.26953125" style="358" hidden="1" customWidth="1"/>
    <col min="31" max="42" width="9.26953125" style="358" customWidth="1"/>
    <col min="43" max="45" width="9.26953125" style="359" customWidth="1"/>
    <col min="46" max="48" width="9.26953125" style="357" customWidth="1"/>
    <col min="49" max="120" width="9.26953125" style="357"/>
    <col min="121" max="16384" width="9.26953125" style="359"/>
  </cols>
  <sheetData>
    <row r="1" spans="1:120" x14ac:dyDescent="0.25">
      <c r="B1" s="447"/>
      <c r="C1" s="448"/>
      <c r="D1" s="448"/>
      <c r="E1" s="448"/>
      <c r="F1" s="448"/>
      <c r="G1" s="448"/>
      <c r="H1" s="448"/>
      <c r="I1" s="448"/>
      <c r="J1" s="448"/>
      <c r="K1" s="448"/>
      <c r="L1" s="448"/>
      <c r="M1" s="448"/>
      <c r="N1" s="448"/>
      <c r="O1" s="448"/>
      <c r="P1" s="449"/>
    </row>
    <row r="2" spans="1:120" ht="19.5" hidden="1" customHeight="1" x14ac:dyDescent="0.25">
      <c r="B2" s="450" t="s">
        <v>229</v>
      </c>
      <c r="C2" s="1213"/>
      <c r="D2" s="1213"/>
      <c r="E2" s="1213"/>
      <c r="F2" s="1213"/>
      <c r="G2" s="1213"/>
      <c r="H2" s="1213"/>
      <c r="I2" s="1213"/>
      <c r="J2" s="1213"/>
      <c r="K2" s="1213"/>
      <c r="L2" s="1213"/>
      <c r="M2" s="1213"/>
      <c r="N2" s="1213"/>
      <c r="O2" s="1213"/>
      <c r="P2" s="451"/>
    </row>
    <row r="3" spans="1:120" ht="5.15" customHeight="1" x14ac:dyDescent="0.3">
      <c r="B3" s="450"/>
      <c r="D3" s="530"/>
      <c r="E3" s="530"/>
      <c r="F3" s="530"/>
      <c r="G3" s="530"/>
      <c r="H3" s="530"/>
      <c r="I3" s="530"/>
      <c r="J3" s="530"/>
      <c r="K3" s="530"/>
      <c r="P3" s="451"/>
    </row>
    <row r="4" spans="1:120" ht="14.25" customHeight="1" x14ac:dyDescent="0.3">
      <c r="B4" s="450"/>
      <c r="D4" s="1144"/>
      <c r="E4" s="1144"/>
      <c r="F4" s="1144"/>
      <c r="G4" s="1144"/>
      <c r="H4" s="1144"/>
      <c r="I4" s="1144"/>
      <c r="J4" s="1144"/>
      <c r="K4" s="1144"/>
      <c r="L4" s="1144"/>
      <c r="M4" s="1144"/>
      <c r="N4" s="1144"/>
      <c r="P4" s="451"/>
    </row>
    <row r="5" spans="1:120" ht="4.5" customHeight="1" x14ac:dyDescent="0.3">
      <c r="B5" s="450"/>
      <c r="D5" s="361"/>
      <c r="E5" s="361"/>
      <c r="F5" s="361"/>
      <c r="G5" s="361"/>
      <c r="H5" s="361"/>
      <c r="I5" s="361"/>
      <c r="J5" s="361"/>
      <c r="P5" s="451"/>
    </row>
    <row r="6" spans="1:120" x14ac:dyDescent="0.25">
      <c r="B6" s="450"/>
      <c r="P6" s="451"/>
    </row>
    <row r="7" spans="1:120" ht="4.5" customHeight="1" x14ac:dyDescent="0.25">
      <c r="B7" s="450"/>
      <c r="P7" s="451"/>
    </row>
    <row r="8" spans="1:120" ht="32.25" customHeight="1" x14ac:dyDescent="0.25">
      <c r="B8" s="1214" t="s">
        <v>319</v>
      </c>
      <c r="C8" s="1215"/>
      <c r="D8" s="1215"/>
      <c r="E8" s="1215"/>
      <c r="F8" s="1215"/>
      <c r="G8" s="1215"/>
      <c r="H8" s="1215"/>
      <c r="I8" s="1215"/>
      <c r="J8" s="1215"/>
      <c r="K8" s="1215"/>
      <c r="L8" s="1215"/>
      <c r="M8" s="1215"/>
      <c r="N8" s="1215"/>
      <c r="O8" s="1215"/>
      <c r="P8" s="1216"/>
    </row>
    <row r="9" spans="1:120" ht="13" hidden="1" x14ac:dyDescent="0.25">
      <c r="B9" s="450"/>
      <c r="D9" s="362"/>
      <c r="E9" s="362"/>
      <c r="F9" s="362"/>
      <c r="G9" s="362"/>
      <c r="H9" s="362"/>
      <c r="I9" s="362"/>
      <c r="J9" s="362"/>
      <c r="K9" s="362"/>
      <c r="L9" s="362"/>
      <c r="M9" s="362"/>
      <c r="P9" s="451"/>
    </row>
    <row r="10" spans="1:120" ht="13" hidden="1" x14ac:dyDescent="0.3">
      <c r="A10" s="363"/>
      <c r="B10" s="452"/>
      <c r="C10" s="365"/>
      <c r="D10" s="531"/>
      <c r="E10" s="532"/>
      <c r="F10" s="532"/>
      <c r="G10" s="532"/>
      <c r="H10" s="533"/>
      <c r="I10" s="533"/>
      <c r="J10" s="533"/>
      <c r="K10" s="533"/>
      <c r="L10" s="534"/>
      <c r="M10" s="535"/>
      <c r="O10" s="364"/>
      <c r="P10" s="453"/>
      <c r="Q10" s="364"/>
      <c r="R10" s="364"/>
      <c r="S10" s="364"/>
      <c r="T10" s="365"/>
      <c r="U10" s="364"/>
      <c r="V10" s="364"/>
      <c r="W10" s="364"/>
      <c r="X10" s="364"/>
      <c r="Y10" s="364"/>
      <c r="Z10" s="364"/>
      <c r="AA10" s="364"/>
      <c r="AB10" s="364"/>
      <c r="AC10" s="364"/>
      <c r="AD10" s="364"/>
      <c r="AE10" s="364"/>
      <c r="AF10" s="364"/>
      <c r="AG10" s="364"/>
      <c r="AH10" s="364"/>
      <c r="AI10" s="364"/>
      <c r="AJ10" s="364"/>
      <c r="AK10" s="364"/>
      <c r="AL10" s="364"/>
      <c r="AM10" s="364"/>
      <c r="AN10" s="364"/>
      <c r="AO10" s="364"/>
      <c r="AP10" s="364"/>
      <c r="AQ10" s="364"/>
      <c r="AR10" s="364"/>
      <c r="AS10" s="364"/>
      <c r="AT10" s="366"/>
      <c r="AU10" s="366"/>
    </row>
    <row r="11" spans="1:120" ht="24.75" customHeight="1" x14ac:dyDescent="0.3">
      <c r="A11" s="363"/>
      <c r="B11" s="452"/>
      <c r="C11" s="365"/>
      <c r="D11" s="1218" t="s">
        <v>230</v>
      </c>
      <c r="E11" s="1218"/>
      <c r="F11" s="536"/>
      <c r="G11" s="537">
        <f>Diseño!N8+Diseño!N9+Diseño!P10</f>
        <v>2.68</v>
      </c>
      <c r="H11" s="533"/>
      <c r="I11" s="1218" t="s">
        <v>231</v>
      </c>
      <c r="J11" s="1218"/>
      <c r="K11" s="538">
        <f>'1° Diseño Mezcla'!I8</f>
        <v>335</v>
      </c>
      <c r="L11" s="534"/>
      <c r="M11" s="535"/>
      <c r="O11" s="364"/>
      <c r="P11" s="453"/>
      <c r="Q11" s="364"/>
      <c r="R11" s="364"/>
      <c r="S11" s="364"/>
      <c r="T11" s="365"/>
      <c r="U11" s="364"/>
      <c r="V11" s="364"/>
      <c r="W11" s="364"/>
      <c r="X11" s="364"/>
      <c r="Y11" s="364"/>
      <c r="Z11" s="364"/>
      <c r="AA11" s="364"/>
      <c r="AB11" s="364"/>
      <c r="AC11" s="364"/>
      <c r="AD11" s="364"/>
      <c r="AE11" s="364"/>
      <c r="AF11" s="364"/>
      <c r="AG11" s="364"/>
      <c r="AH11" s="364"/>
      <c r="AI11" s="364"/>
      <c r="AJ11" s="364"/>
      <c r="AK11" s="364"/>
      <c r="AL11" s="364"/>
      <c r="AM11" s="364"/>
      <c r="AN11" s="364"/>
      <c r="AO11" s="364"/>
      <c r="AP11" s="364"/>
      <c r="AQ11" s="364"/>
      <c r="AR11" s="364"/>
      <c r="AS11" s="364"/>
      <c r="AT11" s="366"/>
      <c r="AU11" s="366"/>
    </row>
    <row r="12" spans="1:120" ht="9" customHeight="1" x14ac:dyDescent="0.3">
      <c r="A12" s="363"/>
      <c r="B12" s="452"/>
      <c r="C12" s="365"/>
      <c r="D12" s="539"/>
      <c r="E12" s="539"/>
      <c r="F12" s="539"/>
      <c r="G12" s="540"/>
      <c r="H12" s="533"/>
      <c r="I12" s="533"/>
      <c r="J12" s="533"/>
      <c r="K12" s="533"/>
      <c r="L12" s="534"/>
      <c r="M12" s="535"/>
      <c r="O12" s="364"/>
      <c r="P12" s="453"/>
      <c r="Q12" s="364"/>
      <c r="R12" s="364"/>
      <c r="S12" s="364"/>
      <c r="T12" s="365"/>
      <c r="U12" s="364"/>
      <c r="V12" s="364"/>
      <c r="W12" s="364"/>
      <c r="X12" s="364"/>
      <c r="Y12" s="364"/>
      <c r="Z12" s="364"/>
      <c r="AA12" s="364"/>
      <c r="AB12" s="364"/>
      <c r="AC12" s="364"/>
      <c r="AD12" s="364"/>
      <c r="AE12" s="364"/>
      <c r="AF12" s="364"/>
      <c r="AG12" s="364"/>
      <c r="AH12" s="364"/>
      <c r="AI12" s="364"/>
      <c r="AJ12" s="364"/>
      <c r="AK12" s="364"/>
      <c r="AL12" s="364"/>
      <c r="AM12" s="364"/>
      <c r="AN12" s="364"/>
      <c r="AO12" s="364"/>
      <c r="AP12" s="364"/>
      <c r="AQ12" s="364"/>
      <c r="AR12" s="364"/>
      <c r="AS12" s="364"/>
      <c r="AT12" s="366"/>
      <c r="AU12" s="366"/>
    </row>
    <row r="13" spans="1:120" ht="24.75" customHeight="1" x14ac:dyDescent="0.25">
      <c r="B13" s="450"/>
      <c r="D13" s="1218" t="s">
        <v>232</v>
      </c>
      <c r="E13" s="1218"/>
      <c r="F13" s="536"/>
      <c r="G13" s="538">
        <f>Diseño!N5+Diseño!N6+Diseño!N7</f>
        <v>2.71</v>
      </c>
      <c r="I13" s="1217" t="s">
        <v>320</v>
      </c>
      <c r="J13" s="1217"/>
      <c r="K13" s="538">
        <f>'1° Diseño Mezcla'!X8</f>
        <v>40</v>
      </c>
      <c r="O13" s="364"/>
      <c r="P13" s="453"/>
      <c r="Q13" s="364"/>
      <c r="R13" s="364"/>
      <c r="S13" s="364"/>
      <c r="T13" s="364"/>
      <c r="U13" s="364"/>
      <c r="V13" s="364"/>
      <c r="W13" s="364"/>
      <c r="X13" s="364"/>
      <c r="Y13" s="364"/>
      <c r="Z13" s="364"/>
      <c r="AA13" s="364"/>
      <c r="AB13" s="364"/>
      <c r="AC13" s="364"/>
      <c r="AD13" s="364"/>
      <c r="AE13" s="364"/>
      <c r="AF13" s="364"/>
      <c r="AG13" s="364"/>
      <c r="AH13" s="364"/>
      <c r="AI13" s="364"/>
      <c r="AJ13" s="364"/>
      <c r="AK13" s="364"/>
      <c r="AL13" s="364"/>
      <c r="AM13" s="364"/>
      <c r="AN13" s="364"/>
      <c r="AO13" s="364"/>
      <c r="AP13" s="364"/>
      <c r="AQ13" s="364"/>
      <c r="AR13" s="364"/>
      <c r="AS13" s="364"/>
      <c r="AT13" s="366"/>
      <c r="AU13" s="366"/>
    </row>
    <row r="14" spans="1:120" ht="13" x14ac:dyDescent="0.3">
      <c r="B14" s="450"/>
      <c r="D14" s="361"/>
      <c r="E14" s="361"/>
      <c r="F14" s="361"/>
      <c r="G14" s="361"/>
      <c r="H14" s="361"/>
      <c r="I14" s="361"/>
      <c r="J14" s="361"/>
      <c r="O14" s="364"/>
      <c r="P14" s="453"/>
      <c r="Q14" s="364"/>
      <c r="R14" s="364"/>
      <c r="S14" s="364"/>
      <c r="T14" s="364"/>
      <c r="U14" s="364"/>
      <c r="V14" s="364"/>
      <c r="W14" s="364"/>
      <c r="X14" s="364"/>
      <c r="Y14" s="364"/>
      <c r="Z14" s="364"/>
      <c r="AA14" s="364"/>
      <c r="AB14" s="364"/>
      <c r="AC14" s="364"/>
      <c r="AD14" s="364"/>
      <c r="AE14" s="364"/>
      <c r="AF14" s="364"/>
      <c r="AG14" s="364"/>
      <c r="AH14" s="364"/>
      <c r="AI14" s="364"/>
      <c r="AJ14" s="364"/>
      <c r="AK14" s="364"/>
      <c r="AL14" s="364"/>
      <c r="AM14" s="364"/>
      <c r="AN14" s="364"/>
      <c r="AO14" s="364"/>
      <c r="AP14" s="364"/>
      <c r="AQ14" s="364"/>
      <c r="AR14" s="364"/>
      <c r="AS14" s="364"/>
      <c r="AT14" s="366"/>
      <c r="AU14" s="366"/>
    </row>
    <row r="15" spans="1:120" ht="12.75" hidden="1" customHeight="1" thickBot="1" x14ac:dyDescent="0.3">
      <c r="B15" s="450"/>
      <c r="C15" s="1231" t="s">
        <v>233</v>
      </c>
      <c r="D15" s="1232"/>
      <c r="E15" s="1222" t="s">
        <v>234</v>
      </c>
      <c r="F15" s="1222"/>
      <c r="G15" s="1222" t="s">
        <v>235</v>
      </c>
      <c r="H15" s="1222" t="s">
        <v>236</v>
      </c>
      <c r="I15" s="1222"/>
      <c r="J15" s="541"/>
      <c r="L15" s="1220"/>
      <c r="M15" s="1220"/>
      <c r="N15" s="1221"/>
      <c r="O15" s="358"/>
      <c r="P15" s="454"/>
      <c r="AO15" s="359"/>
      <c r="AP15" s="359"/>
      <c r="AR15" s="357"/>
      <c r="AS15" s="357"/>
      <c r="DO15" s="359"/>
      <c r="DP15" s="359"/>
    </row>
    <row r="16" spans="1:120" ht="13" hidden="1" thickBot="1" x14ac:dyDescent="0.3">
      <c r="B16" s="450"/>
      <c r="C16" s="1233"/>
      <c r="D16" s="1234"/>
      <c r="E16" s="542" t="s">
        <v>237</v>
      </c>
      <c r="F16" s="542" t="s">
        <v>238</v>
      </c>
      <c r="G16" s="1223"/>
      <c r="H16" s="542" t="s">
        <v>239</v>
      </c>
      <c r="I16" s="542" t="s">
        <v>240</v>
      </c>
      <c r="J16" s="543"/>
      <c r="L16" s="367" t="s">
        <v>241</v>
      </c>
      <c r="M16" s="368" t="s">
        <v>242</v>
      </c>
      <c r="N16" s="369"/>
      <c r="O16" s="358"/>
      <c r="P16" s="454"/>
      <c r="AO16" s="359"/>
      <c r="AP16" s="359"/>
      <c r="AR16" s="357"/>
      <c r="AS16" s="357"/>
      <c r="DO16" s="359"/>
      <c r="DP16" s="359"/>
    </row>
    <row r="17" spans="2:120" hidden="1" x14ac:dyDescent="0.25">
      <c r="B17" s="450"/>
      <c r="C17" s="1229" t="s">
        <v>243</v>
      </c>
      <c r="D17" s="1230"/>
      <c r="E17" s="544">
        <f>100-G17</f>
        <v>0</v>
      </c>
      <c r="F17" s="544">
        <f>IF(E17="","",E17)</f>
        <v>0</v>
      </c>
      <c r="G17" s="544">
        <f>'2° Granulometrías'!S10</f>
        <v>100.00000000000001</v>
      </c>
      <c r="H17" s="545">
        <v>100</v>
      </c>
      <c r="I17" s="545"/>
      <c r="J17" s="546"/>
      <c r="K17" s="261"/>
      <c r="L17" s="370">
        <v>100</v>
      </c>
      <c r="M17" s="371">
        <v>100</v>
      </c>
      <c r="N17" s="369"/>
      <c r="O17" s="372">
        <v>0</v>
      </c>
      <c r="P17" s="454"/>
      <c r="AO17" s="359"/>
      <c r="AP17" s="359"/>
      <c r="AR17" s="357"/>
      <c r="AS17" s="357"/>
      <c r="DO17" s="359"/>
      <c r="DP17" s="359"/>
    </row>
    <row r="18" spans="2:120" hidden="1" x14ac:dyDescent="0.25">
      <c r="B18" s="450"/>
      <c r="C18" s="1229" t="s">
        <v>244</v>
      </c>
      <c r="D18" s="1230"/>
      <c r="E18" s="544">
        <f t="shared" ref="E18:E28" si="0">G17-G18</f>
        <v>5.0980392156862848</v>
      </c>
      <c r="F18" s="544">
        <f>IF(E18="","",E18)</f>
        <v>5.0980392156862848</v>
      </c>
      <c r="G18" s="544">
        <f>'2° Granulometrías'!S11</f>
        <v>94.901960784313729</v>
      </c>
      <c r="H18" s="545">
        <v>99</v>
      </c>
      <c r="I18" s="545"/>
      <c r="J18" s="546"/>
      <c r="K18" s="261"/>
      <c r="L18" s="373">
        <v>99</v>
      </c>
      <c r="M18" s="374">
        <v>99</v>
      </c>
      <c r="N18" s="360"/>
      <c r="O18" s="372">
        <v>1</v>
      </c>
      <c r="P18" s="454"/>
      <c r="AO18" s="359"/>
      <c r="AP18" s="359"/>
      <c r="AR18" s="357"/>
      <c r="AS18" s="357"/>
      <c r="DO18" s="359"/>
      <c r="DP18" s="359"/>
    </row>
    <row r="19" spans="2:120" ht="20.25" hidden="1" customHeight="1" x14ac:dyDescent="0.4">
      <c r="B19" s="450"/>
      <c r="C19" s="1224" t="s">
        <v>269</v>
      </c>
      <c r="D19" s="1225"/>
      <c r="E19" s="544">
        <f t="shared" si="0"/>
        <v>13.050980392156845</v>
      </c>
      <c r="F19" s="544">
        <f>IF(E18="","",SUM(E18:E19))</f>
        <v>18.14901960784313</v>
      </c>
      <c r="G19" s="544">
        <f>'2° Granulometrías'!S12</f>
        <v>81.850980392156885</v>
      </c>
      <c r="H19" s="545">
        <v>98</v>
      </c>
      <c r="I19" s="545"/>
      <c r="J19" s="546"/>
      <c r="K19" s="261"/>
      <c r="L19" s="373">
        <v>98</v>
      </c>
      <c r="M19" s="374">
        <v>99</v>
      </c>
      <c r="N19" s="360"/>
      <c r="O19" s="372">
        <v>4</v>
      </c>
      <c r="P19" s="454"/>
      <c r="AO19" s="359"/>
      <c r="AP19" s="359"/>
      <c r="AR19" s="357"/>
      <c r="AS19" s="357"/>
      <c r="DO19" s="359"/>
      <c r="DP19" s="359"/>
    </row>
    <row r="20" spans="2:120" ht="17.5" hidden="1" x14ac:dyDescent="0.4">
      <c r="B20" s="450"/>
      <c r="C20" s="1224" t="s">
        <v>270</v>
      </c>
      <c r="D20" s="1225"/>
      <c r="E20" s="544">
        <f t="shared" si="0"/>
        <v>12.286274509803945</v>
      </c>
      <c r="F20" s="544">
        <f>IF(E18="","",SUM(E18:E20))</f>
        <v>30.435294117647075</v>
      </c>
      <c r="G20" s="544">
        <f>'2° Granulometrías'!S13</f>
        <v>69.564705882352939</v>
      </c>
      <c r="H20" s="545">
        <v>63</v>
      </c>
      <c r="I20" s="545"/>
      <c r="J20" s="546"/>
      <c r="K20" s="261"/>
      <c r="L20" s="373">
        <v>69</v>
      </c>
      <c r="M20" s="374">
        <v>75</v>
      </c>
      <c r="N20" s="360"/>
      <c r="O20" s="372">
        <v>14</v>
      </c>
      <c r="P20" s="454"/>
      <c r="AO20" s="359"/>
      <c r="AP20" s="359"/>
      <c r="AR20" s="357"/>
      <c r="AS20" s="357"/>
      <c r="DO20" s="359"/>
      <c r="DP20" s="359"/>
    </row>
    <row r="21" spans="2:120" ht="19.5" hidden="1" customHeight="1" x14ac:dyDescent="0.4">
      <c r="B21" s="450"/>
      <c r="C21" s="1224" t="s">
        <v>271</v>
      </c>
      <c r="D21" s="1225"/>
      <c r="E21" s="544">
        <f t="shared" si="0"/>
        <v>15.207450980392153</v>
      </c>
      <c r="F21" s="544">
        <f>IF(E18="","",SUM(E18:E21))</f>
        <v>45.642745098039228</v>
      </c>
      <c r="G21" s="544">
        <f>'2° Granulometrías'!S14</f>
        <v>54.357254901960786</v>
      </c>
      <c r="H21" s="545">
        <v>30</v>
      </c>
      <c r="I21" s="545"/>
      <c r="J21" s="546"/>
      <c r="K21" s="261"/>
      <c r="L21" s="373">
        <v>48</v>
      </c>
      <c r="M21" s="374">
        <v>58</v>
      </c>
      <c r="N21" s="360"/>
      <c r="O21" s="372">
        <v>19</v>
      </c>
      <c r="P21" s="454"/>
      <c r="AO21" s="359"/>
      <c r="AP21" s="359"/>
      <c r="AR21" s="357"/>
      <c r="AS21" s="357"/>
      <c r="DO21" s="359"/>
      <c r="DP21" s="359"/>
    </row>
    <row r="22" spans="2:120" hidden="1" x14ac:dyDescent="0.25">
      <c r="B22" s="450"/>
      <c r="C22" s="1229" t="s">
        <v>245</v>
      </c>
      <c r="D22" s="1230"/>
      <c r="E22" s="544">
        <f t="shared" si="0"/>
        <v>11.056862745098037</v>
      </c>
      <c r="F22" s="544">
        <f>IF(E18="","",SUM(E18:E22))</f>
        <v>56.699607843137265</v>
      </c>
      <c r="G22" s="544">
        <f>'2° Granulometrías'!S15</f>
        <v>43.300392156862749</v>
      </c>
      <c r="H22" s="545">
        <v>8</v>
      </c>
      <c r="I22" s="545">
        <v>100</v>
      </c>
      <c r="J22" s="546"/>
      <c r="K22" s="261"/>
      <c r="L22" s="373">
        <v>30</v>
      </c>
      <c r="M22" s="374">
        <v>43</v>
      </c>
      <c r="N22" s="360"/>
      <c r="O22" s="372">
        <v>19</v>
      </c>
      <c r="P22" s="454"/>
      <c r="AO22" s="359"/>
      <c r="AP22" s="359"/>
      <c r="AR22" s="357"/>
      <c r="AS22" s="357"/>
      <c r="DO22" s="359"/>
      <c r="DP22" s="359"/>
    </row>
    <row r="23" spans="2:120" hidden="1" x14ac:dyDescent="0.25">
      <c r="B23" s="450"/>
      <c r="C23" s="1229" t="s">
        <v>246</v>
      </c>
      <c r="D23" s="1230"/>
      <c r="E23" s="544">
        <f t="shared" si="0"/>
        <v>10.380784313725492</v>
      </c>
      <c r="F23" s="544">
        <f>IF(E18="","",SUM(E18:E24))</f>
        <v>73.37254901960786</v>
      </c>
      <c r="G23" s="544">
        <f>'2° Granulometrías'!S16</f>
        <v>32.919607843137257</v>
      </c>
      <c r="H23" s="545">
        <v>0</v>
      </c>
      <c r="I23" s="545">
        <v>98</v>
      </c>
      <c r="J23" s="546"/>
      <c r="K23" s="261"/>
      <c r="L23" s="373">
        <v>24</v>
      </c>
      <c r="M23" s="374">
        <v>38</v>
      </c>
      <c r="N23" s="360"/>
      <c r="O23" s="372">
        <v>14</v>
      </c>
      <c r="P23" s="454"/>
      <c r="AO23" s="359"/>
      <c r="AP23" s="359"/>
      <c r="AR23" s="357"/>
      <c r="AS23" s="357"/>
      <c r="DO23" s="359"/>
      <c r="DP23" s="359"/>
    </row>
    <row r="24" spans="2:120" hidden="1" x14ac:dyDescent="0.25">
      <c r="B24" s="450"/>
      <c r="C24" s="1229" t="s">
        <v>247</v>
      </c>
      <c r="D24" s="1230"/>
      <c r="E24" s="544">
        <f t="shared" si="0"/>
        <v>6.2921568627450988</v>
      </c>
      <c r="F24" s="544">
        <f>IF(E18="","",SUM(E18:E25))</f>
        <v>80.89705882352942</v>
      </c>
      <c r="G24" s="544">
        <f>'2° Granulometrías'!S17</f>
        <v>26.627450980392158</v>
      </c>
      <c r="H24" s="545"/>
      <c r="I24" s="545">
        <v>91</v>
      </c>
      <c r="J24" s="546"/>
      <c r="K24" s="261"/>
      <c r="L24" s="373">
        <v>22</v>
      </c>
      <c r="M24" s="374">
        <v>35</v>
      </c>
      <c r="N24" s="360"/>
      <c r="O24" s="372">
        <v>10</v>
      </c>
      <c r="P24" s="454"/>
      <c r="AO24" s="359"/>
      <c r="AP24" s="359"/>
      <c r="AR24" s="357"/>
      <c r="AS24" s="357"/>
      <c r="DO24" s="359"/>
      <c r="DP24" s="359"/>
    </row>
    <row r="25" spans="2:120" ht="13.5" hidden="1" customHeight="1" x14ac:dyDescent="0.25">
      <c r="B25" s="450"/>
      <c r="C25" s="1229" t="s">
        <v>248</v>
      </c>
      <c r="D25" s="1230"/>
      <c r="E25" s="544">
        <f t="shared" si="0"/>
        <v>7.5245098039215677</v>
      </c>
      <c r="F25" s="544">
        <f>IF(E18="","",SUM(E18:E26))</f>
        <v>86.539215686274517</v>
      </c>
      <c r="G25" s="544">
        <f>'2° Granulometrías'!S18</f>
        <v>19.102941176470591</v>
      </c>
      <c r="H25" s="545"/>
      <c r="I25" s="545">
        <v>70</v>
      </c>
      <c r="J25" s="546"/>
      <c r="K25" s="261"/>
      <c r="L25" s="373">
        <v>18</v>
      </c>
      <c r="M25" s="374">
        <v>27</v>
      </c>
      <c r="N25" s="360"/>
      <c r="O25" s="372">
        <v>7</v>
      </c>
      <c r="P25" s="454"/>
      <c r="AO25" s="359"/>
      <c r="AP25" s="359"/>
      <c r="AR25" s="357"/>
      <c r="AS25" s="357"/>
      <c r="DO25" s="359"/>
      <c r="DP25" s="359"/>
    </row>
    <row r="26" spans="2:120" hidden="1" x14ac:dyDescent="0.25">
      <c r="B26" s="450"/>
      <c r="C26" s="1229" t="s">
        <v>249</v>
      </c>
      <c r="D26" s="1230"/>
      <c r="E26" s="544">
        <f t="shared" si="0"/>
        <v>5.6421568627450984</v>
      </c>
      <c r="F26" s="544">
        <f>IF(E18="","",SUM(E18:E27))</f>
        <v>94.514705882352956</v>
      </c>
      <c r="G26" s="544">
        <f>'2° Granulometrías'!S19</f>
        <v>13.460784313725492</v>
      </c>
      <c r="H26" s="545"/>
      <c r="I26" s="545">
        <v>18</v>
      </c>
      <c r="J26" s="546"/>
      <c r="K26" s="261"/>
      <c r="L26" s="373">
        <v>5</v>
      </c>
      <c r="M26" s="374">
        <v>7</v>
      </c>
      <c r="N26" s="360"/>
      <c r="O26" s="372">
        <v>5</v>
      </c>
      <c r="P26" s="409"/>
      <c r="Q26" s="375"/>
      <c r="R26" s="375"/>
      <c r="S26" s="375"/>
      <c r="T26" s="375"/>
      <c r="U26" s="375"/>
      <c r="V26" s="375"/>
      <c r="W26" s="375"/>
      <c r="X26" s="375"/>
      <c r="Y26" s="375"/>
      <c r="Z26" s="375"/>
      <c r="AA26" s="375"/>
      <c r="AB26" s="375"/>
      <c r="AC26" s="375"/>
      <c r="AD26" s="375"/>
      <c r="AO26" s="359"/>
      <c r="AP26" s="359"/>
      <c r="AR26" s="357"/>
      <c r="AS26" s="357"/>
      <c r="DO26" s="359"/>
      <c r="DP26" s="359"/>
    </row>
    <row r="27" spans="2:120" hidden="1" x14ac:dyDescent="0.25">
      <c r="B27" s="450"/>
      <c r="C27" s="1229" t="s">
        <v>250</v>
      </c>
      <c r="D27" s="1230"/>
      <c r="E27" s="544">
        <f t="shared" si="0"/>
        <v>7.9754901960784332</v>
      </c>
      <c r="F27" s="544">
        <f>IF(E18="","",SUM(E18:E28))</f>
        <v>100.00000000000001</v>
      </c>
      <c r="G27" s="544">
        <f>'2° Granulometrías'!S20</f>
        <v>5.4852941176470589</v>
      </c>
      <c r="H27" s="545"/>
      <c r="I27" s="545">
        <v>4</v>
      </c>
      <c r="J27" s="546"/>
      <c r="K27" s="261"/>
      <c r="L27" s="373">
        <v>2</v>
      </c>
      <c r="M27" s="374">
        <v>2</v>
      </c>
      <c r="N27" s="360"/>
      <c r="O27" s="372">
        <v>4</v>
      </c>
      <c r="P27" s="409"/>
      <c r="Q27" s="375"/>
      <c r="R27" s="375"/>
      <c r="S27" s="375"/>
      <c r="T27" s="375"/>
      <c r="U27" s="375"/>
      <c r="V27" s="375"/>
      <c r="W27" s="375"/>
      <c r="X27" s="375"/>
      <c r="Y27" s="375"/>
      <c r="Z27" s="375"/>
      <c r="AA27" s="375"/>
      <c r="AB27" s="375"/>
      <c r="AC27" s="375"/>
      <c r="AD27" s="375"/>
      <c r="AO27" s="359"/>
      <c r="AP27" s="359"/>
      <c r="AR27" s="357"/>
      <c r="AS27" s="357"/>
      <c r="DO27" s="359"/>
      <c r="DP27" s="359"/>
    </row>
    <row r="28" spans="2:120" ht="13" hidden="1" thickBot="1" x14ac:dyDescent="0.3">
      <c r="B28" s="450"/>
      <c r="C28" s="1229" t="s">
        <v>251</v>
      </c>
      <c r="D28" s="1230"/>
      <c r="E28" s="544">
        <f t="shared" si="0"/>
        <v>5.4852941176470589</v>
      </c>
      <c r="F28" s="544">
        <f>IF(E18="","",SUM(E18:E28))</f>
        <v>100.00000000000001</v>
      </c>
      <c r="G28" s="544">
        <f>'2° Granulometrías'!S21</f>
        <v>0</v>
      </c>
      <c r="H28" s="545"/>
      <c r="I28" s="545">
        <v>0</v>
      </c>
      <c r="J28" s="546"/>
      <c r="K28" s="261"/>
      <c r="L28" s="376">
        <v>0</v>
      </c>
      <c r="M28" s="377">
        <v>0</v>
      </c>
      <c r="N28" s="360"/>
      <c r="O28" s="372">
        <v>3</v>
      </c>
      <c r="P28" s="409"/>
      <c r="Q28" s="375"/>
      <c r="R28" s="375"/>
      <c r="S28" s="375"/>
      <c r="T28" s="375"/>
      <c r="U28" s="375"/>
      <c r="V28" s="375"/>
      <c r="W28" s="375"/>
      <c r="X28" s="375"/>
      <c r="Y28" s="375"/>
      <c r="Z28" s="375"/>
      <c r="AA28" s="375"/>
      <c r="AB28" s="375"/>
      <c r="AC28" s="375"/>
      <c r="AD28" s="375"/>
      <c r="AO28" s="359"/>
      <c r="AP28" s="359"/>
      <c r="AR28" s="357"/>
      <c r="AS28" s="357"/>
      <c r="DO28" s="359"/>
      <c r="DP28" s="359"/>
    </row>
    <row r="29" spans="2:120" ht="13" hidden="1" thickBot="1" x14ac:dyDescent="0.3">
      <c r="B29" s="450"/>
      <c r="C29" s="1238" t="s">
        <v>252</v>
      </c>
      <c r="D29" s="1239"/>
      <c r="E29" s="547">
        <f>SUM(E17:E28)</f>
        <v>100.00000000000001</v>
      </c>
      <c r="F29" s="548"/>
      <c r="G29" s="547" t="str">
        <f>IF(F29="","",(100-F29))</f>
        <v/>
      </c>
      <c r="H29" s="549"/>
      <c r="I29" s="550"/>
      <c r="J29" s="551"/>
      <c r="L29" s="378"/>
      <c r="M29" s="378"/>
      <c r="N29" s="360"/>
      <c r="O29" s="358"/>
      <c r="P29" s="409"/>
      <c r="Q29" s="375"/>
      <c r="R29" s="375"/>
      <c r="S29" s="375"/>
      <c r="T29" s="375"/>
      <c r="U29" s="375"/>
      <c r="V29" s="375"/>
      <c r="W29" s="375"/>
      <c r="X29" s="375"/>
      <c r="Y29" s="375"/>
      <c r="Z29" s="375"/>
      <c r="AA29" s="375"/>
      <c r="AB29" s="375"/>
      <c r="AC29" s="375"/>
      <c r="AD29" s="375"/>
      <c r="AO29" s="359"/>
      <c r="AP29" s="359"/>
      <c r="AR29" s="357"/>
      <c r="AS29" s="357"/>
      <c r="DO29" s="359"/>
      <c r="DP29" s="359"/>
    </row>
    <row r="30" spans="2:120" hidden="1" x14ac:dyDescent="0.25">
      <c r="B30" s="450"/>
      <c r="D30" s="3"/>
      <c r="E30" s="3"/>
      <c r="F30" s="3"/>
      <c r="G30" s="379"/>
      <c r="H30" s="3"/>
      <c r="I30" s="3"/>
      <c r="J30" s="3"/>
      <c r="K30" s="3"/>
      <c r="P30" s="451"/>
      <c r="R30" s="375"/>
      <c r="S30" s="375"/>
      <c r="T30" s="375"/>
      <c r="U30" s="375"/>
      <c r="V30" s="375"/>
      <c r="W30" s="375"/>
      <c r="X30" s="375"/>
      <c r="Y30" s="375"/>
      <c r="Z30" s="375"/>
      <c r="AA30" s="375"/>
      <c r="AB30" s="375"/>
      <c r="AC30" s="375"/>
      <c r="AD30" s="375"/>
      <c r="AE30" s="375"/>
      <c r="AF30" s="375"/>
    </row>
    <row r="31" spans="2:120" ht="14" x14ac:dyDescent="0.3">
      <c r="B31" s="450"/>
      <c r="P31" s="451"/>
      <c r="R31" s="375"/>
      <c r="S31" s="380"/>
      <c r="T31" s="1226" t="s">
        <v>253</v>
      </c>
      <c r="U31" s="1226"/>
      <c r="V31" s="1226"/>
      <c r="W31" s="1226"/>
      <c r="X31" s="1226"/>
      <c r="Y31" s="1226"/>
      <c r="Z31" s="1226"/>
      <c r="AA31" s="1226"/>
      <c r="AB31" s="1226"/>
      <c r="AC31" s="1226"/>
      <c r="AD31" s="1226"/>
      <c r="AE31" s="375"/>
      <c r="AF31" s="375"/>
    </row>
    <row r="32" spans="2:120" ht="13" x14ac:dyDescent="0.3">
      <c r="B32" s="450"/>
      <c r="P32" s="451"/>
      <c r="R32" s="375"/>
      <c r="S32" s="380"/>
      <c r="T32" s="1227" t="s">
        <v>254</v>
      </c>
      <c r="U32" s="1227"/>
      <c r="V32" s="1227"/>
      <c r="W32" s="1227"/>
      <c r="X32" s="1227"/>
      <c r="Y32" s="1227"/>
      <c r="Z32" s="1227"/>
      <c r="AA32" s="1227"/>
      <c r="AB32" s="1227"/>
      <c r="AC32" s="1227"/>
      <c r="AD32" s="1227"/>
      <c r="AE32" s="375"/>
      <c r="AF32" s="375"/>
    </row>
    <row r="33" spans="2:70" ht="34.5" customHeight="1" x14ac:dyDescent="0.35">
      <c r="B33" s="450"/>
      <c r="P33" s="451"/>
      <c r="R33" s="375"/>
      <c r="S33" s="381" t="s">
        <v>155</v>
      </c>
      <c r="T33" s="382"/>
      <c r="U33" s="383">
        <v>150</v>
      </c>
      <c r="V33" s="384">
        <v>200</v>
      </c>
      <c r="W33" s="384">
        <v>250</v>
      </c>
      <c r="X33" s="384">
        <v>300</v>
      </c>
      <c r="Y33" s="384">
        <v>350</v>
      </c>
      <c r="Z33" s="384">
        <v>400</v>
      </c>
      <c r="AA33" s="384">
        <v>450</v>
      </c>
      <c r="AB33" s="384">
        <v>500</v>
      </c>
      <c r="AC33" s="384">
        <v>550</v>
      </c>
      <c r="AD33" s="385">
        <v>600</v>
      </c>
      <c r="AE33" s="375"/>
      <c r="AF33" s="375"/>
    </row>
    <row r="34" spans="2:70" ht="15.5" x14ac:dyDescent="0.35">
      <c r="B34" s="450"/>
      <c r="P34" s="451"/>
      <c r="R34" s="375"/>
      <c r="S34" s="386"/>
      <c r="T34" s="386"/>
      <c r="U34" s="387"/>
      <c r="V34" s="388"/>
      <c r="W34" s="388"/>
      <c r="X34" s="388"/>
      <c r="Y34" s="388"/>
      <c r="Z34" s="388"/>
      <c r="AA34" s="388"/>
      <c r="AB34" s="388"/>
      <c r="AC34" s="388"/>
      <c r="AD34" s="389"/>
      <c r="AE34" s="375"/>
      <c r="AF34" s="375"/>
      <c r="BA34" s="390"/>
      <c r="BB34" s="390"/>
      <c r="BC34" s="390"/>
      <c r="BD34" s="390"/>
      <c r="BE34" s="390"/>
      <c r="BF34" s="390"/>
      <c r="BG34" s="390"/>
      <c r="BH34" s="390"/>
      <c r="BI34" s="390"/>
      <c r="BJ34" s="390"/>
      <c r="BK34" s="390"/>
      <c r="BL34" s="390"/>
      <c r="BM34" s="390"/>
      <c r="BN34" s="390"/>
      <c r="BO34" s="390"/>
      <c r="BP34" s="390"/>
      <c r="BQ34" s="390"/>
      <c r="BR34" s="390"/>
    </row>
    <row r="35" spans="2:70" ht="13.5" customHeight="1" x14ac:dyDescent="0.35">
      <c r="B35" s="450"/>
      <c r="P35" s="451"/>
      <c r="R35" s="375"/>
      <c r="S35" s="391" t="s">
        <v>255</v>
      </c>
      <c r="T35" s="391"/>
      <c r="U35" s="387">
        <v>3.77</v>
      </c>
      <c r="V35" s="388">
        <v>3.86</v>
      </c>
      <c r="W35" s="388">
        <v>3.95</v>
      </c>
      <c r="X35" s="388">
        <v>4.04</v>
      </c>
      <c r="Y35" s="388">
        <v>4.13</v>
      </c>
      <c r="Z35" s="388">
        <v>4.22</v>
      </c>
      <c r="AA35" s="388">
        <v>4.3099999999999996</v>
      </c>
      <c r="AB35" s="392">
        <v>4.4000000000000004</v>
      </c>
      <c r="AC35" s="388">
        <v>4.49</v>
      </c>
      <c r="AD35" s="389">
        <v>4.58</v>
      </c>
      <c r="AE35" s="375"/>
      <c r="AF35" s="375"/>
      <c r="BA35" s="390"/>
      <c r="BB35" s="390"/>
      <c r="BC35" s="390"/>
      <c r="BD35" s="390"/>
      <c r="BE35" s="390"/>
      <c r="BF35" s="390"/>
      <c r="BG35" s="390"/>
      <c r="BH35" s="390"/>
      <c r="BI35" s="390"/>
      <c r="BJ35" s="390"/>
      <c r="BK35" s="390"/>
      <c r="BL35" s="390"/>
      <c r="BM35" s="390"/>
      <c r="BN35" s="390"/>
      <c r="BO35" s="390"/>
      <c r="BP35" s="390"/>
      <c r="BQ35" s="390"/>
      <c r="BR35" s="390"/>
    </row>
    <row r="36" spans="2:70" ht="15.5" x14ac:dyDescent="0.35">
      <c r="B36" s="450"/>
      <c r="P36" s="451"/>
      <c r="R36" s="375"/>
      <c r="S36" s="386" t="s">
        <v>256</v>
      </c>
      <c r="T36" s="386"/>
      <c r="U36" s="387">
        <v>4.07</v>
      </c>
      <c r="V36" s="388">
        <v>4.16</v>
      </c>
      <c r="W36" s="388">
        <v>4.25</v>
      </c>
      <c r="X36" s="388">
        <v>4.34</v>
      </c>
      <c r="Y36" s="388">
        <v>4.43</v>
      </c>
      <c r="Z36" s="388">
        <v>4.5199999999999996</v>
      </c>
      <c r="AA36" s="388">
        <v>4.6100000000000003</v>
      </c>
      <c r="AB36" s="388">
        <v>4.7</v>
      </c>
      <c r="AC36" s="388">
        <v>4.79</v>
      </c>
      <c r="AD36" s="389">
        <v>4.88</v>
      </c>
      <c r="AE36" s="375"/>
      <c r="AF36" s="375"/>
      <c r="BA36" s="390"/>
      <c r="BB36" s="390"/>
      <c r="BC36" s="390"/>
      <c r="BD36" s="390"/>
      <c r="BE36" s="390"/>
      <c r="BF36" s="390"/>
      <c r="BG36" s="390"/>
      <c r="BH36" s="390"/>
      <c r="BI36" s="390"/>
      <c r="BJ36" s="390"/>
      <c r="BK36" s="390"/>
      <c r="BL36" s="390"/>
      <c r="BM36" s="390"/>
      <c r="BN36" s="390"/>
      <c r="BO36" s="390"/>
      <c r="BP36" s="390"/>
      <c r="BQ36" s="390"/>
      <c r="BR36" s="390"/>
    </row>
    <row r="37" spans="2:70" ht="15.5" x14ac:dyDescent="0.35">
      <c r="B37" s="450"/>
      <c r="P37" s="451"/>
      <c r="R37" s="375"/>
      <c r="S37" s="391" t="s">
        <v>257</v>
      </c>
      <c r="T37" s="393"/>
      <c r="U37" s="387">
        <v>4.7699999999999996</v>
      </c>
      <c r="V37" s="388">
        <v>4.8600000000000003</v>
      </c>
      <c r="W37" s="388">
        <v>4.95</v>
      </c>
      <c r="X37" s="388">
        <v>5.04</v>
      </c>
      <c r="Y37" s="388">
        <v>5.13</v>
      </c>
      <c r="Z37" s="388">
        <v>5.22</v>
      </c>
      <c r="AA37" s="388">
        <v>5.31</v>
      </c>
      <c r="AB37" s="392">
        <v>5.4</v>
      </c>
      <c r="AC37" s="388">
        <v>5.49</v>
      </c>
      <c r="AD37" s="389">
        <v>5.58</v>
      </c>
      <c r="AE37" s="375"/>
      <c r="AF37" s="375"/>
      <c r="BA37" s="390"/>
      <c r="BB37" s="390"/>
      <c r="BC37" s="390"/>
      <c r="BD37" s="390"/>
      <c r="BE37" s="390"/>
      <c r="BF37" s="390"/>
      <c r="BG37" s="390"/>
      <c r="BH37" s="390"/>
      <c r="BI37" s="390"/>
      <c r="BJ37" s="390"/>
      <c r="BK37" s="390"/>
      <c r="BL37" s="390"/>
      <c r="BM37" s="390"/>
      <c r="BN37" s="390"/>
      <c r="BO37" s="390"/>
      <c r="BP37" s="390"/>
      <c r="BQ37" s="390"/>
      <c r="BR37" s="390"/>
    </row>
    <row r="38" spans="2:70" ht="15.5" x14ac:dyDescent="0.35">
      <c r="B38" s="450"/>
      <c r="P38" s="451"/>
      <c r="R38" s="375"/>
      <c r="S38" s="386" t="s">
        <v>258</v>
      </c>
      <c r="T38" s="386"/>
      <c r="U38" s="387">
        <v>4.92</v>
      </c>
      <c r="V38" s="388">
        <v>5.01</v>
      </c>
      <c r="W38" s="388">
        <v>5.0999999999999996</v>
      </c>
      <c r="X38" s="388">
        <v>5.19</v>
      </c>
      <c r="Y38" s="388">
        <v>5.28</v>
      </c>
      <c r="Z38" s="388">
        <v>5.37</v>
      </c>
      <c r="AA38" s="388">
        <v>5.46</v>
      </c>
      <c r="AB38" s="388">
        <v>5.55</v>
      </c>
      <c r="AC38" s="388">
        <v>5.64</v>
      </c>
      <c r="AD38" s="389">
        <v>5.73</v>
      </c>
      <c r="AE38" s="375"/>
      <c r="AF38" s="375"/>
      <c r="BA38" s="390"/>
      <c r="BB38" s="390"/>
      <c r="BC38" s="390"/>
      <c r="BD38" s="390"/>
      <c r="BE38" s="390"/>
      <c r="BF38" s="390"/>
      <c r="BG38" s="390"/>
      <c r="BH38" s="390"/>
      <c r="BI38" s="390"/>
      <c r="BJ38" s="390"/>
      <c r="BK38" s="390"/>
      <c r="BL38" s="390"/>
      <c r="BM38" s="390"/>
      <c r="BN38" s="390"/>
      <c r="BO38" s="390"/>
      <c r="BP38" s="390"/>
      <c r="BQ38" s="390"/>
      <c r="BR38" s="390"/>
    </row>
    <row r="39" spans="2:70" ht="15.5" x14ac:dyDescent="0.35">
      <c r="B39" s="450"/>
      <c r="P39" s="451"/>
      <c r="R39" s="375"/>
      <c r="S39" s="391" t="s">
        <v>259</v>
      </c>
      <c r="T39" s="393"/>
      <c r="U39" s="394">
        <v>5.37</v>
      </c>
      <c r="V39" s="395">
        <v>5.46</v>
      </c>
      <c r="W39" s="395">
        <v>5.55</v>
      </c>
      <c r="X39" s="395">
        <v>5.64</v>
      </c>
      <c r="Y39" s="395">
        <v>5.73</v>
      </c>
      <c r="Z39" s="395">
        <v>5.82</v>
      </c>
      <c r="AA39" s="395">
        <v>5.91</v>
      </c>
      <c r="AB39" s="396">
        <v>6</v>
      </c>
      <c r="AC39" s="395">
        <v>6.09</v>
      </c>
      <c r="AD39" s="397">
        <v>6.18</v>
      </c>
      <c r="AE39" s="375"/>
      <c r="AF39" s="375"/>
      <c r="BA39" s="390"/>
      <c r="BB39" s="390"/>
      <c r="BC39" s="390"/>
      <c r="BD39" s="390"/>
      <c r="BE39" s="390"/>
      <c r="BF39" s="390"/>
      <c r="BG39" s="390"/>
      <c r="BH39" s="390"/>
      <c r="BI39" s="390"/>
      <c r="BJ39" s="390"/>
      <c r="BK39" s="390"/>
      <c r="BL39" s="390"/>
      <c r="BM39" s="390"/>
      <c r="BN39" s="390"/>
      <c r="BO39" s="390"/>
      <c r="BP39" s="390"/>
      <c r="BQ39" s="390"/>
      <c r="BR39" s="390"/>
    </row>
    <row r="40" spans="2:70" ht="13" x14ac:dyDescent="0.3">
      <c r="B40" s="450"/>
      <c r="P40" s="451"/>
      <c r="R40" s="375"/>
      <c r="S40" s="375"/>
      <c r="T40" s="375"/>
      <c r="U40" s="398"/>
      <c r="V40" s="398"/>
      <c r="W40" s="398"/>
      <c r="X40" s="398"/>
      <c r="Y40" s="398"/>
      <c r="Z40" s="398"/>
      <c r="AA40" s="398"/>
      <c r="AB40" s="398"/>
      <c r="AC40" s="398"/>
      <c r="AD40" s="398"/>
      <c r="AE40" s="375"/>
      <c r="AF40" s="375"/>
      <c r="BA40" s="390"/>
      <c r="BB40" s="390"/>
      <c r="BC40" s="390"/>
      <c r="BD40" s="390"/>
      <c r="BE40" s="390"/>
      <c r="BF40" s="390"/>
      <c r="BG40" s="390"/>
      <c r="BH40" s="390"/>
      <c r="BI40" s="390"/>
      <c r="BJ40" s="390"/>
      <c r="BK40" s="390"/>
      <c r="BL40" s="390"/>
      <c r="BM40" s="390"/>
      <c r="BN40" s="390"/>
      <c r="BO40" s="390"/>
      <c r="BP40" s="390"/>
      <c r="BQ40" s="390"/>
      <c r="BR40" s="390"/>
    </row>
    <row r="41" spans="2:70" x14ac:dyDescent="0.25">
      <c r="B41" s="450"/>
      <c r="P41" s="451"/>
      <c r="R41" s="375"/>
      <c r="S41" s="375"/>
      <c r="T41" s="375"/>
      <c r="U41" s="375"/>
      <c r="V41" s="375"/>
      <c r="W41" s="375"/>
      <c r="X41" s="375"/>
      <c r="Y41" s="375"/>
      <c r="Z41" s="375"/>
      <c r="AA41" s="375"/>
      <c r="AB41" s="375"/>
      <c r="AC41" s="375"/>
      <c r="AD41" s="375"/>
      <c r="AE41" s="375"/>
      <c r="AF41" s="375"/>
      <c r="BA41" s="390"/>
      <c r="BB41" s="390"/>
      <c r="BC41" s="390"/>
      <c r="BD41" s="390"/>
      <c r="BE41" s="390"/>
      <c r="BF41" s="390"/>
      <c r="BG41" s="390"/>
      <c r="BH41" s="390"/>
      <c r="BI41" s="390"/>
      <c r="BJ41" s="390"/>
      <c r="BK41" s="390"/>
      <c r="BL41" s="390"/>
      <c r="BM41" s="390"/>
      <c r="BN41" s="390"/>
      <c r="BO41" s="390"/>
      <c r="BP41" s="390"/>
      <c r="BQ41" s="390"/>
      <c r="BR41" s="390"/>
    </row>
    <row r="42" spans="2:70" x14ac:dyDescent="0.25">
      <c r="B42" s="450"/>
      <c r="P42" s="451"/>
      <c r="R42" s="375"/>
      <c r="S42" s="375"/>
      <c r="T42" s="375"/>
      <c r="U42" s="375"/>
      <c r="V42" s="375"/>
      <c r="W42" s="375"/>
      <c r="X42" s="375"/>
      <c r="Y42" s="375"/>
      <c r="Z42" s="375"/>
      <c r="AA42" s="375"/>
      <c r="AB42" s="375"/>
      <c r="AC42" s="375"/>
      <c r="AD42" s="375"/>
      <c r="AE42" s="375"/>
      <c r="AF42" s="375"/>
      <c r="BA42" s="390"/>
      <c r="BB42" s="390"/>
      <c r="BC42" s="390"/>
      <c r="BD42" s="390"/>
      <c r="BE42" s="390"/>
      <c r="BF42" s="390"/>
      <c r="BG42" s="390"/>
      <c r="BH42" s="390"/>
      <c r="BI42" s="390"/>
      <c r="BJ42" s="390"/>
      <c r="BK42" s="390"/>
      <c r="BL42" s="390"/>
      <c r="BM42" s="390"/>
      <c r="BN42" s="390"/>
      <c r="BO42" s="390"/>
      <c r="BP42" s="390"/>
      <c r="BQ42" s="390"/>
      <c r="BR42" s="390"/>
    </row>
    <row r="43" spans="2:70" x14ac:dyDescent="0.25">
      <c r="B43" s="450"/>
      <c r="P43" s="451"/>
      <c r="R43" s="375"/>
      <c r="S43" s="375"/>
      <c r="T43" s="375"/>
      <c r="U43" s="375"/>
      <c r="V43" s="375"/>
      <c r="W43" s="375"/>
      <c r="X43" s="375"/>
      <c r="Y43" s="375"/>
      <c r="Z43" s="375"/>
      <c r="AA43" s="375"/>
      <c r="AB43" s="375"/>
      <c r="AC43" s="375"/>
      <c r="AD43" s="375"/>
      <c r="AE43" s="375"/>
      <c r="AF43" s="375"/>
      <c r="BA43" s="390"/>
      <c r="BB43" s="390"/>
      <c r="BC43" s="390"/>
      <c r="BD43" s="390"/>
      <c r="BE43" s="390"/>
      <c r="BF43" s="390"/>
      <c r="BG43" s="390"/>
      <c r="BH43" s="390"/>
      <c r="BI43" s="390"/>
      <c r="BJ43" s="390"/>
      <c r="BK43" s="390"/>
      <c r="BL43" s="390"/>
      <c r="BM43" s="390"/>
      <c r="BN43" s="390"/>
      <c r="BO43" s="390"/>
      <c r="BP43" s="390"/>
      <c r="BQ43" s="390"/>
      <c r="BR43" s="390"/>
    </row>
    <row r="44" spans="2:70" x14ac:dyDescent="0.25">
      <c r="B44" s="450"/>
      <c r="P44" s="451"/>
      <c r="R44" s="375"/>
      <c r="S44" s="375"/>
      <c r="T44" s="375"/>
      <c r="U44" s="375"/>
      <c r="V44" s="375"/>
      <c r="W44" s="375"/>
      <c r="X44" s="375"/>
      <c r="Y44" s="375"/>
      <c r="Z44" s="375"/>
      <c r="AA44" s="375"/>
      <c r="AB44" s="375"/>
      <c r="AC44" s="375"/>
      <c r="AD44" s="375"/>
      <c r="AE44" s="375"/>
      <c r="AF44" s="375"/>
      <c r="BA44" s="390"/>
      <c r="BB44" s="390"/>
      <c r="BC44" s="390"/>
      <c r="BD44" s="390"/>
      <c r="BE44" s="390"/>
      <c r="BF44" s="390"/>
      <c r="BG44" s="390"/>
      <c r="BH44" s="390"/>
      <c r="BI44" s="390"/>
      <c r="BJ44" s="390"/>
      <c r="BK44" s="390"/>
      <c r="BL44" s="390"/>
      <c r="BM44" s="390"/>
      <c r="BN44" s="390"/>
      <c r="BO44" s="390"/>
      <c r="BP44" s="390"/>
      <c r="BQ44" s="390"/>
      <c r="BR44" s="390"/>
    </row>
    <row r="45" spans="2:70" ht="17.5" x14ac:dyDescent="0.35">
      <c r="B45" s="450"/>
      <c r="P45" s="451"/>
      <c r="R45" s="375"/>
      <c r="S45" s="391" t="s">
        <v>255</v>
      </c>
      <c r="T45" s="399">
        <f>(0.0018*K11)+3.5</f>
        <v>4.1029999999999998</v>
      </c>
      <c r="U45" s="375"/>
      <c r="V45" s="400" t="s">
        <v>260</v>
      </c>
      <c r="W45" s="400">
        <f>IF(K13=10,T45,IF(K13=13,T46,IF(K13=20,T47,IF(K13=25,T48,IF(K13=40,T49,"Dato Incorrecto")))))</f>
        <v>5.7029999999999994</v>
      </c>
      <c r="X45" s="400"/>
      <c r="Y45" s="375"/>
      <c r="Z45" s="375"/>
      <c r="AA45" s="375"/>
      <c r="AB45" s="375"/>
      <c r="AC45" s="375"/>
      <c r="AD45" s="375"/>
      <c r="AE45" s="375"/>
      <c r="AF45" s="375"/>
      <c r="BA45" s="390"/>
      <c r="BB45" s="390"/>
      <c r="BC45" s="390"/>
      <c r="BD45" s="390"/>
      <c r="BE45" s="390"/>
      <c r="BF45" s="390"/>
      <c r="BG45" s="390"/>
      <c r="BH45" s="390"/>
      <c r="BI45" s="390"/>
      <c r="BJ45" s="390"/>
      <c r="BK45" s="390"/>
      <c r="BL45" s="390"/>
      <c r="BM45" s="390"/>
      <c r="BN45" s="390"/>
      <c r="BO45" s="390"/>
      <c r="BP45" s="390"/>
      <c r="BQ45" s="390"/>
      <c r="BR45" s="390"/>
    </row>
    <row r="46" spans="2:70" ht="15.5" x14ac:dyDescent="0.35">
      <c r="B46" s="450"/>
      <c r="P46" s="451"/>
      <c r="R46" s="375"/>
      <c r="S46" s="391" t="s">
        <v>261</v>
      </c>
      <c r="T46" s="399">
        <f>(0.0018*K11)+3.8</f>
        <v>4.4029999999999996</v>
      </c>
      <c r="U46" s="375"/>
      <c r="V46" s="375"/>
      <c r="W46" s="375"/>
      <c r="X46" s="375"/>
      <c r="Y46" s="375"/>
      <c r="Z46" s="375"/>
      <c r="AA46" s="375"/>
      <c r="AB46" s="375"/>
      <c r="AC46" s="375"/>
      <c r="AD46" s="375"/>
      <c r="AE46" s="375"/>
      <c r="AF46" s="375"/>
      <c r="BA46" s="390"/>
      <c r="BB46" s="390"/>
      <c r="BC46" s="390"/>
      <c r="BD46" s="390"/>
      <c r="BE46" s="390"/>
      <c r="BF46" s="390"/>
      <c r="BG46" s="390"/>
      <c r="BH46" s="390"/>
      <c r="BI46" s="390"/>
      <c r="BJ46" s="390"/>
      <c r="BK46" s="390"/>
      <c r="BL46" s="390"/>
      <c r="BM46" s="390"/>
      <c r="BN46" s="390"/>
      <c r="BO46" s="390"/>
      <c r="BP46" s="390"/>
      <c r="BQ46" s="390"/>
      <c r="BR46" s="390"/>
    </row>
    <row r="47" spans="2:70" ht="15.5" x14ac:dyDescent="0.35">
      <c r="B47" s="450"/>
      <c r="P47" s="451"/>
      <c r="R47" s="375"/>
      <c r="S47" s="391" t="s">
        <v>257</v>
      </c>
      <c r="T47" s="399">
        <f>(0.0018*K11)+4.5</f>
        <v>5.1029999999999998</v>
      </c>
      <c r="U47" s="375"/>
      <c r="V47" s="375"/>
      <c r="W47" s="375"/>
      <c r="X47" s="375"/>
      <c r="Y47" s="375"/>
      <c r="Z47" s="375"/>
      <c r="AA47" s="375"/>
      <c r="AB47" s="375"/>
      <c r="AC47" s="375"/>
      <c r="AD47" s="375"/>
      <c r="AE47" s="375"/>
      <c r="AF47" s="375"/>
      <c r="BA47" s="390"/>
      <c r="BB47" s="390"/>
      <c r="BC47" s="390"/>
      <c r="BD47" s="390"/>
      <c r="BE47" s="390"/>
      <c r="BF47" s="390"/>
      <c r="BG47" s="390"/>
      <c r="BH47" s="390"/>
      <c r="BI47" s="390"/>
      <c r="BJ47" s="390"/>
      <c r="BK47" s="390"/>
      <c r="BL47" s="390"/>
      <c r="BM47" s="390"/>
      <c r="BN47" s="390"/>
      <c r="BO47" s="390"/>
      <c r="BP47" s="390"/>
      <c r="BQ47" s="390"/>
      <c r="BR47" s="390"/>
    </row>
    <row r="48" spans="2:70" ht="15.5" x14ac:dyDescent="0.35">
      <c r="B48" s="450"/>
      <c r="P48" s="451"/>
      <c r="R48" s="375"/>
      <c r="S48" s="391" t="s">
        <v>258</v>
      </c>
      <c r="T48" s="399">
        <f>(0.0018*K11)+4.65</f>
        <v>5.2530000000000001</v>
      </c>
      <c r="U48" s="375"/>
      <c r="V48" s="375"/>
      <c r="W48" s="375"/>
      <c r="X48" s="375"/>
      <c r="Y48" s="375"/>
      <c r="Z48" s="375"/>
      <c r="AA48" s="375"/>
      <c r="AB48" s="375"/>
      <c r="AC48" s="375"/>
      <c r="AD48" s="375"/>
      <c r="AE48" s="375"/>
      <c r="AF48" s="375"/>
      <c r="BA48" s="390"/>
      <c r="BB48" s="390"/>
      <c r="BC48" s="390"/>
      <c r="BD48" s="390"/>
      <c r="BE48" s="390"/>
      <c r="BF48" s="390"/>
      <c r="BG48" s="390"/>
      <c r="BH48" s="390"/>
      <c r="BI48" s="390"/>
      <c r="BJ48" s="390"/>
      <c r="BK48" s="390"/>
      <c r="BL48" s="390"/>
      <c r="BM48" s="390"/>
      <c r="BN48" s="390"/>
      <c r="BO48" s="390"/>
      <c r="BP48" s="390"/>
      <c r="BQ48" s="390"/>
      <c r="BR48" s="390"/>
    </row>
    <row r="49" spans="2:70" ht="15.5" x14ac:dyDescent="0.35">
      <c r="B49" s="450"/>
      <c r="P49" s="451"/>
      <c r="R49" s="375"/>
      <c r="S49" s="391" t="s">
        <v>259</v>
      </c>
      <c r="T49" s="399">
        <f>(0.0018*K11)+5.1</f>
        <v>5.7029999999999994</v>
      </c>
      <c r="U49" s="375"/>
      <c r="V49" s="375"/>
      <c r="W49" s="375"/>
      <c r="X49" s="375"/>
      <c r="Y49" s="375"/>
      <c r="Z49" s="375"/>
      <c r="AA49" s="375"/>
      <c r="AB49" s="375"/>
      <c r="AC49" s="375"/>
      <c r="AD49" s="375"/>
      <c r="AE49" s="375"/>
      <c r="AF49" s="375"/>
      <c r="BA49" s="390"/>
      <c r="BB49" s="390"/>
      <c r="BC49" s="390"/>
      <c r="BD49" s="390"/>
      <c r="BE49" s="390"/>
      <c r="BF49" s="390"/>
      <c r="BG49" s="390"/>
      <c r="BH49" s="390"/>
      <c r="BI49" s="390"/>
      <c r="BJ49" s="390"/>
      <c r="BK49" s="390"/>
      <c r="BL49" s="390"/>
      <c r="BM49" s="390"/>
      <c r="BN49" s="390"/>
      <c r="BO49" s="390"/>
      <c r="BP49" s="390"/>
      <c r="BQ49" s="390"/>
      <c r="BR49" s="390"/>
    </row>
    <row r="50" spans="2:70" ht="15.5" x14ac:dyDescent="0.35">
      <c r="B50" s="450"/>
      <c r="P50" s="451"/>
      <c r="R50" s="375"/>
      <c r="S50" s="375"/>
      <c r="T50" s="399"/>
      <c r="U50" s="375"/>
      <c r="V50" s="375"/>
      <c r="W50" s="375"/>
      <c r="X50" s="375"/>
      <c r="Y50" s="375"/>
      <c r="Z50" s="375"/>
      <c r="AA50" s="375"/>
      <c r="AB50" s="375"/>
      <c r="AC50" s="375"/>
      <c r="AD50" s="375"/>
      <c r="AE50" s="375"/>
      <c r="AF50" s="375"/>
      <c r="BA50" s="390"/>
      <c r="BB50" s="390"/>
      <c r="BC50" s="390"/>
      <c r="BD50" s="390"/>
      <c r="BE50" s="390"/>
      <c r="BF50" s="390"/>
      <c r="BG50" s="390"/>
      <c r="BH50" s="390"/>
      <c r="BI50" s="390"/>
      <c r="BJ50" s="390"/>
      <c r="BK50" s="390"/>
      <c r="BL50" s="390"/>
      <c r="BM50" s="390"/>
      <c r="BN50" s="390"/>
      <c r="BO50" s="390"/>
      <c r="BP50" s="390"/>
      <c r="BQ50" s="390"/>
      <c r="BR50" s="390"/>
    </row>
    <row r="51" spans="2:70" x14ac:dyDescent="0.25">
      <c r="B51" s="450"/>
      <c r="P51" s="451"/>
      <c r="R51" s="375"/>
      <c r="S51" s="375"/>
      <c r="T51" s="375"/>
      <c r="U51" s="375"/>
      <c r="V51" s="375"/>
      <c r="W51" s="375"/>
      <c r="X51" s="375"/>
      <c r="Y51" s="375"/>
      <c r="Z51" s="375"/>
      <c r="AA51" s="375"/>
      <c r="AB51" s="375"/>
      <c r="AC51" s="375"/>
      <c r="AD51" s="375"/>
      <c r="AE51" s="375"/>
      <c r="AF51" s="375"/>
      <c r="BA51" s="390"/>
      <c r="BB51" s="390"/>
      <c r="BC51" s="390"/>
      <c r="BD51" s="390"/>
      <c r="BE51" s="390"/>
      <c r="BF51" s="390"/>
      <c r="BG51" s="390"/>
      <c r="BH51" s="390"/>
      <c r="BI51" s="390"/>
      <c r="BJ51" s="390"/>
      <c r="BK51" s="390"/>
      <c r="BL51" s="390"/>
      <c r="BM51" s="390"/>
      <c r="BN51" s="390"/>
      <c r="BO51" s="390"/>
      <c r="BP51" s="390"/>
      <c r="BQ51" s="390"/>
      <c r="BR51" s="390"/>
    </row>
    <row r="52" spans="2:70" x14ac:dyDescent="0.25">
      <c r="B52" s="450"/>
      <c r="P52" s="451"/>
      <c r="R52" s="375"/>
      <c r="S52" s="375" t="s">
        <v>262</v>
      </c>
      <c r="T52" s="401">
        <f>(N63*100)*G11</f>
        <v>104.53747480735036</v>
      </c>
      <c r="U52" s="375"/>
      <c r="V52" s="375"/>
      <c r="W52" s="375"/>
      <c r="X52" s="375"/>
      <c r="Y52" s="375"/>
      <c r="Z52" s="375"/>
      <c r="AA52" s="375"/>
      <c r="AB52" s="375"/>
      <c r="AC52" s="375"/>
      <c r="AD52" s="375"/>
      <c r="AE52" s="375"/>
      <c r="AF52" s="375"/>
      <c r="BA52" s="390"/>
      <c r="BB52" s="390"/>
      <c r="BC52" s="390"/>
      <c r="BD52" s="390"/>
      <c r="BE52" s="390"/>
      <c r="BF52" s="390"/>
      <c r="BG52" s="390"/>
      <c r="BH52" s="390"/>
      <c r="BI52" s="390"/>
      <c r="BJ52" s="390"/>
      <c r="BK52" s="390"/>
      <c r="BL52" s="390"/>
      <c r="BM52" s="390"/>
      <c r="BN52" s="390"/>
      <c r="BO52" s="390"/>
      <c r="BP52" s="390"/>
      <c r="BQ52" s="390"/>
      <c r="BR52" s="390"/>
    </row>
    <row r="53" spans="2:70" x14ac:dyDescent="0.25">
      <c r="B53" s="450"/>
      <c r="P53" s="451"/>
      <c r="R53" s="375"/>
      <c r="S53" s="375" t="s">
        <v>263</v>
      </c>
      <c r="T53" s="401">
        <f>(100-(N63*100))*G13</f>
        <v>165.29232957913453</v>
      </c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BA53" s="390"/>
      <c r="BB53" s="390"/>
      <c r="BC53" s="390"/>
      <c r="BD53" s="390"/>
      <c r="BE53" s="390"/>
      <c r="BF53" s="390"/>
      <c r="BG53" s="390"/>
      <c r="BH53" s="390"/>
      <c r="BI53" s="390"/>
      <c r="BJ53" s="390"/>
      <c r="BK53" s="390"/>
      <c r="BL53" s="390"/>
      <c r="BM53" s="390"/>
      <c r="BN53" s="390"/>
      <c r="BO53" s="390"/>
      <c r="BP53" s="390"/>
      <c r="BQ53" s="390"/>
      <c r="BR53" s="390"/>
    </row>
    <row r="54" spans="2:70" x14ac:dyDescent="0.25">
      <c r="B54" s="450"/>
      <c r="P54" s="451"/>
      <c r="R54" s="375"/>
      <c r="S54" s="375"/>
      <c r="T54" s="375"/>
      <c r="U54" s="375"/>
      <c r="V54" s="375"/>
      <c r="W54" s="375"/>
      <c r="X54" s="375"/>
      <c r="Y54" s="375"/>
      <c r="Z54" s="375"/>
      <c r="AA54" s="375"/>
      <c r="AB54" s="375"/>
      <c r="AC54" s="375"/>
      <c r="AD54" s="375"/>
      <c r="AE54" s="375"/>
      <c r="AF54" s="375"/>
      <c r="BA54" s="390"/>
      <c r="BB54" s="390"/>
      <c r="BC54" s="390"/>
      <c r="BD54" s="390"/>
      <c r="BE54" s="390"/>
      <c r="BF54" s="390"/>
      <c r="BG54" s="390"/>
      <c r="BH54" s="390"/>
      <c r="BI54" s="390"/>
      <c r="BJ54" s="390"/>
      <c r="BK54" s="390"/>
      <c r="BL54" s="390"/>
      <c r="BM54" s="390"/>
      <c r="BN54" s="390"/>
      <c r="BO54" s="390"/>
      <c r="BP54" s="390"/>
      <c r="BQ54" s="390"/>
      <c r="BR54" s="390"/>
    </row>
    <row r="55" spans="2:70" x14ac:dyDescent="0.25">
      <c r="B55" s="450"/>
      <c r="P55" s="451"/>
      <c r="R55" s="375"/>
      <c r="S55" s="375"/>
      <c r="T55" s="375"/>
      <c r="U55" s="375"/>
      <c r="V55" s="375"/>
      <c r="W55" s="375"/>
      <c r="X55" s="375"/>
      <c r="Y55" s="375"/>
      <c r="Z55" s="375"/>
      <c r="AA55" s="375"/>
      <c r="AB55" s="375"/>
      <c r="AC55" s="375"/>
      <c r="AD55" s="375"/>
      <c r="AE55" s="375"/>
      <c r="AF55" s="375"/>
      <c r="BA55" s="390"/>
      <c r="BB55" s="390"/>
      <c r="BC55" s="390"/>
      <c r="BD55" s="390"/>
      <c r="BE55" s="390"/>
      <c r="BF55" s="390"/>
      <c r="BG55" s="390"/>
      <c r="BH55" s="390"/>
      <c r="BI55" s="390"/>
      <c r="BJ55" s="390"/>
      <c r="BK55" s="390"/>
      <c r="BL55" s="390"/>
      <c r="BM55" s="390"/>
      <c r="BN55" s="390"/>
      <c r="BO55" s="390"/>
      <c r="BP55" s="390"/>
      <c r="BQ55" s="390"/>
      <c r="BR55" s="390"/>
    </row>
    <row r="56" spans="2:70" x14ac:dyDescent="0.25">
      <c r="B56" s="450"/>
      <c r="P56" s="451"/>
      <c r="R56" s="375"/>
      <c r="S56" s="375"/>
      <c r="T56" s="375"/>
      <c r="U56" s="375"/>
      <c r="V56" s="375"/>
      <c r="W56" s="375"/>
      <c r="X56" s="375"/>
      <c r="Y56" s="375"/>
      <c r="Z56" s="375"/>
      <c r="AA56" s="375"/>
      <c r="AB56" s="375"/>
      <c r="AC56" s="375"/>
      <c r="AD56" s="375"/>
      <c r="AE56" s="375"/>
      <c r="AF56" s="375"/>
      <c r="BA56" s="390"/>
      <c r="BB56" s="390"/>
      <c r="BC56" s="390"/>
      <c r="BD56" s="390"/>
      <c r="BE56" s="390"/>
      <c r="BF56" s="390"/>
      <c r="BG56" s="390"/>
      <c r="BH56" s="390"/>
      <c r="BI56" s="390"/>
      <c r="BJ56" s="390"/>
      <c r="BK56" s="390"/>
      <c r="BL56" s="390"/>
      <c r="BM56" s="390"/>
      <c r="BN56" s="390"/>
      <c r="BO56" s="390"/>
      <c r="BP56" s="390"/>
      <c r="BQ56" s="390"/>
      <c r="BR56" s="390"/>
    </row>
    <row r="57" spans="2:70" x14ac:dyDescent="0.25">
      <c r="B57" s="450"/>
      <c r="P57" s="451"/>
      <c r="BA57" s="390"/>
      <c r="BB57" s="390"/>
      <c r="BC57" s="390"/>
      <c r="BD57" s="390"/>
      <c r="BE57" s="390"/>
      <c r="BF57" s="390"/>
      <c r="BG57" s="390"/>
      <c r="BH57" s="390"/>
      <c r="BI57" s="390"/>
      <c r="BJ57" s="390"/>
      <c r="BK57" s="390"/>
      <c r="BL57" s="390"/>
      <c r="BM57" s="390"/>
      <c r="BN57" s="390"/>
      <c r="BO57" s="390"/>
      <c r="BP57" s="390"/>
      <c r="BQ57" s="390"/>
      <c r="BR57" s="390"/>
    </row>
    <row r="58" spans="2:70" x14ac:dyDescent="0.25">
      <c r="B58" s="450"/>
      <c r="P58" s="451"/>
      <c r="BA58" s="390"/>
      <c r="BB58" s="390"/>
      <c r="BC58" s="390"/>
      <c r="BD58" s="390"/>
      <c r="BE58" s="390"/>
      <c r="BF58" s="390"/>
      <c r="BG58" s="390"/>
      <c r="BH58" s="390"/>
      <c r="BI58" s="390"/>
      <c r="BJ58" s="390"/>
      <c r="BK58" s="390"/>
      <c r="BL58" s="390"/>
      <c r="BM58" s="390"/>
      <c r="BN58" s="390"/>
      <c r="BO58" s="390"/>
      <c r="BP58" s="390"/>
      <c r="BQ58" s="390"/>
      <c r="BR58" s="390"/>
    </row>
    <row r="59" spans="2:70" x14ac:dyDescent="0.25">
      <c r="B59" s="450"/>
      <c r="P59" s="451"/>
      <c r="BA59" s="390"/>
      <c r="BB59" s="390"/>
      <c r="BC59" s="390"/>
      <c r="BD59" s="390"/>
      <c r="BE59" s="390"/>
      <c r="BF59" s="390"/>
      <c r="BG59" s="390"/>
      <c r="BH59" s="390"/>
      <c r="BI59" s="390"/>
      <c r="BJ59" s="390"/>
      <c r="BK59" s="390"/>
      <c r="BL59" s="390"/>
      <c r="BM59" s="390"/>
      <c r="BN59" s="390"/>
      <c r="BO59" s="390"/>
      <c r="BP59" s="390"/>
      <c r="BQ59" s="390"/>
      <c r="BR59" s="390"/>
    </row>
    <row r="60" spans="2:70" x14ac:dyDescent="0.25">
      <c r="B60" s="450"/>
      <c r="P60" s="451"/>
      <c r="BA60" s="390"/>
      <c r="BB60" s="390"/>
      <c r="BC60" s="390"/>
      <c r="BD60" s="390"/>
      <c r="BE60" s="390"/>
      <c r="BF60" s="390"/>
      <c r="BG60" s="390"/>
      <c r="BH60" s="390"/>
      <c r="BI60" s="390"/>
      <c r="BJ60" s="390"/>
      <c r="BK60" s="390"/>
      <c r="BL60" s="390"/>
      <c r="BM60" s="390"/>
      <c r="BN60" s="390"/>
      <c r="BO60" s="390"/>
      <c r="BP60" s="390"/>
      <c r="BQ60" s="390"/>
      <c r="BR60" s="390"/>
    </row>
    <row r="61" spans="2:70" ht="13" thickBot="1" x14ac:dyDescent="0.3">
      <c r="B61" s="450"/>
      <c r="P61" s="451"/>
      <c r="BA61" s="390"/>
      <c r="BB61" s="390"/>
      <c r="BC61" s="390"/>
      <c r="BD61" s="390"/>
      <c r="BE61" s="390"/>
      <c r="BF61" s="390"/>
      <c r="BG61" s="390"/>
      <c r="BH61" s="390"/>
      <c r="BI61" s="390"/>
      <c r="BJ61" s="390"/>
      <c r="BK61" s="390"/>
      <c r="BL61" s="390"/>
      <c r="BM61" s="390"/>
      <c r="BN61" s="390"/>
      <c r="BO61" s="390"/>
      <c r="BP61" s="390"/>
      <c r="BQ61" s="390"/>
      <c r="BR61" s="390"/>
    </row>
    <row r="62" spans="2:70" ht="16" thickBot="1" x14ac:dyDescent="0.4">
      <c r="B62" s="450"/>
      <c r="C62" s="402"/>
      <c r="D62" s="403"/>
      <c r="E62" s="404" t="s">
        <v>264</v>
      </c>
      <c r="F62" s="404"/>
      <c r="G62" s="404"/>
      <c r="H62" s="404"/>
      <c r="I62" s="1236">
        <f>('2° Granulometrías'!P7*'2° Granulometrías'!P23)+('2° Granulometrías'!Q7*'2° Granulometrías'!Q23)</f>
        <v>3.1306000000000007</v>
      </c>
      <c r="J62" s="1236"/>
      <c r="K62" s="403"/>
      <c r="L62" s="403"/>
      <c r="M62" s="403"/>
      <c r="N62" s="403"/>
      <c r="O62" s="405"/>
      <c r="P62" s="451"/>
      <c r="BA62" s="390"/>
      <c r="BB62" s="390"/>
      <c r="BC62" s="390"/>
      <c r="BD62" s="390"/>
      <c r="BE62" s="390"/>
      <c r="BF62" s="390"/>
      <c r="BG62" s="390"/>
      <c r="BH62" s="390"/>
      <c r="BI62" s="390"/>
      <c r="BJ62" s="390"/>
      <c r="BK62" s="390"/>
      <c r="BL62" s="390"/>
      <c r="BM62" s="390"/>
      <c r="BN62" s="390"/>
      <c r="BO62" s="390"/>
      <c r="BP62" s="390"/>
      <c r="BQ62" s="390"/>
      <c r="BR62" s="390"/>
    </row>
    <row r="63" spans="2:70" ht="18.5" thickBot="1" x14ac:dyDescent="0.4">
      <c r="B63" s="450"/>
      <c r="C63" s="406"/>
      <c r="D63" s="375"/>
      <c r="E63" s="407" t="s">
        <v>265</v>
      </c>
      <c r="F63" s="407"/>
      <c r="G63" s="407"/>
      <c r="H63" s="407"/>
      <c r="I63" s="1237">
        <f>('2° Granulometrías'!D7*'2° Granulometrías'!D23)+('2° Granulometrías'!H7*'2° Granulometrías'!H23)+('2° Granulometrías'!L7*'2° Granulometrías'!L23)</f>
        <v>7.3480999999999996</v>
      </c>
      <c r="J63" s="1237"/>
      <c r="K63" s="1228" t="s">
        <v>266</v>
      </c>
      <c r="L63" s="1228"/>
      <c r="N63" s="552">
        <f>(I63-W45)/(I63-I62)</f>
        <v>0.39006520450503862</v>
      </c>
      <c r="O63" s="408"/>
      <c r="P63" s="451"/>
      <c r="BA63" s="390"/>
      <c r="BB63" s="390"/>
      <c r="BC63" s="390"/>
      <c r="BD63" s="390"/>
      <c r="BE63" s="390"/>
      <c r="BF63" s="390"/>
      <c r="BG63" s="390"/>
      <c r="BH63" s="390"/>
      <c r="BI63" s="390"/>
      <c r="BJ63" s="390"/>
      <c r="BK63" s="390"/>
      <c r="BL63" s="390"/>
      <c r="BM63" s="390"/>
      <c r="BN63" s="390"/>
      <c r="BO63" s="390"/>
      <c r="BP63" s="390"/>
      <c r="BQ63" s="390"/>
      <c r="BR63" s="390"/>
    </row>
    <row r="64" spans="2:70" ht="16" thickBot="1" x14ac:dyDescent="0.4">
      <c r="B64" s="450"/>
      <c r="C64" s="406"/>
      <c r="D64" s="375"/>
      <c r="E64" s="407"/>
      <c r="F64" s="407"/>
      <c r="G64" s="407"/>
      <c r="H64" s="407"/>
      <c r="I64" s="528"/>
      <c r="J64" s="528"/>
      <c r="K64" s="529"/>
      <c r="L64" s="529"/>
      <c r="M64" s="553"/>
      <c r="N64" s="375"/>
      <c r="O64" s="409"/>
      <c r="P64" s="451"/>
      <c r="BA64" s="390"/>
      <c r="BB64" s="390"/>
      <c r="BC64" s="390"/>
      <c r="BD64" s="390"/>
      <c r="BE64" s="390"/>
      <c r="BF64" s="390"/>
      <c r="BG64" s="390"/>
      <c r="BH64" s="390"/>
      <c r="BI64" s="390"/>
      <c r="BJ64" s="390"/>
      <c r="BK64" s="390"/>
      <c r="BL64" s="390"/>
      <c r="BM64" s="390"/>
      <c r="BN64" s="390"/>
      <c r="BO64" s="390"/>
      <c r="BP64" s="390"/>
      <c r="BQ64" s="390"/>
      <c r="BR64" s="390"/>
    </row>
    <row r="65" spans="1:70" ht="18.5" thickBot="1" x14ac:dyDescent="0.4">
      <c r="B65" s="450"/>
      <c r="C65" s="406"/>
      <c r="D65" s="375"/>
      <c r="E65" s="407" t="s">
        <v>267</v>
      </c>
      <c r="F65" s="407"/>
      <c r="G65" s="407"/>
      <c r="H65" s="407"/>
      <c r="I65" s="1237">
        <f>I63*Diseño!K5+Diseño!K8*'3° Curva Integral'!I62:J62</f>
        <v>5.2806980392156877</v>
      </c>
      <c r="J65" s="1237"/>
      <c r="K65" s="1219" t="s">
        <v>307</v>
      </c>
      <c r="L65" s="1219"/>
      <c r="M65" s="375"/>
      <c r="N65" s="554">
        <f>T53/T52</f>
        <v>1.5811777535639526</v>
      </c>
      <c r="O65" s="409"/>
      <c r="P65" s="451"/>
      <c r="BA65" s="390"/>
      <c r="BB65" s="390"/>
      <c r="BC65" s="390"/>
      <c r="BD65" s="390"/>
      <c r="BE65" s="390"/>
      <c r="BF65" s="390"/>
      <c r="BG65" s="390"/>
      <c r="BH65" s="390"/>
      <c r="BI65" s="390"/>
      <c r="BJ65" s="390"/>
      <c r="BK65" s="390"/>
      <c r="BL65" s="390"/>
      <c r="BM65" s="390"/>
      <c r="BN65" s="390"/>
      <c r="BO65" s="390"/>
      <c r="BP65" s="390"/>
      <c r="BQ65" s="390"/>
      <c r="BR65" s="390"/>
    </row>
    <row r="66" spans="1:70" ht="16" thickBot="1" x14ac:dyDescent="0.4">
      <c r="B66" s="450"/>
      <c r="C66" s="410"/>
      <c r="D66" s="411"/>
      <c r="E66" s="412" t="s">
        <v>268</v>
      </c>
      <c r="F66" s="412"/>
      <c r="G66" s="412"/>
      <c r="H66" s="412"/>
      <c r="I66" s="1235"/>
      <c r="J66" s="1235"/>
      <c r="K66" s="411"/>
      <c r="L66" s="411"/>
      <c r="M66" s="411"/>
      <c r="N66" s="411"/>
      <c r="O66" s="413"/>
      <c r="P66" s="451"/>
      <c r="BA66" s="390"/>
      <c r="BB66" s="390"/>
      <c r="BC66" s="390"/>
      <c r="BD66" s="390"/>
      <c r="BE66" s="390"/>
      <c r="BF66" s="390"/>
      <c r="BG66" s="390"/>
      <c r="BH66" s="390"/>
      <c r="BI66" s="390"/>
      <c r="BJ66" s="390"/>
      <c r="BK66" s="390"/>
      <c r="BL66" s="390"/>
      <c r="BM66" s="390"/>
      <c r="BN66" s="390"/>
      <c r="BO66" s="390"/>
      <c r="BP66" s="390"/>
      <c r="BQ66" s="390"/>
      <c r="BR66" s="390"/>
    </row>
    <row r="67" spans="1:70" x14ac:dyDescent="0.25">
      <c r="B67" s="450"/>
      <c r="D67" s="358"/>
      <c r="G67" s="358"/>
      <c r="H67" s="358"/>
      <c r="I67" s="414"/>
      <c r="J67" s="414"/>
      <c r="P67" s="451"/>
      <c r="BA67" s="390"/>
      <c r="BB67" s="390"/>
      <c r="BC67" s="390"/>
      <c r="BD67" s="390"/>
      <c r="BE67" s="390"/>
      <c r="BF67" s="390"/>
      <c r="BG67" s="390"/>
      <c r="BH67" s="390"/>
      <c r="BI67" s="390"/>
      <c r="BJ67" s="390"/>
      <c r="BK67" s="390"/>
      <c r="BL67" s="390"/>
      <c r="BM67" s="390"/>
      <c r="BN67" s="390"/>
      <c r="BO67" s="390"/>
      <c r="BP67" s="390"/>
      <c r="BQ67" s="390"/>
      <c r="BR67" s="390"/>
    </row>
    <row r="68" spans="1:70" x14ac:dyDescent="0.25">
      <c r="B68" s="450"/>
      <c r="D68" s="358"/>
      <c r="G68" s="358"/>
      <c r="H68" s="358"/>
      <c r="I68" s="414"/>
      <c r="J68" s="414"/>
      <c r="P68" s="451"/>
      <c r="BA68" s="390"/>
      <c r="BB68" s="390"/>
      <c r="BC68" s="390"/>
      <c r="BD68" s="390"/>
      <c r="BE68" s="390"/>
      <c r="BF68" s="390"/>
      <c r="BG68" s="390"/>
      <c r="BH68" s="390"/>
      <c r="BI68" s="390"/>
      <c r="BJ68" s="390"/>
      <c r="BK68" s="390"/>
      <c r="BL68" s="390"/>
      <c r="BM68" s="390"/>
      <c r="BN68" s="390"/>
      <c r="BO68" s="390"/>
      <c r="BP68" s="390"/>
      <c r="BQ68" s="390"/>
      <c r="BR68" s="390"/>
    </row>
    <row r="69" spans="1:70" x14ac:dyDescent="0.25">
      <c r="B69" s="450"/>
      <c r="D69" s="358"/>
      <c r="G69" s="358"/>
      <c r="H69" s="358"/>
      <c r="I69" s="414"/>
      <c r="J69" s="414"/>
      <c r="P69" s="451"/>
      <c r="BA69" s="390"/>
      <c r="BB69" s="390"/>
      <c r="BC69" s="390"/>
      <c r="BD69" s="390"/>
      <c r="BE69" s="390"/>
      <c r="BF69" s="390"/>
      <c r="BG69" s="390"/>
      <c r="BH69" s="390"/>
      <c r="BI69" s="390"/>
      <c r="BJ69" s="390"/>
      <c r="BK69" s="390"/>
      <c r="BL69" s="390"/>
      <c r="BM69" s="390"/>
      <c r="BN69" s="390"/>
      <c r="BO69" s="390"/>
      <c r="BP69" s="390"/>
      <c r="BQ69" s="390"/>
      <c r="BR69" s="390"/>
    </row>
    <row r="70" spans="1:70" x14ac:dyDescent="0.25">
      <c r="B70" s="450"/>
      <c r="D70" s="358"/>
      <c r="E70" s="358"/>
      <c r="F70" s="358"/>
      <c r="G70" s="358"/>
      <c r="H70" s="358"/>
      <c r="I70" s="414"/>
      <c r="J70" s="414"/>
      <c r="P70" s="451"/>
      <c r="BA70" s="390"/>
      <c r="BB70" s="390"/>
      <c r="BC70" s="390"/>
      <c r="BD70" s="390"/>
      <c r="BE70" s="390"/>
      <c r="BF70" s="390"/>
      <c r="BG70" s="390"/>
      <c r="BH70" s="390"/>
      <c r="BI70" s="390"/>
      <c r="BJ70" s="390"/>
      <c r="BK70" s="390"/>
      <c r="BL70" s="390"/>
      <c r="BM70" s="390"/>
      <c r="BN70" s="390"/>
      <c r="BO70" s="390"/>
      <c r="BP70" s="390"/>
      <c r="BQ70" s="390"/>
      <c r="BR70" s="390"/>
    </row>
    <row r="71" spans="1:70" x14ac:dyDescent="0.25">
      <c r="B71" s="450"/>
      <c r="D71" s="358"/>
      <c r="E71" s="358"/>
      <c r="F71" s="358"/>
      <c r="G71" s="358"/>
      <c r="H71" s="358"/>
      <c r="I71" s="358"/>
      <c r="P71" s="451"/>
      <c r="BA71" s="390"/>
      <c r="BB71" s="390"/>
      <c r="BC71" s="390"/>
      <c r="BD71" s="390"/>
      <c r="BE71" s="390"/>
      <c r="BF71" s="390"/>
      <c r="BG71" s="390"/>
      <c r="BH71" s="390"/>
      <c r="BI71" s="390"/>
      <c r="BJ71" s="390"/>
      <c r="BK71" s="390"/>
      <c r="BL71" s="390"/>
      <c r="BM71" s="390"/>
      <c r="BN71" s="390"/>
      <c r="BO71" s="390"/>
      <c r="BP71" s="390"/>
      <c r="BQ71" s="390"/>
      <c r="BR71" s="390"/>
    </row>
    <row r="72" spans="1:70" x14ac:dyDescent="0.25">
      <c r="B72" s="450"/>
      <c r="D72" s="358"/>
      <c r="E72" s="358"/>
      <c r="F72" s="358"/>
      <c r="G72" s="358"/>
      <c r="H72" s="358"/>
      <c r="I72" s="358"/>
      <c r="P72" s="451"/>
      <c r="BA72" s="390"/>
      <c r="BB72" s="390"/>
      <c r="BC72" s="390"/>
      <c r="BD72" s="390"/>
      <c r="BE72" s="390"/>
      <c r="BF72" s="390"/>
      <c r="BG72" s="390"/>
      <c r="BH72" s="390"/>
      <c r="BI72" s="390"/>
      <c r="BJ72" s="390"/>
      <c r="BK72" s="390"/>
      <c r="BL72" s="390"/>
      <c r="BM72" s="390"/>
      <c r="BN72" s="390"/>
      <c r="BO72" s="390"/>
      <c r="BP72" s="390"/>
      <c r="BQ72" s="390"/>
      <c r="BR72" s="390"/>
    </row>
    <row r="73" spans="1:70" x14ac:dyDescent="0.25">
      <c r="B73" s="450"/>
      <c r="D73" s="358"/>
      <c r="E73" s="358"/>
      <c r="F73" s="358"/>
      <c r="G73" s="358"/>
      <c r="H73" s="358"/>
      <c r="I73" s="358"/>
      <c r="P73" s="451"/>
      <c r="BA73" s="390"/>
      <c r="BB73" s="390"/>
      <c r="BC73" s="390"/>
      <c r="BD73" s="390"/>
      <c r="BE73" s="390"/>
      <c r="BF73" s="390"/>
      <c r="BG73" s="390"/>
      <c r="BH73" s="390"/>
      <c r="BI73" s="390"/>
      <c r="BJ73" s="390"/>
      <c r="BK73" s="390"/>
      <c r="BL73" s="390"/>
      <c r="BM73" s="390"/>
      <c r="BN73" s="390"/>
      <c r="BO73" s="390"/>
      <c r="BP73" s="390"/>
      <c r="BQ73" s="390"/>
      <c r="BR73" s="390"/>
    </row>
    <row r="74" spans="1:70" x14ac:dyDescent="0.25">
      <c r="A74" s="366"/>
      <c r="B74" s="455"/>
      <c r="C74" s="364"/>
      <c r="D74" s="364"/>
      <c r="E74" s="364"/>
      <c r="F74" s="364"/>
      <c r="G74" s="364"/>
      <c r="H74" s="364"/>
      <c r="I74" s="364"/>
      <c r="J74" s="364"/>
      <c r="K74" s="364"/>
      <c r="L74" s="364"/>
      <c r="M74" s="364"/>
      <c r="N74" s="364"/>
      <c r="O74" s="364"/>
      <c r="P74" s="453"/>
      <c r="BA74" s="390"/>
      <c r="BB74" s="390"/>
      <c r="BC74" s="390"/>
      <c r="BD74" s="390"/>
      <c r="BE74" s="390"/>
      <c r="BF74" s="390"/>
      <c r="BG74" s="390"/>
      <c r="BH74" s="390"/>
      <c r="BI74" s="390"/>
      <c r="BJ74" s="390"/>
      <c r="BK74" s="390"/>
      <c r="BL74" s="390"/>
      <c r="BM74" s="390"/>
      <c r="BN74" s="390"/>
      <c r="BO74" s="390"/>
      <c r="BP74" s="390"/>
      <c r="BQ74" s="390"/>
      <c r="BR74" s="390"/>
    </row>
    <row r="75" spans="1:70" x14ac:dyDescent="0.25">
      <c r="A75" s="366"/>
      <c r="B75" s="455"/>
      <c r="C75" s="364"/>
      <c r="D75" s="364"/>
      <c r="E75" s="364"/>
      <c r="F75" s="364"/>
      <c r="G75" s="364"/>
      <c r="H75" s="364"/>
      <c r="I75" s="364"/>
      <c r="J75" s="364"/>
      <c r="K75" s="364"/>
      <c r="L75" s="364"/>
      <c r="M75" s="364"/>
      <c r="N75" s="364"/>
      <c r="O75" s="364"/>
      <c r="P75" s="453"/>
      <c r="BA75" s="390"/>
      <c r="BB75" s="390"/>
      <c r="BC75" s="390"/>
      <c r="BD75" s="390"/>
      <c r="BE75" s="390"/>
      <c r="BF75" s="390"/>
      <c r="BG75" s="390"/>
      <c r="BH75" s="390"/>
      <c r="BI75" s="390"/>
      <c r="BJ75" s="390"/>
      <c r="BK75" s="390"/>
      <c r="BL75" s="390"/>
      <c r="BM75" s="390"/>
      <c r="BN75" s="390"/>
      <c r="BO75" s="390"/>
      <c r="BP75" s="390"/>
      <c r="BQ75" s="390"/>
      <c r="BR75" s="390"/>
    </row>
    <row r="76" spans="1:70" x14ac:dyDescent="0.25">
      <c r="A76" s="366"/>
      <c r="B76" s="455"/>
      <c r="C76" s="364"/>
      <c r="D76" s="364"/>
      <c r="E76" s="364"/>
      <c r="F76" s="364"/>
      <c r="G76" s="364"/>
      <c r="H76" s="364"/>
      <c r="I76" s="364"/>
      <c r="J76" s="364"/>
      <c r="K76" s="364"/>
      <c r="L76" s="364"/>
      <c r="M76" s="364"/>
      <c r="N76" s="364"/>
      <c r="O76" s="364"/>
      <c r="P76" s="453"/>
      <c r="BA76" s="390"/>
      <c r="BB76" s="390"/>
      <c r="BC76" s="390"/>
      <c r="BD76" s="390"/>
      <c r="BE76" s="390"/>
      <c r="BF76" s="390"/>
      <c r="BG76" s="390"/>
      <c r="BH76" s="390"/>
      <c r="BI76" s="390"/>
      <c r="BJ76" s="390"/>
      <c r="BK76" s="390"/>
      <c r="BL76" s="390"/>
      <c r="BM76" s="390"/>
      <c r="BN76" s="390"/>
      <c r="BO76" s="390"/>
      <c r="BP76" s="390"/>
      <c r="BQ76" s="390"/>
      <c r="BR76" s="390"/>
    </row>
    <row r="77" spans="1:70" x14ac:dyDescent="0.25">
      <c r="A77" s="366"/>
      <c r="B77" s="455"/>
      <c r="C77" s="364"/>
      <c r="D77" s="364"/>
      <c r="E77" s="364"/>
      <c r="F77" s="364"/>
      <c r="G77" s="364"/>
      <c r="H77" s="364"/>
      <c r="I77" s="364"/>
      <c r="J77" s="364"/>
      <c r="K77" s="364"/>
      <c r="L77" s="364"/>
      <c r="M77" s="364"/>
      <c r="N77" s="364"/>
      <c r="O77" s="364"/>
      <c r="P77" s="453"/>
      <c r="BA77" s="390"/>
      <c r="BB77" s="390"/>
      <c r="BC77" s="390"/>
      <c r="BD77" s="390"/>
      <c r="BE77" s="390"/>
      <c r="BF77" s="390"/>
      <c r="BG77" s="390"/>
      <c r="BH77" s="390"/>
      <c r="BI77" s="390"/>
      <c r="BJ77" s="390"/>
      <c r="BK77" s="390"/>
      <c r="BL77" s="390"/>
      <c r="BM77" s="390"/>
      <c r="BN77" s="390"/>
      <c r="BO77" s="390"/>
      <c r="BP77" s="390"/>
      <c r="BQ77" s="390"/>
      <c r="BR77" s="390"/>
    </row>
    <row r="78" spans="1:70" x14ac:dyDescent="0.25">
      <c r="A78" s="366"/>
      <c r="B78" s="455"/>
      <c r="C78" s="364"/>
      <c r="D78" s="364"/>
      <c r="E78" s="364"/>
      <c r="F78" s="364"/>
      <c r="G78" s="364"/>
      <c r="H78" s="364"/>
      <c r="I78" s="364"/>
      <c r="J78" s="364"/>
      <c r="K78" s="364"/>
      <c r="L78" s="364"/>
      <c r="M78" s="364"/>
      <c r="N78" s="364"/>
      <c r="O78" s="364"/>
      <c r="P78" s="453"/>
      <c r="BA78" s="390"/>
      <c r="BB78" s="390"/>
      <c r="BC78" s="390"/>
      <c r="BD78" s="390"/>
      <c r="BE78" s="390"/>
      <c r="BF78" s="390"/>
      <c r="BG78" s="390"/>
      <c r="BH78" s="390"/>
      <c r="BI78" s="390"/>
      <c r="BJ78" s="390"/>
      <c r="BK78" s="390"/>
      <c r="BL78" s="390"/>
      <c r="BM78" s="390"/>
      <c r="BN78" s="390"/>
      <c r="BO78" s="390"/>
      <c r="BP78" s="390"/>
      <c r="BQ78" s="390"/>
      <c r="BR78" s="390"/>
    </row>
    <row r="79" spans="1:70" x14ac:dyDescent="0.25">
      <c r="A79" s="366"/>
      <c r="B79" s="455"/>
      <c r="C79" s="364"/>
      <c r="D79" s="364"/>
      <c r="E79" s="364"/>
      <c r="F79" s="364"/>
      <c r="G79" s="364"/>
      <c r="H79" s="364"/>
      <c r="I79" s="364"/>
      <c r="J79" s="364"/>
      <c r="K79" s="364"/>
      <c r="L79" s="364"/>
      <c r="M79" s="364"/>
      <c r="N79" s="364"/>
      <c r="O79" s="364"/>
      <c r="P79" s="453"/>
      <c r="BA79" s="390"/>
      <c r="BB79" s="390"/>
      <c r="BC79" s="390"/>
      <c r="BD79" s="390"/>
      <c r="BE79" s="390"/>
      <c r="BF79" s="390"/>
      <c r="BG79" s="390"/>
      <c r="BH79" s="390"/>
      <c r="BI79" s="390"/>
      <c r="BJ79" s="390"/>
      <c r="BK79" s="390"/>
      <c r="BL79" s="390"/>
      <c r="BM79" s="390"/>
      <c r="BN79" s="390"/>
      <c r="BO79" s="390"/>
      <c r="BP79" s="390"/>
      <c r="BQ79" s="390"/>
      <c r="BR79" s="390"/>
    </row>
    <row r="80" spans="1:70" x14ac:dyDescent="0.25">
      <c r="A80" s="366"/>
      <c r="B80" s="455"/>
      <c r="C80" s="364"/>
      <c r="D80" s="364"/>
      <c r="E80" s="364"/>
      <c r="F80" s="364"/>
      <c r="G80" s="364"/>
      <c r="H80" s="364"/>
      <c r="I80" s="364"/>
      <c r="J80" s="364"/>
      <c r="K80" s="364"/>
      <c r="L80" s="364"/>
      <c r="M80" s="364"/>
      <c r="N80" s="364"/>
      <c r="O80" s="364"/>
      <c r="P80" s="453"/>
      <c r="BA80" s="390"/>
      <c r="BB80" s="390"/>
      <c r="BC80" s="390"/>
      <c r="BD80" s="390"/>
      <c r="BE80" s="390"/>
      <c r="BF80" s="390"/>
      <c r="BG80" s="390"/>
      <c r="BH80" s="390"/>
      <c r="BI80" s="390"/>
      <c r="BJ80" s="390"/>
      <c r="BK80" s="390"/>
      <c r="BL80" s="390"/>
      <c r="BM80" s="390"/>
      <c r="BN80" s="390"/>
      <c r="BO80" s="390"/>
      <c r="BP80" s="390"/>
      <c r="BQ80" s="390"/>
      <c r="BR80" s="390"/>
    </row>
    <row r="81" spans="1:70" x14ac:dyDescent="0.25">
      <c r="A81" s="366"/>
      <c r="B81" s="455"/>
      <c r="C81" s="364"/>
      <c r="D81" s="364"/>
      <c r="E81" s="364"/>
      <c r="F81" s="364"/>
      <c r="G81" s="364"/>
      <c r="H81" s="364"/>
      <c r="I81" s="364"/>
      <c r="J81" s="364"/>
      <c r="K81" s="364"/>
      <c r="L81" s="364"/>
      <c r="M81" s="364"/>
      <c r="N81" s="364"/>
      <c r="O81" s="364"/>
      <c r="P81" s="453"/>
      <c r="BA81" s="390"/>
      <c r="BB81" s="390"/>
      <c r="BC81" s="390"/>
      <c r="BD81" s="390"/>
      <c r="BE81" s="390"/>
      <c r="BF81" s="390"/>
      <c r="BG81" s="390"/>
      <c r="BH81" s="390"/>
      <c r="BI81" s="390"/>
      <c r="BJ81" s="390"/>
      <c r="BK81" s="390"/>
      <c r="BL81" s="390"/>
      <c r="BM81" s="390"/>
      <c r="BN81" s="390"/>
      <c r="BO81" s="390"/>
      <c r="BP81" s="390"/>
      <c r="BQ81" s="390"/>
      <c r="BR81" s="390"/>
    </row>
    <row r="82" spans="1:70" x14ac:dyDescent="0.25">
      <c r="A82" s="366"/>
      <c r="B82" s="455"/>
      <c r="C82" s="364"/>
      <c r="D82" s="364"/>
      <c r="E82" s="364"/>
      <c r="F82" s="364"/>
      <c r="G82" s="364"/>
      <c r="H82" s="364"/>
      <c r="I82" s="364"/>
      <c r="J82" s="364"/>
      <c r="K82" s="364"/>
      <c r="L82" s="364"/>
      <c r="M82" s="364"/>
      <c r="N82" s="364"/>
      <c r="O82" s="364"/>
      <c r="P82" s="453"/>
      <c r="BA82" s="390"/>
      <c r="BB82" s="390"/>
      <c r="BC82" s="390"/>
      <c r="BD82" s="390"/>
      <c r="BE82" s="390"/>
      <c r="BF82" s="390"/>
      <c r="BG82" s="390"/>
      <c r="BH82" s="390"/>
      <c r="BI82" s="390"/>
      <c r="BJ82" s="390"/>
      <c r="BK82" s="390"/>
      <c r="BL82" s="390"/>
      <c r="BM82" s="390"/>
      <c r="BN82" s="390"/>
      <c r="BO82" s="390"/>
      <c r="BP82" s="390"/>
      <c r="BQ82" s="390"/>
      <c r="BR82" s="390"/>
    </row>
    <row r="83" spans="1:70" x14ac:dyDescent="0.25">
      <c r="A83" s="366"/>
      <c r="B83" s="455"/>
      <c r="C83" s="364"/>
      <c r="D83" s="364"/>
      <c r="E83" s="364"/>
      <c r="F83" s="364"/>
      <c r="G83" s="364"/>
      <c r="H83" s="364"/>
      <c r="I83" s="364"/>
      <c r="J83" s="364"/>
      <c r="K83" s="364"/>
      <c r="L83" s="364"/>
      <c r="M83" s="364"/>
      <c r="N83" s="364"/>
      <c r="O83" s="364"/>
      <c r="P83" s="453"/>
      <c r="BA83" s="390"/>
      <c r="BB83" s="390"/>
      <c r="BC83" s="390"/>
      <c r="BD83" s="390"/>
      <c r="BE83" s="390"/>
      <c r="BF83" s="390"/>
      <c r="BG83" s="390"/>
      <c r="BH83" s="390"/>
      <c r="BI83" s="390"/>
      <c r="BJ83" s="390"/>
      <c r="BK83" s="390"/>
      <c r="BL83" s="390"/>
      <c r="BM83" s="390"/>
      <c r="BN83" s="390"/>
      <c r="BO83" s="390"/>
      <c r="BP83" s="390"/>
      <c r="BQ83" s="390"/>
      <c r="BR83" s="390"/>
    </row>
    <row r="84" spans="1:70" x14ac:dyDescent="0.25">
      <c r="A84" s="366"/>
      <c r="B84" s="455"/>
      <c r="C84" s="364"/>
      <c r="D84" s="364"/>
      <c r="E84" s="364"/>
      <c r="F84" s="364"/>
      <c r="G84" s="364"/>
      <c r="H84" s="364"/>
      <c r="I84" s="364"/>
      <c r="J84" s="364"/>
      <c r="K84" s="364"/>
      <c r="L84" s="364"/>
      <c r="M84" s="364"/>
      <c r="N84" s="364"/>
      <c r="O84" s="364"/>
      <c r="P84" s="453"/>
      <c r="BA84" s="390"/>
      <c r="BB84" s="390"/>
      <c r="BC84" s="390"/>
      <c r="BD84" s="390"/>
      <c r="BE84" s="390"/>
      <c r="BF84" s="390"/>
      <c r="BG84" s="390"/>
      <c r="BH84" s="390"/>
      <c r="BI84" s="390"/>
      <c r="BJ84" s="390"/>
      <c r="BK84" s="390"/>
      <c r="BL84" s="390"/>
      <c r="BM84" s="390"/>
      <c r="BN84" s="390"/>
      <c r="BO84" s="390"/>
      <c r="BP84" s="390"/>
      <c r="BQ84" s="390"/>
      <c r="BR84" s="390"/>
    </row>
    <row r="85" spans="1:70" x14ac:dyDescent="0.25">
      <c r="A85" s="366"/>
      <c r="B85" s="455"/>
      <c r="C85" s="364"/>
      <c r="D85" s="364"/>
      <c r="E85" s="364"/>
      <c r="F85" s="364"/>
      <c r="G85" s="364"/>
      <c r="H85" s="364"/>
      <c r="I85" s="364"/>
      <c r="J85" s="364"/>
      <c r="K85" s="364"/>
      <c r="L85" s="364"/>
      <c r="M85" s="364"/>
      <c r="N85" s="364"/>
      <c r="O85" s="364"/>
      <c r="P85" s="453"/>
      <c r="BA85" s="390"/>
      <c r="BB85" s="390"/>
      <c r="BC85" s="390"/>
      <c r="BD85" s="390"/>
      <c r="BE85" s="390"/>
      <c r="BF85" s="390"/>
      <c r="BG85" s="390"/>
      <c r="BH85" s="390"/>
      <c r="BI85" s="390"/>
      <c r="BJ85" s="390"/>
      <c r="BK85" s="390"/>
      <c r="BL85" s="390"/>
      <c r="BM85" s="390"/>
      <c r="BN85" s="390"/>
      <c r="BO85" s="390"/>
      <c r="BP85" s="390"/>
      <c r="BQ85" s="390"/>
      <c r="BR85" s="390"/>
    </row>
    <row r="86" spans="1:70" x14ac:dyDescent="0.25">
      <c r="A86" s="366"/>
      <c r="B86" s="455"/>
      <c r="C86" s="364"/>
      <c r="D86" s="364"/>
      <c r="E86" s="364"/>
      <c r="F86" s="364"/>
      <c r="G86" s="364"/>
      <c r="H86" s="364"/>
      <c r="I86" s="364"/>
      <c r="J86" s="364"/>
      <c r="K86" s="364"/>
      <c r="L86" s="364"/>
      <c r="M86" s="364"/>
      <c r="N86" s="364"/>
      <c r="O86" s="364"/>
      <c r="P86" s="453"/>
      <c r="BA86" s="390"/>
      <c r="BB86" s="390"/>
      <c r="BC86" s="390"/>
      <c r="BD86" s="390"/>
      <c r="BE86" s="390"/>
      <c r="BF86" s="390"/>
      <c r="BG86" s="390"/>
      <c r="BH86" s="390"/>
      <c r="BI86" s="390"/>
      <c r="BJ86" s="390"/>
      <c r="BK86" s="390"/>
      <c r="BL86" s="390"/>
      <c r="BM86" s="390"/>
      <c r="BN86" s="390"/>
      <c r="BO86" s="390"/>
      <c r="BP86" s="390"/>
      <c r="BQ86" s="390"/>
      <c r="BR86" s="390"/>
    </row>
    <row r="87" spans="1:70" x14ac:dyDescent="0.25">
      <c r="A87" s="366"/>
      <c r="B87" s="455"/>
      <c r="C87" s="364"/>
      <c r="D87" s="364"/>
      <c r="E87" s="364"/>
      <c r="F87" s="364"/>
      <c r="G87" s="364"/>
      <c r="H87" s="364"/>
      <c r="I87" s="364"/>
      <c r="J87" s="364"/>
      <c r="K87" s="364"/>
      <c r="L87" s="364"/>
      <c r="M87" s="364"/>
      <c r="N87" s="364"/>
      <c r="O87" s="364"/>
      <c r="P87" s="453"/>
      <c r="BA87" s="390"/>
      <c r="BB87" s="390"/>
      <c r="BC87" s="390"/>
      <c r="BD87" s="390"/>
      <c r="BE87" s="390"/>
      <c r="BF87" s="390"/>
      <c r="BG87" s="390"/>
      <c r="BH87" s="390"/>
      <c r="BI87" s="390"/>
      <c r="BJ87" s="390"/>
      <c r="BK87" s="390"/>
      <c r="BL87" s="390"/>
      <c r="BM87" s="390"/>
      <c r="BN87" s="390"/>
      <c r="BO87" s="390"/>
      <c r="BP87" s="390"/>
      <c r="BQ87" s="390"/>
      <c r="BR87" s="390"/>
    </row>
    <row r="88" spans="1:70" x14ac:dyDescent="0.25">
      <c r="A88" s="366"/>
      <c r="B88" s="455"/>
      <c r="C88" s="364"/>
      <c r="D88" s="364"/>
      <c r="E88" s="364"/>
      <c r="F88" s="364"/>
      <c r="G88" s="364"/>
      <c r="H88" s="364"/>
      <c r="I88" s="364"/>
      <c r="J88" s="364"/>
      <c r="K88" s="364"/>
      <c r="L88" s="364"/>
      <c r="M88" s="364"/>
      <c r="N88" s="364"/>
      <c r="O88" s="364"/>
      <c r="P88" s="453"/>
      <c r="BA88" s="390"/>
      <c r="BB88" s="390"/>
      <c r="BC88" s="390"/>
      <c r="BD88" s="390"/>
      <c r="BE88" s="390"/>
      <c r="BF88" s="390"/>
      <c r="BG88" s="390"/>
      <c r="BH88" s="390"/>
      <c r="BI88" s="390"/>
      <c r="BJ88" s="390"/>
      <c r="BK88" s="390"/>
      <c r="BL88" s="390"/>
      <c r="BM88" s="390"/>
      <c r="BN88" s="390"/>
      <c r="BO88" s="390"/>
      <c r="BP88" s="390"/>
      <c r="BQ88" s="390"/>
      <c r="BR88" s="390"/>
    </row>
    <row r="89" spans="1:70" x14ac:dyDescent="0.25">
      <c r="A89" s="366"/>
      <c r="B89" s="455"/>
      <c r="C89" s="364"/>
      <c r="D89" s="364"/>
      <c r="E89" s="364"/>
      <c r="F89" s="364"/>
      <c r="G89" s="364"/>
      <c r="H89" s="364"/>
      <c r="I89" s="364"/>
      <c r="J89" s="364"/>
      <c r="K89" s="364"/>
      <c r="L89" s="364"/>
      <c r="M89" s="364"/>
      <c r="N89" s="364"/>
      <c r="O89" s="364"/>
      <c r="P89" s="453"/>
      <c r="BA89" s="390"/>
      <c r="BB89" s="390"/>
      <c r="BC89" s="390"/>
      <c r="BD89" s="390"/>
      <c r="BE89" s="390"/>
      <c r="BF89" s="390"/>
      <c r="BG89" s="390"/>
      <c r="BH89" s="390"/>
      <c r="BI89" s="390"/>
      <c r="BJ89" s="390"/>
      <c r="BK89" s="390"/>
      <c r="BL89" s="390"/>
      <c r="BM89" s="390"/>
      <c r="BN89" s="390"/>
      <c r="BO89" s="390"/>
      <c r="BP89" s="390"/>
      <c r="BQ89" s="390"/>
      <c r="BR89" s="390"/>
    </row>
    <row r="90" spans="1:70" x14ac:dyDescent="0.25">
      <c r="A90" s="366"/>
      <c r="B90" s="455"/>
      <c r="C90" s="364"/>
      <c r="D90" s="364"/>
      <c r="E90" s="364"/>
      <c r="F90" s="364"/>
      <c r="G90" s="364"/>
      <c r="H90" s="364"/>
      <c r="I90" s="364"/>
      <c r="J90" s="364"/>
      <c r="K90" s="364"/>
      <c r="L90" s="364"/>
      <c r="M90" s="364"/>
      <c r="N90" s="364"/>
      <c r="O90" s="364"/>
      <c r="P90" s="453"/>
      <c r="BA90" s="390"/>
      <c r="BB90" s="390"/>
      <c r="BC90" s="390"/>
      <c r="BD90" s="390"/>
      <c r="BE90" s="390"/>
      <c r="BF90" s="390"/>
      <c r="BG90" s="390"/>
      <c r="BH90" s="390"/>
      <c r="BI90" s="390"/>
      <c r="BJ90" s="390"/>
      <c r="BK90" s="390"/>
      <c r="BL90" s="390"/>
      <c r="BM90" s="390"/>
      <c r="BN90" s="390"/>
      <c r="BO90" s="390"/>
      <c r="BP90" s="390"/>
      <c r="BQ90" s="390"/>
      <c r="BR90" s="390"/>
    </row>
    <row r="91" spans="1:70" x14ac:dyDescent="0.25">
      <c r="A91" s="366"/>
      <c r="B91" s="455"/>
      <c r="C91" s="364"/>
      <c r="D91" s="364"/>
      <c r="E91" s="364"/>
      <c r="F91" s="364"/>
      <c r="G91" s="364"/>
      <c r="H91" s="364"/>
      <c r="I91" s="364"/>
      <c r="J91" s="364"/>
      <c r="K91" s="364"/>
      <c r="L91" s="364"/>
      <c r="M91" s="364"/>
      <c r="N91" s="364"/>
      <c r="O91" s="364"/>
      <c r="P91" s="453"/>
      <c r="BA91" s="390"/>
      <c r="BB91" s="390"/>
      <c r="BC91" s="390"/>
      <c r="BD91" s="390"/>
      <c r="BE91" s="390"/>
      <c r="BF91" s="390"/>
      <c r="BG91" s="390"/>
      <c r="BH91" s="390"/>
      <c r="BI91" s="390"/>
      <c r="BJ91" s="390"/>
      <c r="BK91" s="390"/>
      <c r="BL91" s="390"/>
      <c r="BM91" s="390"/>
      <c r="BN91" s="390"/>
      <c r="BO91" s="390"/>
      <c r="BP91" s="390"/>
      <c r="BQ91" s="390"/>
      <c r="BR91" s="390"/>
    </row>
    <row r="92" spans="1:70" x14ac:dyDescent="0.25">
      <c r="A92" s="366"/>
      <c r="B92" s="455"/>
      <c r="C92" s="364"/>
      <c r="D92" s="364"/>
      <c r="E92" s="364"/>
      <c r="F92" s="364"/>
      <c r="G92" s="364"/>
      <c r="H92" s="364"/>
      <c r="I92" s="364"/>
      <c r="J92" s="364"/>
      <c r="K92" s="364"/>
      <c r="L92" s="364"/>
      <c r="M92" s="364"/>
      <c r="N92" s="364"/>
      <c r="O92" s="364"/>
      <c r="P92" s="453"/>
      <c r="BA92" s="390"/>
      <c r="BB92" s="390"/>
      <c r="BC92" s="390"/>
      <c r="BD92" s="390"/>
      <c r="BE92" s="390"/>
      <c r="BF92" s="390"/>
      <c r="BG92" s="390"/>
      <c r="BH92" s="390"/>
      <c r="BI92" s="390"/>
      <c r="BJ92" s="390"/>
      <c r="BK92" s="390"/>
      <c r="BL92" s="390"/>
      <c r="BM92" s="390"/>
      <c r="BN92" s="390"/>
      <c r="BO92" s="390"/>
      <c r="BP92" s="390"/>
      <c r="BQ92" s="390"/>
      <c r="BR92" s="390"/>
    </row>
    <row r="93" spans="1:70" x14ac:dyDescent="0.25">
      <c r="A93" s="366"/>
      <c r="B93" s="455"/>
      <c r="C93" s="364"/>
      <c r="D93" s="364"/>
      <c r="E93" s="364"/>
      <c r="F93" s="364"/>
      <c r="G93" s="364"/>
      <c r="H93" s="364"/>
      <c r="I93" s="364"/>
      <c r="J93" s="364"/>
      <c r="K93" s="364"/>
      <c r="L93" s="364"/>
      <c r="M93" s="364"/>
      <c r="N93" s="364"/>
      <c r="O93" s="364"/>
      <c r="P93" s="453"/>
      <c r="BA93" s="390"/>
      <c r="BB93" s="390"/>
      <c r="BC93" s="390"/>
      <c r="BD93" s="390"/>
      <c r="BE93" s="390"/>
      <c r="BF93" s="390"/>
      <c r="BG93" s="390"/>
      <c r="BH93" s="390"/>
      <c r="BI93" s="390"/>
      <c r="BJ93" s="390"/>
      <c r="BK93" s="390"/>
      <c r="BL93" s="390"/>
      <c r="BM93" s="390"/>
      <c r="BN93" s="390"/>
      <c r="BO93" s="390"/>
      <c r="BP93" s="390"/>
      <c r="BQ93" s="390"/>
      <c r="BR93" s="390"/>
    </row>
    <row r="94" spans="1:70" x14ac:dyDescent="0.25">
      <c r="A94" s="366"/>
      <c r="B94" s="455"/>
      <c r="C94" s="364"/>
      <c r="D94" s="364"/>
      <c r="E94" s="364"/>
      <c r="F94" s="364"/>
      <c r="G94" s="364"/>
      <c r="H94" s="364"/>
      <c r="I94" s="364"/>
      <c r="J94" s="364"/>
      <c r="K94" s="364"/>
      <c r="L94" s="364"/>
      <c r="M94" s="364"/>
      <c r="N94" s="364"/>
      <c r="O94" s="364"/>
      <c r="P94" s="453"/>
      <c r="BA94" s="390"/>
      <c r="BB94" s="390"/>
      <c r="BC94" s="390"/>
      <c r="BD94" s="390"/>
      <c r="BE94" s="390"/>
      <c r="BF94" s="390"/>
      <c r="BG94" s="390"/>
      <c r="BH94" s="390"/>
      <c r="BI94" s="390"/>
      <c r="BJ94" s="390"/>
      <c r="BK94" s="390"/>
      <c r="BL94" s="390"/>
      <c r="BM94" s="390"/>
      <c r="BN94" s="390"/>
      <c r="BO94" s="390"/>
      <c r="BP94" s="390"/>
      <c r="BQ94" s="390"/>
      <c r="BR94" s="390"/>
    </row>
    <row r="95" spans="1:70" x14ac:dyDescent="0.25">
      <c r="A95" s="366"/>
      <c r="B95" s="455"/>
      <c r="C95" s="364"/>
      <c r="D95" s="364"/>
      <c r="E95" s="364"/>
      <c r="F95" s="364"/>
      <c r="G95" s="364"/>
      <c r="H95" s="364"/>
      <c r="I95" s="364"/>
      <c r="J95" s="364"/>
      <c r="K95" s="364"/>
      <c r="L95" s="364"/>
      <c r="M95" s="364"/>
      <c r="N95" s="364"/>
      <c r="O95" s="364"/>
      <c r="P95" s="453"/>
      <c r="BA95" s="390"/>
      <c r="BB95" s="390"/>
      <c r="BC95" s="390"/>
      <c r="BD95" s="390"/>
      <c r="BE95" s="390"/>
      <c r="BF95" s="390"/>
      <c r="BG95" s="390"/>
      <c r="BH95" s="390"/>
      <c r="BI95" s="390"/>
      <c r="BJ95" s="390"/>
      <c r="BK95" s="390"/>
      <c r="BL95" s="390"/>
      <c r="BM95" s="390"/>
      <c r="BN95" s="390"/>
      <c r="BO95" s="390"/>
      <c r="BP95" s="390"/>
      <c r="BQ95" s="390"/>
      <c r="BR95" s="390"/>
    </row>
    <row r="96" spans="1:70" x14ac:dyDescent="0.25">
      <c r="A96" s="366"/>
      <c r="B96" s="455"/>
      <c r="C96" s="364"/>
      <c r="D96" s="364"/>
      <c r="E96" s="364"/>
      <c r="F96" s="364"/>
      <c r="G96" s="364"/>
      <c r="H96" s="364"/>
      <c r="I96" s="364"/>
      <c r="J96" s="364"/>
      <c r="K96" s="364"/>
      <c r="L96" s="364"/>
      <c r="M96" s="364"/>
      <c r="N96" s="364"/>
      <c r="O96" s="364"/>
      <c r="P96" s="453"/>
      <c r="BA96" s="390"/>
      <c r="BB96" s="390"/>
      <c r="BC96" s="390"/>
      <c r="BD96" s="390"/>
      <c r="BE96" s="390"/>
      <c r="BF96" s="390"/>
      <c r="BG96" s="390"/>
      <c r="BH96" s="390"/>
      <c r="BI96" s="390"/>
      <c r="BJ96" s="390"/>
      <c r="BK96" s="390"/>
      <c r="BL96" s="390"/>
      <c r="BM96" s="390"/>
      <c r="BN96" s="390"/>
      <c r="BO96" s="390"/>
      <c r="BP96" s="390"/>
      <c r="BQ96" s="390"/>
      <c r="BR96" s="390"/>
    </row>
    <row r="97" spans="1:70" x14ac:dyDescent="0.25">
      <c r="A97" s="366"/>
      <c r="B97" s="455"/>
      <c r="C97" s="364"/>
      <c r="D97" s="364"/>
      <c r="E97" s="364"/>
      <c r="F97" s="364"/>
      <c r="G97" s="364"/>
      <c r="H97" s="364"/>
      <c r="I97" s="364"/>
      <c r="J97" s="364"/>
      <c r="K97" s="364"/>
      <c r="L97" s="364"/>
      <c r="M97" s="364"/>
      <c r="N97" s="364"/>
      <c r="O97" s="364"/>
      <c r="P97" s="453"/>
      <c r="BA97" s="390"/>
      <c r="BB97" s="390"/>
      <c r="BC97" s="390"/>
      <c r="BD97" s="390"/>
      <c r="BE97" s="390"/>
      <c r="BF97" s="390"/>
      <c r="BG97" s="390"/>
      <c r="BH97" s="390"/>
      <c r="BI97" s="390"/>
      <c r="BJ97" s="390"/>
      <c r="BK97" s="390"/>
      <c r="BL97" s="390"/>
      <c r="BM97" s="390"/>
      <c r="BN97" s="390"/>
      <c r="BO97" s="390"/>
      <c r="BP97" s="390"/>
      <c r="BQ97" s="390"/>
      <c r="BR97" s="390"/>
    </row>
    <row r="98" spans="1:70" x14ac:dyDescent="0.25">
      <c r="A98" s="366"/>
      <c r="B98" s="455"/>
      <c r="C98" s="364"/>
      <c r="D98" s="364"/>
      <c r="E98" s="364"/>
      <c r="F98" s="364"/>
      <c r="G98" s="364"/>
      <c r="H98" s="364"/>
      <c r="I98" s="364"/>
      <c r="J98" s="364"/>
      <c r="K98" s="364"/>
      <c r="L98" s="364"/>
      <c r="M98" s="364"/>
      <c r="N98" s="364"/>
      <c r="O98" s="364"/>
      <c r="P98" s="453"/>
      <c r="BA98" s="390"/>
      <c r="BB98" s="390"/>
      <c r="BC98" s="390"/>
      <c r="BD98" s="390"/>
      <c r="BE98" s="390"/>
      <c r="BF98" s="390"/>
      <c r="BG98" s="390"/>
      <c r="BH98" s="390"/>
      <c r="BI98" s="390"/>
      <c r="BJ98" s="390"/>
      <c r="BK98" s="390"/>
      <c r="BL98" s="390"/>
      <c r="BM98" s="390"/>
      <c r="BN98" s="390"/>
      <c r="BO98" s="390"/>
      <c r="BP98" s="390"/>
      <c r="BQ98" s="390"/>
      <c r="BR98" s="390"/>
    </row>
    <row r="99" spans="1:70" x14ac:dyDescent="0.25">
      <c r="A99" s="366"/>
      <c r="B99" s="455"/>
      <c r="C99" s="364"/>
      <c r="D99" s="364"/>
      <c r="E99" s="364"/>
      <c r="F99" s="364"/>
      <c r="G99" s="364"/>
      <c r="H99" s="364"/>
      <c r="I99" s="364"/>
      <c r="J99" s="364"/>
      <c r="K99" s="364"/>
      <c r="L99" s="364"/>
      <c r="M99" s="364"/>
      <c r="N99" s="364"/>
      <c r="O99" s="364"/>
      <c r="P99" s="453"/>
      <c r="BA99" s="390"/>
      <c r="BB99" s="390"/>
      <c r="BC99" s="390"/>
      <c r="BD99" s="390"/>
      <c r="BE99" s="390"/>
      <c r="BF99" s="390"/>
      <c r="BG99" s="390"/>
      <c r="BH99" s="390"/>
      <c r="BI99" s="390"/>
      <c r="BJ99" s="390"/>
      <c r="BK99" s="390"/>
      <c r="BL99" s="390"/>
      <c r="BM99" s="390"/>
      <c r="BN99" s="390"/>
      <c r="BO99" s="390"/>
      <c r="BP99" s="390"/>
      <c r="BQ99" s="390"/>
      <c r="BR99" s="390"/>
    </row>
    <row r="100" spans="1:70" x14ac:dyDescent="0.25">
      <c r="A100" s="366"/>
      <c r="B100" s="455"/>
      <c r="C100" s="364"/>
      <c r="D100" s="364"/>
      <c r="E100" s="364"/>
      <c r="F100" s="364"/>
      <c r="G100" s="364"/>
      <c r="H100" s="364"/>
      <c r="I100" s="364"/>
      <c r="J100" s="364"/>
      <c r="K100" s="364"/>
      <c r="L100" s="364"/>
      <c r="M100" s="364"/>
      <c r="N100" s="364"/>
      <c r="O100" s="364"/>
      <c r="P100" s="453"/>
      <c r="BA100" s="390"/>
      <c r="BB100" s="390"/>
      <c r="BC100" s="390"/>
      <c r="BD100" s="390"/>
      <c r="BE100" s="390"/>
      <c r="BF100" s="390"/>
      <c r="BG100" s="390"/>
      <c r="BH100" s="390"/>
      <c r="BI100" s="390"/>
      <c r="BJ100" s="390"/>
      <c r="BK100" s="390"/>
      <c r="BL100" s="390"/>
      <c r="BM100" s="390"/>
      <c r="BN100" s="390"/>
      <c r="BO100" s="390"/>
      <c r="BP100" s="390"/>
      <c r="BQ100" s="390"/>
      <c r="BR100" s="390"/>
    </row>
    <row r="101" spans="1:70" x14ac:dyDescent="0.25">
      <c r="A101" s="366"/>
      <c r="B101" s="455"/>
      <c r="C101" s="364"/>
      <c r="D101" s="364"/>
      <c r="E101" s="364"/>
      <c r="F101" s="364"/>
      <c r="G101" s="364"/>
      <c r="H101" s="364"/>
      <c r="I101" s="364"/>
      <c r="J101" s="364"/>
      <c r="K101" s="364"/>
      <c r="L101" s="364"/>
      <c r="M101" s="364"/>
      <c r="N101" s="364"/>
      <c r="O101" s="364"/>
      <c r="P101" s="453"/>
      <c r="BA101" s="390"/>
      <c r="BB101" s="390"/>
      <c r="BC101" s="390"/>
      <c r="BD101" s="390"/>
      <c r="BE101" s="390"/>
      <c r="BF101" s="390"/>
      <c r="BG101" s="390"/>
      <c r="BH101" s="390"/>
      <c r="BI101" s="390"/>
      <c r="BJ101" s="390"/>
      <c r="BK101" s="390"/>
      <c r="BL101" s="390"/>
      <c r="BM101" s="390"/>
      <c r="BN101" s="390"/>
      <c r="BO101" s="390"/>
      <c r="BP101" s="390"/>
      <c r="BQ101" s="390"/>
      <c r="BR101" s="390"/>
    </row>
    <row r="102" spans="1:70" x14ac:dyDescent="0.25">
      <c r="A102" s="366"/>
      <c r="B102" s="456"/>
      <c r="C102" s="446"/>
      <c r="D102" s="446"/>
      <c r="E102" s="446"/>
      <c r="F102" s="446"/>
      <c r="G102" s="446"/>
      <c r="H102" s="446"/>
      <c r="I102" s="446"/>
      <c r="J102" s="446"/>
      <c r="K102" s="446"/>
      <c r="L102" s="446"/>
      <c r="M102" s="446"/>
      <c r="N102" s="446"/>
      <c r="O102" s="446"/>
      <c r="P102" s="457"/>
      <c r="Q102" s="415"/>
      <c r="R102" s="415"/>
      <c r="S102" s="415"/>
      <c r="T102" s="415"/>
      <c r="U102" s="415"/>
      <c r="V102" s="415"/>
      <c r="W102" s="415"/>
      <c r="X102" s="415"/>
      <c r="Y102" s="415"/>
      <c r="Z102" s="415"/>
      <c r="AA102" s="415"/>
      <c r="AB102" s="415"/>
      <c r="AC102" s="415"/>
      <c r="AD102" s="415"/>
      <c r="AE102" s="415"/>
      <c r="AF102" s="415"/>
      <c r="AG102" s="415"/>
      <c r="AH102" s="415"/>
      <c r="AI102" s="415"/>
      <c r="AJ102" s="415"/>
      <c r="AK102" s="415"/>
      <c r="AL102" s="415"/>
      <c r="AM102" s="415"/>
      <c r="AN102" s="415"/>
      <c r="AO102" s="415"/>
      <c r="AP102" s="415"/>
      <c r="AQ102" s="357"/>
      <c r="AR102" s="357"/>
      <c r="AS102" s="357"/>
      <c r="BA102" s="390"/>
      <c r="BB102" s="390"/>
      <c r="BC102" s="390"/>
      <c r="BD102" s="390"/>
      <c r="BE102" s="390"/>
      <c r="BF102" s="390"/>
      <c r="BG102" s="390"/>
      <c r="BH102" s="390"/>
      <c r="BI102" s="390"/>
      <c r="BJ102" s="390"/>
      <c r="BK102" s="390"/>
      <c r="BL102" s="390"/>
      <c r="BM102" s="390"/>
      <c r="BN102" s="390"/>
      <c r="BO102" s="390"/>
      <c r="BP102" s="390"/>
      <c r="BQ102" s="390"/>
      <c r="BR102" s="390"/>
    </row>
    <row r="103" spans="1:70" x14ac:dyDescent="0.25">
      <c r="A103" s="366"/>
      <c r="B103" s="456"/>
      <c r="C103" s="446"/>
      <c r="D103" s="446"/>
      <c r="E103" s="446"/>
      <c r="F103" s="446"/>
      <c r="G103" s="446"/>
      <c r="H103" s="446"/>
      <c r="I103" s="446"/>
      <c r="J103" s="446"/>
      <c r="K103" s="446"/>
      <c r="L103" s="446"/>
      <c r="M103" s="446"/>
      <c r="N103" s="446"/>
      <c r="O103" s="446"/>
      <c r="P103" s="457"/>
      <c r="Q103" s="415"/>
      <c r="R103" s="415"/>
      <c r="S103" s="415"/>
      <c r="T103" s="415"/>
      <c r="U103" s="415"/>
      <c r="V103" s="415"/>
      <c r="W103" s="415"/>
      <c r="X103" s="415"/>
      <c r="Y103" s="415"/>
      <c r="Z103" s="415"/>
      <c r="AA103" s="415"/>
      <c r="AB103" s="415"/>
      <c r="AC103" s="415"/>
      <c r="AD103" s="415"/>
      <c r="AE103" s="415"/>
      <c r="AF103" s="415"/>
      <c r="AG103" s="415"/>
      <c r="AH103" s="415"/>
      <c r="AI103" s="415"/>
      <c r="AJ103" s="415"/>
      <c r="AK103" s="415"/>
      <c r="AL103" s="415"/>
      <c r="AM103" s="415"/>
      <c r="AN103" s="415"/>
      <c r="AO103" s="415"/>
      <c r="AP103" s="415"/>
      <c r="AQ103" s="357"/>
      <c r="AR103" s="357"/>
      <c r="AS103" s="357"/>
      <c r="BA103" s="390"/>
      <c r="BB103" s="390"/>
      <c r="BC103" s="390"/>
      <c r="BD103" s="390"/>
      <c r="BE103" s="390"/>
      <c r="BF103" s="390"/>
      <c r="BG103" s="390"/>
      <c r="BH103" s="390"/>
      <c r="BI103" s="390"/>
      <c r="BJ103" s="390"/>
      <c r="BK103" s="390"/>
      <c r="BL103" s="390"/>
      <c r="BM103" s="390"/>
      <c r="BN103" s="390"/>
      <c r="BO103" s="390"/>
      <c r="BP103" s="390"/>
      <c r="BQ103" s="390"/>
      <c r="BR103" s="390"/>
    </row>
    <row r="104" spans="1:70" x14ac:dyDescent="0.25">
      <c r="A104" s="366"/>
      <c r="B104" s="456"/>
      <c r="C104" s="446"/>
      <c r="D104" s="446"/>
      <c r="E104" s="446"/>
      <c r="F104" s="446"/>
      <c r="G104" s="446"/>
      <c r="H104" s="446"/>
      <c r="I104" s="446"/>
      <c r="J104" s="446"/>
      <c r="K104" s="446"/>
      <c r="L104" s="446"/>
      <c r="M104" s="446"/>
      <c r="N104" s="446"/>
      <c r="O104" s="519" t="s">
        <v>324</v>
      </c>
      <c r="P104" s="457"/>
      <c r="Q104" s="415"/>
      <c r="R104" s="415"/>
      <c r="S104" s="415"/>
      <c r="T104" s="415"/>
      <c r="U104" s="415"/>
      <c r="V104" s="415"/>
      <c r="W104" s="415"/>
      <c r="X104" s="415"/>
      <c r="Y104" s="415"/>
      <c r="Z104" s="415"/>
      <c r="AA104" s="415"/>
      <c r="AB104" s="415"/>
      <c r="AC104" s="415"/>
      <c r="AD104" s="415"/>
      <c r="AE104" s="415"/>
      <c r="AF104" s="415"/>
      <c r="AG104" s="415"/>
      <c r="AH104" s="415"/>
      <c r="AI104" s="415"/>
      <c r="AJ104" s="415"/>
      <c r="AK104" s="415"/>
      <c r="AL104" s="415"/>
      <c r="AM104" s="415"/>
      <c r="AN104" s="415"/>
      <c r="AO104" s="415"/>
      <c r="AP104" s="415"/>
      <c r="AQ104" s="357"/>
      <c r="AR104" s="357"/>
      <c r="AS104" s="357"/>
      <c r="BA104" s="390"/>
      <c r="BB104" s="390"/>
      <c r="BC104" s="390"/>
      <c r="BD104" s="390"/>
      <c r="BE104" s="390"/>
      <c r="BF104" s="390"/>
      <c r="BG104" s="390"/>
      <c r="BH104" s="390"/>
      <c r="BI104" s="390"/>
      <c r="BJ104" s="390"/>
      <c r="BK104" s="390"/>
      <c r="BL104" s="390"/>
      <c r="BM104" s="390"/>
      <c r="BN104" s="390"/>
      <c r="BO104" s="390"/>
      <c r="BP104" s="390"/>
      <c r="BQ104" s="390"/>
      <c r="BR104" s="390"/>
    </row>
    <row r="105" spans="1:70" ht="13" thickBot="1" x14ac:dyDescent="0.3">
      <c r="A105" s="366"/>
      <c r="B105" s="458"/>
      <c r="C105" s="459"/>
      <c r="D105" s="459"/>
      <c r="E105" s="459"/>
      <c r="F105" s="459"/>
      <c r="G105" s="459"/>
      <c r="H105" s="459"/>
      <c r="I105" s="459"/>
      <c r="J105" s="459"/>
      <c r="K105" s="459"/>
      <c r="L105" s="459"/>
      <c r="M105" s="459"/>
      <c r="N105" s="459"/>
      <c r="O105" s="459"/>
      <c r="P105" s="460"/>
      <c r="Q105" s="415"/>
      <c r="R105" s="415"/>
      <c r="S105" s="415"/>
      <c r="T105" s="415"/>
      <c r="U105" s="415"/>
      <c r="V105" s="415"/>
      <c r="W105" s="415"/>
      <c r="X105" s="415"/>
      <c r="Y105" s="415"/>
      <c r="Z105" s="415"/>
      <c r="AA105" s="415"/>
      <c r="AB105" s="415"/>
      <c r="AC105" s="415"/>
      <c r="AD105" s="415"/>
      <c r="AE105" s="415"/>
      <c r="AF105" s="415"/>
      <c r="AG105" s="415"/>
      <c r="AH105" s="415"/>
      <c r="AI105" s="415"/>
      <c r="AJ105" s="415"/>
      <c r="AK105" s="415"/>
      <c r="AL105" s="415"/>
      <c r="AM105" s="415"/>
      <c r="AN105" s="415"/>
      <c r="AO105" s="415"/>
      <c r="AP105" s="415"/>
      <c r="AQ105" s="357"/>
      <c r="AR105" s="357"/>
      <c r="AS105" s="357"/>
      <c r="BA105" s="390"/>
      <c r="BB105" s="390"/>
      <c r="BC105" s="390"/>
      <c r="BD105" s="390"/>
      <c r="BE105" s="390"/>
      <c r="BF105" s="390"/>
      <c r="BG105" s="390"/>
      <c r="BH105" s="390"/>
      <c r="BI105" s="390"/>
      <c r="BJ105" s="390"/>
      <c r="BK105" s="390"/>
      <c r="BL105" s="390"/>
      <c r="BM105" s="390"/>
      <c r="BN105" s="390"/>
      <c r="BO105" s="390"/>
      <c r="BP105" s="390"/>
      <c r="BQ105" s="390"/>
      <c r="BR105" s="390"/>
    </row>
    <row r="106" spans="1:70" x14ac:dyDescent="0.25">
      <c r="A106" s="366"/>
      <c r="B106" s="366"/>
      <c r="C106" s="366"/>
      <c r="D106" s="366"/>
      <c r="E106" s="366"/>
      <c r="F106" s="366"/>
      <c r="G106" s="366"/>
      <c r="H106" s="366"/>
      <c r="I106" s="366"/>
      <c r="J106" s="366"/>
      <c r="K106" s="366"/>
      <c r="L106" s="366"/>
      <c r="M106" s="366"/>
      <c r="N106" s="366"/>
      <c r="O106" s="366"/>
      <c r="P106" s="366"/>
      <c r="Q106" s="415"/>
      <c r="R106" s="415"/>
      <c r="S106" s="415"/>
      <c r="T106" s="415"/>
      <c r="U106" s="415"/>
      <c r="V106" s="415"/>
      <c r="W106" s="415"/>
      <c r="X106" s="415"/>
      <c r="Y106" s="415"/>
      <c r="Z106" s="415"/>
      <c r="AA106" s="415"/>
      <c r="AB106" s="415"/>
      <c r="AC106" s="415"/>
      <c r="AD106" s="415"/>
      <c r="AE106" s="415"/>
      <c r="AF106" s="415"/>
      <c r="AG106" s="415"/>
      <c r="AH106" s="415"/>
      <c r="AI106" s="415"/>
      <c r="AJ106" s="415"/>
      <c r="AK106" s="415"/>
      <c r="AL106" s="415"/>
      <c r="AM106" s="415"/>
      <c r="AN106" s="415"/>
      <c r="AO106" s="415"/>
      <c r="AP106" s="415"/>
      <c r="AQ106" s="357"/>
      <c r="AR106" s="357"/>
      <c r="AS106" s="357"/>
      <c r="BA106" s="390"/>
      <c r="BB106" s="390"/>
      <c r="BC106" s="390"/>
      <c r="BD106" s="390"/>
      <c r="BE106" s="390"/>
      <c r="BF106" s="390"/>
      <c r="BG106" s="390"/>
      <c r="BH106" s="390"/>
      <c r="BI106" s="390"/>
      <c r="BJ106" s="390"/>
      <c r="BK106" s="390"/>
      <c r="BL106" s="390"/>
      <c r="BM106" s="390"/>
      <c r="BN106" s="390"/>
      <c r="BO106" s="390"/>
      <c r="BP106" s="390"/>
      <c r="BQ106" s="390"/>
      <c r="BR106" s="390"/>
    </row>
    <row r="107" spans="1:70" x14ac:dyDescent="0.25">
      <c r="A107" s="366"/>
      <c r="B107" s="366"/>
      <c r="C107" s="366"/>
      <c r="D107" s="366"/>
      <c r="E107" s="366"/>
      <c r="F107" s="366"/>
      <c r="G107" s="366"/>
      <c r="H107" s="366"/>
      <c r="I107" s="366"/>
      <c r="J107" s="366"/>
      <c r="K107" s="366"/>
      <c r="L107" s="366"/>
      <c r="M107" s="366"/>
      <c r="N107" s="366"/>
      <c r="O107" s="366"/>
      <c r="P107" s="366"/>
      <c r="Q107" s="415"/>
      <c r="R107" s="415"/>
      <c r="S107" s="415"/>
      <c r="T107" s="415"/>
      <c r="U107" s="415"/>
      <c r="V107" s="415"/>
      <c r="W107" s="415"/>
      <c r="X107" s="415"/>
      <c r="Y107" s="415"/>
      <c r="Z107" s="415"/>
      <c r="AA107" s="415"/>
      <c r="AB107" s="415"/>
      <c r="AC107" s="415"/>
      <c r="AD107" s="415"/>
      <c r="AE107" s="415"/>
      <c r="AF107" s="415"/>
      <c r="AG107" s="415"/>
      <c r="AH107" s="415"/>
      <c r="AI107" s="415"/>
      <c r="AJ107" s="415"/>
      <c r="AK107" s="415"/>
      <c r="AL107" s="415"/>
      <c r="AM107" s="415"/>
      <c r="AN107" s="415"/>
      <c r="AO107" s="415"/>
      <c r="AP107" s="415"/>
      <c r="AQ107" s="357"/>
      <c r="AR107" s="357"/>
      <c r="AS107" s="357"/>
      <c r="BA107" s="390"/>
      <c r="BB107" s="390"/>
      <c r="BC107" s="390"/>
      <c r="BD107" s="390"/>
      <c r="BE107" s="390"/>
      <c r="BF107" s="390"/>
      <c r="BG107" s="390"/>
      <c r="BH107" s="390"/>
      <c r="BI107" s="390"/>
      <c r="BJ107" s="390"/>
      <c r="BK107" s="390"/>
      <c r="BL107" s="390"/>
      <c r="BM107" s="390"/>
      <c r="BN107" s="390"/>
      <c r="BO107" s="390"/>
      <c r="BP107" s="390"/>
      <c r="BQ107" s="390"/>
      <c r="BR107" s="390"/>
    </row>
    <row r="108" spans="1:70" x14ac:dyDescent="0.25">
      <c r="A108" s="366"/>
      <c r="B108" s="366"/>
      <c r="C108" s="366"/>
      <c r="D108" s="366"/>
      <c r="E108" s="366"/>
      <c r="F108" s="366"/>
      <c r="G108" s="366"/>
      <c r="H108" s="366"/>
      <c r="I108" s="366"/>
      <c r="J108" s="366"/>
      <c r="K108" s="366"/>
      <c r="L108" s="366"/>
      <c r="M108" s="366"/>
      <c r="N108" s="366"/>
      <c r="O108" s="366"/>
      <c r="P108" s="366"/>
      <c r="Q108" s="415"/>
      <c r="R108" s="415"/>
      <c r="S108" s="415"/>
      <c r="T108" s="415"/>
      <c r="U108" s="415"/>
      <c r="V108" s="415"/>
      <c r="W108" s="415"/>
      <c r="X108" s="415"/>
      <c r="Y108" s="415"/>
      <c r="Z108" s="415"/>
      <c r="AA108" s="415"/>
      <c r="AB108" s="415"/>
      <c r="AC108" s="415"/>
      <c r="AD108" s="415"/>
      <c r="AE108" s="415"/>
      <c r="AF108" s="415"/>
      <c r="AG108" s="415"/>
      <c r="AH108" s="415"/>
      <c r="AI108" s="415"/>
      <c r="AJ108" s="415"/>
      <c r="AK108" s="415"/>
      <c r="AL108" s="415"/>
      <c r="AM108" s="415"/>
      <c r="AN108" s="415"/>
      <c r="AO108" s="415"/>
      <c r="AP108" s="415"/>
      <c r="AQ108" s="357"/>
      <c r="AR108" s="357"/>
      <c r="AS108" s="357"/>
      <c r="BA108" s="390"/>
      <c r="BB108" s="390"/>
      <c r="BC108" s="390"/>
      <c r="BD108" s="390"/>
      <c r="BE108" s="390"/>
      <c r="BF108" s="390"/>
      <c r="BG108" s="390"/>
      <c r="BH108" s="390"/>
      <c r="BI108" s="390"/>
      <c r="BJ108" s="390"/>
      <c r="BK108" s="390"/>
      <c r="BL108" s="390"/>
      <c r="BM108" s="390"/>
      <c r="BN108" s="390"/>
      <c r="BO108" s="390"/>
      <c r="BP108" s="390"/>
      <c r="BQ108" s="390"/>
      <c r="BR108" s="390"/>
    </row>
    <row r="109" spans="1:70" x14ac:dyDescent="0.25">
      <c r="A109" s="366"/>
      <c r="B109" s="366"/>
      <c r="C109" s="366"/>
      <c r="D109" s="366"/>
      <c r="E109" s="366"/>
      <c r="F109" s="366"/>
      <c r="G109" s="366"/>
      <c r="H109" s="366"/>
      <c r="I109" s="366"/>
      <c r="J109" s="366"/>
      <c r="K109" s="366"/>
      <c r="L109" s="366"/>
      <c r="M109" s="366"/>
      <c r="N109" s="366"/>
      <c r="O109" s="366"/>
      <c r="P109" s="366"/>
      <c r="Q109" s="415"/>
      <c r="R109" s="415"/>
      <c r="S109" s="415"/>
      <c r="T109" s="415"/>
      <c r="U109" s="415"/>
      <c r="V109" s="415"/>
      <c r="W109" s="415"/>
      <c r="X109" s="415"/>
      <c r="Y109" s="415"/>
      <c r="Z109" s="415"/>
      <c r="AA109" s="415"/>
      <c r="AB109" s="415"/>
      <c r="AC109" s="415"/>
      <c r="AD109" s="415"/>
      <c r="AE109" s="415"/>
      <c r="AF109" s="415"/>
      <c r="AG109" s="415"/>
      <c r="AH109" s="415"/>
      <c r="AI109" s="415"/>
      <c r="AJ109" s="415"/>
      <c r="AK109" s="415"/>
      <c r="AL109" s="415"/>
      <c r="AM109" s="415"/>
      <c r="AN109" s="415"/>
      <c r="AO109" s="415"/>
      <c r="AP109" s="415"/>
      <c r="AQ109" s="357"/>
      <c r="AR109" s="357"/>
      <c r="AS109" s="357"/>
      <c r="BA109" s="390"/>
      <c r="BB109" s="390"/>
      <c r="BC109" s="390"/>
      <c r="BD109" s="390"/>
      <c r="BE109" s="390"/>
      <c r="BF109" s="390"/>
      <c r="BG109" s="390"/>
      <c r="BH109" s="390"/>
      <c r="BI109" s="390"/>
      <c r="BJ109" s="390"/>
      <c r="BK109" s="390"/>
      <c r="BL109" s="390"/>
      <c r="BM109" s="390"/>
      <c r="BN109" s="390"/>
      <c r="BO109" s="390"/>
      <c r="BP109" s="390"/>
      <c r="BQ109" s="390"/>
      <c r="BR109" s="390"/>
    </row>
    <row r="110" spans="1:70" x14ac:dyDescent="0.25">
      <c r="A110" s="366"/>
      <c r="B110" s="366"/>
      <c r="C110" s="366"/>
      <c r="D110" s="366"/>
      <c r="E110" s="366"/>
      <c r="F110" s="366"/>
      <c r="G110" s="366"/>
      <c r="H110" s="366"/>
      <c r="I110" s="366"/>
      <c r="J110" s="366"/>
      <c r="K110" s="366"/>
      <c r="L110" s="366"/>
      <c r="M110" s="366"/>
      <c r="N110" s="366"/>
      <c r="O110" s="366"/>
      <c r="P110" s="366"/>
      <c r="Q110" s="415"/>
      <c r="R110" s="415"/>
      <c r="S110" s="415"/>
      <c r="T110" s="415"/>
      <c r="U110" s="415"/>
      <c r="V110" s="415"/>
      <c r="W110" s="415"/>
      <c r="X110" s="415"/>
      <c r="Y110" s="415"/>
      <c r="Z110" s="415"/>
      <c r="AA110" s="415"/>
      <c r="AB110" s="415"/>
      <c r="AC110" s="415"/>
      <c r="AD110" s="415"/>
      <c r="AE110" s="415"/>
      <c r="AF110" s="415"/>
      <c r="AG110" s="415"/>
      <c r="AH110" s="415"/>
      <c r="AI110" s="415"/>
      <c r="AJ110" s="415"/>
      <c r="AK110" s="415"/>
      <c r="AL110" s="415"/>
      <c r="AM110" s="415"/>
      <c r="AN110" s="415"/>
      <c r="AO110" s="415"/>
      <c r="AP110" s="415"/>
      <c r="AQ110" s="357"/>
      <c r="AR110" s="357"/>
      <c r="AS110" s="357"/>
      <c r="BA110" s="390"/>
      <c r="BB110" s="390"/>
      <c r="BC110" s="390"/>
      <c r="BD110" s="390"/>
      <c r="BE110" s="390"/>
      <c r="BF110" s="390"/>
      <c r="BG110" s="390"/>
      <c r="BH110" s="390"/>
      <c r="BI110" s="390"/>
      <c r="BJ110" s="390"/>
      <c r="BK110" s="390"/>
      <c r="BL110" s="390"/>
      <c r="BM110" s="390"/>
      <c r="BN110" s="390"/>
      <c r="BO110" s="390"/>
      <c r="BP110" s="390"/>
      <c r="BQ110" s="390"/>
      <c r="BR110" s="390"/>
    </row>
    <row r="111" spans="1:70" x14ac:dyDescent="0.25">
      <c r="A111" s="366"/>
      <c r="B111" s="366"/>
      <c r="C111" s="366"/>
      <c r="D111" s="366"/>
      <c r="E111" s="366"/>
      <c r="F111" s="366"/>
      <c r="G111" s="366"/>
      <c r="H111" s="366"/>
      <c r="I111" s="366"/>
      <c r="J111" s="366"/>
      <c r="K111" s="366"/>
      <c r="L111" s="366"/>
      <c r="M111" s="366"/>
      <c r="N111" s="366"/>
      <c r="O111" s="366"/>
      <c r="P111" s="366"/>
      <c r="Q111" s="415"/>
      <c r="R111" s="415"/>
      <c r="S111" s="415"/>
      <c r="T111" s="415"/>
      <c r="U111" s="415"/>
      <c r="V111" s="415"/>
      <c r="W111" s="415"/>
      <c r="X111" s="415"/>
      <c r="Y111" s="415"/>
      <c r="Z111" s="415"/>
      <c r="AA111" s="415"/>
      <c r="AB111" s="415"/>
      <c r="AC111" s="415"/>
      <c r="AD111" s="415"/>
      <c r="AE111" s="415"/>
      <c r="AF111" s="415"/>
      <c r="AG111" s="415"/>
      <c r="AH111" s="415"/>
      <c r="AI111" s="415"/>
      <c r="AJ111" s="415"/>
      <c r="AK111" s="415"/>
      <c r="AL111" s="415"/>
      <c r="AM111" s="415"/>
      <c r="AN111" s="415"/>
      <c r="AO111" s="415"/>
      <c r="AP111" s="415"/>
      <c r="AQ111" s="357"/>
      <c r="AR111" s="357"/>
      <c r="AS111" s="357"/>
      <c r="BA111" s="390"/>
      <c r="BB111" s="390"/>
      <c r="BC111" s="390"/>
      <c r="BD111" s="390"/>
      <c r="BE111" s="390"/>
      <c r="BF111" s="390"/>
      <c r="BG111" s="390"/>
      <c r="BH111" s="390"/>
      <c r="BI111" s="390"/>
      <c r="BJ111" s="390"/>
      <c r="BK111" s="390"/>
      <c r="BL111" s="390"/>
      <c r="BM111" s="390"/>
      <c r="BN111" s="390"/>
      <c r="BO111" s="390"/>
      <c r="BP111" s="390"/>
      <c r="BQ111" s="390"/>
      <c r="BR111" s="390"/>
    </row>
    <row r="112" spans="1:70" x14ac:dyDescent="0.25">
      <c r="A112" s="366"/>
      <c r="B112" s="366"/>
      <c r="C112" s="366"/>
      <c r="D112" s="366"/>
      <c r="E112" s="366"/>
      <c r="F112" s="366"/>
      <c r="G112" s="366"/>
      <c r="H112" s="366"/>
      <c r="I112" s="366"/>
      <c r="J112" s="366"/>
      <c r="K112" s="366"/>
      <c r="L112" s="366"/>
      <c r="M112" s="366"/>
      <c r="N112" s="366"/>
      <c r="O112" s="366"/>
      <c r="P112" s="366"/>
      <c r="Q112" s="415"/>
      <c r="R112" s="415"/>
      <c r="S112" s="415"/>
      <c r="T112" s="415"/>
      <c r="U112" s="415"/>
      <c r="V112" s="415"/>
      <c r="W112" s="415"/>
      <c r="X112" s="415"/>
      <c r="Y112" s="415"/>
      <c r="Z112" s="415"/>
      <c r="AA112" s="415"/>
      <c r="AB112" s="415"/>
      <c r="AC112" s="415"/>
      <c r="AD112" s="415"/>
      <c r="AE112" s="415"/>
      <c r="AF112" s="415"/>
      <c r="AG112" s="415"/>
      <c r="AH112" s="415"/>
      <c r="AI112" s="415"/>
      <c r="AJ112" s="415"/>
      <c r="AK112" s="415"/>
      <c r="AL112" s="415"/>
      <c r="AM112" s="415"/>
      <c r="AN112" s="415"/>
      <c r="AO112" s="415"/>
      <c r="AP112" s="415"/>
      <c r="AQ112" s="357"/>
      <c r="AR112" s="357"/>
      <c r="AS112" s="357"/>
      <c r="BA112" s="390"/>
      <c r="BB112" s="390"/>
      <c r="BC112" s="390"/>
      <c r="BD112" s="390"/>
      <c r="BE112" s="390"/>
      <c r="BF112" s="390"/>
      <c r="BG112" s="390"/>
      <c r="BH112" s="390"/>
      <c r="BI112" s="390"/>
      <c r="BJ112" s="390"/>
      <c r="BK112" s="390"/>
      <c r="BL112" s="390"/>
      <c r="BM112" s="390"/>
      <c r="BN112" s="390"/>
      <c r="BO112" s="390"/>
      <c r="BP112" s="390"/>
      <c r="BQ112" s="390"/>
      <c r="BR112" s="390"/>
    </row>
    <row r="113" spans="1:70" x14ac:dyDescent="0.25">
      <c r="A113" s="366"/>
      <c r="B113" s="366"/>
      <c r="C113" s="366"/>
      <c r="D113" s="366"/>
      <c r="E113" s="366"/>
      <c r="F113" s="366"/>
      <c r="G113" s="366"/>
      <c r="H113" s="366"/>
      <c r="I113" s="366"/>
      <c r="J113" s="366"/>
      <c r="K113" s="366"/>
      <c r="L113" s="366"/>
      <c r="M113" s="366"/>
      <c r="N113" s="366"/>
      <c r="O113" s="366"/>
      <c r="P113" s="366"/>
      <c r="Q113" s="415"/>
      <c r="R113" s="415"/>
      <c r="S113" s="415"/>
      <c r="T113" s="415"/>
      <c r="U113" s="415"/>
      <c r="V113" s="415"/>
      <c r="W113" s="415"/>
      <c r="X113" s="415"/>
      <c r="Y113" s="415"/>
      <c r="Z113" s="415"/>
      <c r="AA113" s="415"/>
      <c r="AB113" s="415"/>
      <c r="AC113" s="415"/>
      <c r="AD113" s="415"/>
      <c r="AE113" s="415"/>
      <c r="AF113" s="415"/>
      <c r="AG113" s="415"/>
      <c r="AH113" s="415"/>
      <c r="AI113" s="415"/>
      <c r="AJ113" s="415"/>
      <c r="AK113" s="415"/>
      <c r="AL113" s="415"/>
      <c r="AM113" s="415"/>
      <c r="AN113" s="415"/>
      <c r="AO113" s="415"/>
      <c r="AP113" s="415"/>
      <c r="AQ113" s="357"/>
      <c r="AR113" s="357"/>
      <c r="AS113" s="357"/>
      <c r="BA113" s="390"/>
      <c r="BB113" s="390"/>
      <c r="BC113" s="390"/>
      <c r="BD113" s="390"/>
      <c r="BE113" s="390"/>
      <c r="BF113" s="390"/>
      <c r="BG113" s="390"/>
      <c r="BH113" s="390"/>
      <c r="BI113" s="390"/>
      <c r="BJ113" s="390"/>
      <c r="BK113" s="390"/>
      <c r="BL113" s="390"/>
      <c r="BM113" s="390"/>
      <c r="BN113" s="390"/>
      <c r="BO113" s="390"/>
      <c r="BP113" s="390"/>
      <c r="BQ113" s="390"/>
      <c r="BR113" s="390"/>
    </row>
    <row r="114" spans="1:70" x14ac:dyDescent="0.25">
      <c r="A114" s="366"/>
      <c r="B114" s="366"/>
      <c r="C114" s="366"/>
      <c r="D114" s="366"/>
      <c r="E114" s="366"/>
      <c r="F114" s="366"/>
      <c r="G114" s="366"/>
      <c r="H114" s="366"/>
      <c r="I114" s="366"/>
      <c r="J114" s="366"/>
      <c r="K114" s="366"/>
      <c r="L114" s="366"/>
      <c r="M114" s="366"/>
      <c r="N114" s="366"/>
      <c r="O114" s="366"/>
      <c r="P114" s="366"/>
      <c r="Q114" s="415"/>
      <c r="R114" s="415"/>
      <c r="S114" s="415"/>
      <c r="T114" s="415"/>
      <c r="U114" s="415"/>
      <c r="V114" s="415"/>
      <c r="W114" s="415"/>
      <c r="X114" s="415"/>
      <c r="Y114" s="415"/>
      <c r="Z114" s="415"/>
      <c r="AA114" s="415"/>
      <c r="AB114" s="415"/>
      <c r="AC114" s="415"/>
      <c r="AD114" s="415"/>
      <c r="AE114" s="415"/>
      <c r="AF114" s="415"/>
      <c r="AG114" s="415"/>
      <c r="AH114" s="415"/>
      <c r="AI114" s="415"/>
      <c r="AJ114" s="415"/>
      <c r="AK114" s="415"/>
      <c r="AL114" s="415"/>
      <c r="AM114" s="415"/>
      <c r="AN114" s="415"/>
      <c r="AO114" s="415"/>
      <c r="AP114" s="415"/>
      <c r="AQ114" s="357"/>
      <c r="AR114" s="357"/>
      <c r="AS114" s="357"/>
      <c r="BA114" s="390"/>
      <c r="BB114" s="390"/>
      <c r="BC114" s="390"/>
      <c r="BD114" s="390"/>
      <c r="BE114" s="390"/>
      <c r="BF114" s="390"/>
      <c r="BG114" s="390"/>
      <c r="BH114" s="390"/>
      <c r="BI114" s="390"/>
      <c r="BJ114" s="390"/>
      <c r="BK114" s="390"/>
      <c r="BL114" s="390"/>
      <c r="BM114" s="390"/>
      <c r="BN114" s="390"/>
      <c r="BO114" s="390"/>
      <c r="BP114" s="390"/>
      <c r="BQ114" s="390"/>
      <c r="BR114" s="390"/>
    </row>
    <row r="115" spans="1:70" x14ac:dyDescent="0.25">
      <c r="A115" s="366"/>
      <c r="B115" s="366"/>
      <c r="C115" s="366"/>
      <c r="D115" s="366"/>
      <c r="E115" s="366"/>
      <c r="F115" s="366"/>
      <c r="G115" s="366"/>
      <c r="H115" s="366"/>
      <c r="I115" s="366"/>
      <c r="J115" s="366"/>
      <c r="K115" s="366"/>
      <c r="L115" s="366"/>
      <c r="M115" s="366"/>
      <c r="N115" s="366"/>
      <c r="O115" s="366"/>
      <c r="P115" s="366"/>
      <c r="Q115" s="415"/>
      <c r="R115" s="415"/>
      <c r="S115" s="415"/>
      <c r="T115" s="415"/>
      <c r="U115" s="415"/>
      <c r="V115" s="415"/>
      <c r="W115" s="415"/>
      <c r="X115" s="415"/>
      <c r="Y115" s="415"/>
      <c r="Z115" s="415"/>
      <c r="AA115" s="415"/>
      <c r="AB115" s="415"/>
      <c r="AC115" s="415"/>
      <c r="AD115" s="415"/>
      <c r="AE115" s="415"/>
      <c r="AF115" s="415"/>
      <c r="AG115" s="415"/>
      <c r="AH115" s="415"/>
      <c r="AI115" s="415"/>
      <c r="AJ115" s="415"/>
      <c r="AK115" s="415"/>
      <c r="AL115" s="415"/>
      <c r="AM115" s="415"/>
      <c r="AN115" s="415"/>
      <c r="AO115" s="415"/>
      <c r="AP115" s="415"/>
      <c r="AQ115" s="357"/>
      <c r="AR115" s="357"/>
      <c r="AS115" s="357"/>
      <c r="BA115" s="390"/>
      <c r="BB115" s="390"/>
      <c r="BC115" s="390"/>
      <c r="BD115" s="390"/>
      <c r="BE115" s="390"/>
      <c r="BF115" s="390"/>
      <c r="BG115" s="390"/>
      <c r="BH115" s="390"/>
      <c r="BI115" s="390"/>
      <c r="BJ115" s="390"/>
      <c r="BK115" s="390"/>
      <c r="BL115" s="390"/>
      <c r="BM115" s="390"/>
      <c r="BN115" s="390"/>
      <c r="BO115" s="390"/>
      <c r="BP115" s="390"/>
      <c r="BQ115" s="390"/>
      <c r="BR115" s="390"/>
    </row>
    <row r="116" spans="1:70" x14ac:dyDescent="0.25">
      <c r="A116" s="366"/>
      <c r="B116" s="366"/>
      <c r="C116" s="366"/>
      <c r="D116" s="366"/>
      <c r="E116" s="366"/>
      <c r="F116" s="366"/>
      <c r="G116" s="366"/>
      <c r="H116" s="366"/>
      <c r="I116" s="366"/>
      <c r="J116" s="366"/>
      <c r="K116" s="366"/>
      <c r="L116" s="366"/>
      <c r="M116" s="366"/>
      <c r="N116" s="366"/>
      <c r="O116" s="366"/>
      <c r="P116" s="366"/>
      <c r="Q116" s="415"/>
      <c r="R116" s="415"/>
      <c r="S116" s="415"/>
      <c r="T116" s="415"/>
      <c r="U116" s="415"/>
      <c r="V116" s="415"/>
      <c r="W116" s="415"/>
      <c r="X116" s="415"/>
      <c r="Y116" s="415"/>
      <c r="Z116" s="415"/>
      <c r="AA116" s="415"/>
      <c r="AB116" s="415"/>
      <c r="AC116" s="415"/>
      <c r="AD116" s="415"/>
      <c r="AE116" s="415"/>
      <c r="AF116" s="415"/>
      <c r="AG116" s="415"/>
      <c r="AH116" s="415"/>
      <c r="AI116" s="415"/>
      <c r="AJ116" s="415"/>
      <c r="AK116" s="415"/>
      <c r="AL116" s="415"/>
      <c r="AM116" s="415"/>
      <c r="AN116" s="415"/>
      <c r="AO116" s="415"/>
      <c r="AP116" s="415"/>
      <c r="AQ116" s="357"/>
      <c r="AR116" s="357"/>
      <c r="AS116" s="357"/>
      <c r="BA116" s="390"/>
      <c r="BB116" s="390"/>
      <c r="BC116" s="390"/>
      <c r="BD116" s="390"/>
      <c r="BE116" s="390"/>
      <c r="BF116" s="390"/>
      <c r="BG116" s="390"/>
      <c r="BH116" s="390"/>
      <c r="BI116" s="390"/>
      <c r="BJ116" s="390"/>
      <c r="BK116" s="390"/>
      <c r="BL116" s="390"/>
      <c r="BM116" s="390"/>
      <c r="BN116" s="390"/>
      <c r="BO116" s="390"/>
      <c r="BP116" s="390"/>
      <c r="BQ116" s="390"/>
      <c r="BR116" s="390"/>
    </row>
    <row r="117" spans="1:70" x14ac:dyDescent="0.25">
      <c r="A117" s="366"/>
      <c r="B117" s="366"/>
      <c r="C117" s="366"/>
      <c r="D117" s="366"/>
      <c r="E117" s="366"/>
      <c r="F117" s="366"/>
      <c r="G117" s="366"/>
      <c r="H117" s="366"/>
      <c r="I117" s="366"/>
      <c r="J117" s="366"/>
      <c r="K117" s="366"/>
      <c r="L117" s="366"/>
      <c r="M117" s="366"/>
      <c r="N117" s="366"/>
      <c r="O117" s="366"/>
      <c r="P117" s="366"/>
      <c r="Q117" s="415"/>
      <c r="R117" s="415"/>
      <c r="S117" s="415"/>
      <c r="T117" s="415"/>
      <c r="U117" s="415"/>
      <c r="V117" s="415"/>
      <c r="W117" s="415"/>
      <c r="X117" s="415"/>
      <c r="Y117" s="415"/>
      <c r="Z117" s="415"/>
      <c r="AA117" s="415"/>
      <c r="AB117" s="415"/>
      <c r="AC117" s="415"/>
      <c r="AD117" s="415"/>
      <c r="AE117" s="415"/>
      <c r="AF117" s="415"/>
      <c r="AG117" s="415"/>
      <c r="AH117" s="415"/>
      <c r="AI117" s="415"/>
      <c r="AJ117" s="415"/>
      <c r="AK117" s="415"/>
      <c r="AL117" s="415"/>
      <c r="AM117" s="415"/>
      <c r="AN117" s="415"/>
      <c r="AO117" s="415"/>
      <c r="AP117" s="415"/>
      <c r="AQ117" s="357"/>
      <c r="AR117" s="357"/>
      <c r="AS117" s="357"/>
      <c r="BA117" s="390"/>
      <c r="BB117" s="390"/>
      <c r="BC117" s="390"/>
      <c r="BD117" s="390"/>
      <c r="BE117" s="390"/>
      <c r="BF117" s="390"/>
      <c r="BG117" s="390"/>
      <c r="BH117" s="390"/>
      <c r="BI117" s="390"/>
      <c r="BJ117" s="390"/>
      <c r="BK117" s="390"/>
      <c r="BL117" s="390"/>
      <c r="BM117" s="390"/>
      <c r="BN117" s="390"/>
      <c r="BO117" s="390"/>
      <c r="BP117" s="390"/>
      <c r="BQ117" s="390"/>
      <c r="BR117" s="390"/>
    </row>
    <row r="118" spans="1:70" x14ac:dyDescent="0.25">
      <c r="A118" s="366"/>
      <c r="B118" s="366"/>
      <c r="C118" s="366"/>
      <c r="D118" s="366"/>
      <c r="E118" s="366"/>
      <c r="F118" s="366"/>
      <c r="G118" s="366"/>
      <c r="H118" s="366"/>
      <c r="I118" s="366"/>
      <c r="J118" s="366"/>
      <c r="K118" s="366"/>
      <c r="L118" s="366"/>
      <c r="M118" s="366"/>
      <c r="N118" s="366"/>
      <c r="O118" s="366"/>
      <c r="P118" s="366"/>
      <c r="Q118" s="415"/>
      <c r="R118" s="415"/>
      <c r="S118" s="415"/>
      <c r="T118" s="415"/>
      <c r="U118" s="415"/>
      <c r="V118" s="415"/>
      <c r="W118" s="415"/>
      <c r="X118" s="415"/>
      <c r="Y118" s="415"/>
      <c r="Z118" s="415"/>
      <c r="AA118" s="415"/>
      <c r="AB118" s="415"/>
      <c r="AC118" s="415"/>
      <c r="AD118" s="415"/>
      <c r="AE118" s="415"/>
      <c r="AF118" s="415"/>
      <c r="AG118" s="415"/>
      <c r="AH118" s="415"/>
      <c r="AI118" s="415"/>
      <c r="AJ118" s="415"/>
      <c r="AK118" s="415"/>
      <c r="AL118" s="415"/>
      <c r="AM118" s="415"/>
      <c r="AN118" s="415"/>
      <c r="AO118" s="415"/>
      <c r="AP118" s="415"/>
      <c r="AQ118" s="357"/>
      <c r="AR118" s="357"/>
      <c r="AS118" s="357"/>
      <c r="BA118" s="390"/>
      <c r="BB118" s="390"/>
      <c r="BC118" s="390"/>
      <c r="BD118" s="390"/>
      <c r="BE118" s="390"/>
      <c r="BF118" s="390"/>
      <c r="BG118" s="390"/>
      <c r="BH118" s="390"/>
      <c r="BI118" s="390"/>
      <c r="BJ118" s="390"/>
      <c r="BK118" s="390"/>
      <c r="BL118" s="390"/>
      <c r="BM118" s="390"/>
      <c r="BN118" s="390"/>
      <c r="BO118" s="390"/>
      <c r="BP118" s="390"/>
      <c r="BQ118" s="390"/>
      <c r="BR118" s="390"/>
    </row>
    <row r="119" spans="1:70" x14ac:dyDescent="0.25">
      <c r="A119" s="366"/>
      <c r="B119" s="366"/>
      <c r="C119" s="366"/>
      <c r="D119" s="366"/>
      <c r="E119" s="366"/>
      <c r="F119" s="366"/>
      <c r="G119" s="366"/>
      <c r="H119" s="366"/>
      <c r="I119" s="366"/>
      <c r="J119" s="366"/>
      <c r="K119" s="366"/>
      <c r="L119" s="366"/>
      <c r="M119" s="366"/>
      <c r="N119" s="366"/>
      <c r="O119" s="366"/>
      <c r="P119" s="366"/>
      <c r="Q119" s="415"/>
      <c r="R119" s="415"/>
      <c r="S119" s="415"/>
      <c r="T119" s="415"/>
      <c r="U119" s="415"/>
      <c r="V119" s="415"/>
      <c r="W119" s="415"/>
      <c r="X119" s="415"/>
      <c r="Y119" s="415"/>
      <c r="Z119" s="415"/>
      <c r="AA119" s="415"/>
      <c r="AB119" s="415"/>
      <c r="AC119" s="415"/>
      <c r="AD119" s="415"/>
      <c r="AE119" s="415"/>
      <c r="AF119" s="415"/>
      <c r="AG119" s="415"/>
      <c r="AH119" s="415"/>
      <c r="AI119" s="415"/>
      <c r="AJ119" s="415"/>
      <c r="AK119" s="415"/>
      <c r="AL119" s="415"/>
      <c r="AM119" s="415"/>
      <c r="AN119" s="415"/>
      <c r="AO119" s="415"/>
      <c r="AP119" s="415"/>
      <c r="AQ119" s="357"/>
      <c r="AR119" s="357"/>
      <c r="AS119" s="357"/>
      <c r="BA119" s="390"/>
      <c r="BB119" s="390"/>
      <c r="BC119" s="390"/>
      <c r="BD119" s="390"/>
      <c r="BE119" s="390"/>
      <c r="BF119" s="390"/>
      <c r="BG119" s="390"/>
      <c r="BH119" s="390"/>
      <c r="BI119" s="390"/>
      <c r="BJ119" s="390"/>
      <c r="BK119" s="390"/>
      <c r="BL119" s="390"/>
      <c r="BM119" s="390"/>
      <c r="BN119" s="390"/>
      <c r="BO119" s="390"/>
      <c r="BP119" s="390"/>
      <c r="BQ119" s="390"/>
      <c r="BR119" s="390"/>
    </row>
    <row r="120" spans="1:70" x14ac:dyDescent="0.25">
      <c r="A120" s="366"/>
      <c r="B120" s="366"/>
      <c r="C120" s="366"/>
      <c r="D120" s="366"/>
      <c r="E120" s="366"/>
      <c r="F120" s="366"/>
      <c r="G120" s="366"/>
      <c r="H120" s="366"/>
      <c r="I120" s="366"/>
      <c r="J120" s="366"/>
      <c r="K120" s="366"/>
      <c r="L120" s="366"/>
      <c r="M120" s="366"/>
      <c r="N120" s="366"/>
      <c r="O120" s="366"/>
      <c r="P120" s="366"/>
      <c r="Q120" s="415"/>
      <c r="R120" s="415"/>
      <c r="S120" s="415"/>
      <c r="T120" s="415"/>
      <c r="U120" s="415"/>
      <c r="V120" s="415"/>
      <c r="W120" s="415"/>
      <c r="X120" s="415"/>
      <c r="Y120" s="415"/>
      <c r="Z120" s="415"/>
      <c r="AA120" s="415"/>
      <c r="AB120" s="415"/>
      <c r="AC120" s="415"/>
      <c r="AD120" s="415"/>
      <c r="AE120" s="415"/>
      <c r="AF120" s="415"/>
      <c r="AG120" s="415"/>
      <c r="AH120" s="415"/>
      <c r="AI120" s="415"/>
      <c r="AJ120" s="415"/>
      <c r="AK120" s="415"/>
      <c r="AL120" s="415"/>
      <c r="AM120" s="415"/>
      <c r="AN120" s="415"/>
      <c r="AO120" s="415"/>
      <c r="AP120" s="415"/>
      <c r="AQ120" s="357"/>
      <c r="AR120" s="357"/>
      <c r="AS120" s="357"/>
      <c r="BA120" s="390"/>
      <c r="BB120" s="390"/>
      <c r="BC120" s="390"/>
      <c r="BD120" s="390"/>
      <c r="BE120" s="390"/>
      <c r="BF120" s="390"/>
      <c r="BG120" s="390"/>
      <c r="BH120" s="390"/>
      <c r="BI120" s="390"/>
      <c r="BJ120" s="390"/>
      <c r="BK120" s="390"/>
      <c r="BL120" s="390"/>
      <c r="BM120" s="390"/>
      <c r="BN120" s="390"/>
      <c r="BO120" s="390"/>
      <c r="BP120" s="390"/>
      <c r="BQ120" s="390"/>
      <c r="BR120" s="390"/>
    </row>
    <row r="121" spans="1:70" x14ac:dyDescent="0.25">
      <c r="A121" s="366"/>
      <c r="B121" s="366"/>
      <c r="C121" s="366"/>
      <c r="D121" s="366"/>
      <c r="E121" s="366"/>
      <c r="F121" s="366"/>
      <c r="G121" s="366"/>
      <c r="H121" s="366"/>
      <c r="I121" s="366"/>
      <c r="J121" s="366"/>
      <c r="K121" s="366"/>
      <c r="L121" s="366"/>
      <c r="M121" s="366"/>
      <c r="N121" s="366"/>
      <c r="O121" s="366"/>
      <c r="P121" s="366"/>
      <c r="Q121" s="415"/>
      <c r="R121" s="415"/>
      <c r="S121" s="415"/>
      <c r="T121" s="415"/>
      <c r="U121" s="415"/>
      <c r="V121" s="415"/>
      <c r="W121" s="415"/>
      <c r="X121" s="415"/>
      <c r="Y121" s="415"/>
      <c r="Z121" s="415"/>
      <c r="AA121" s="415"/>
      <c r="AB121" s="415"/>
      <c r="AC121" s="415"/>
      <c r="AD121" s="415"/>
      <c r="AE121" s="415"/>
      <c r="AF121" s="415"/>
      <c r="AG121" s="415"/>
      <c r="AH121" s="415"/>
      <c r="AI121" s="415"/>
      <c r="AJ121" s="415"/>
      <c r="AK121" s="415"/>
      <c r="AL121" s="415"/>
      <c r="AM121" s="415"/>
      <c r="AN121" s="415"/>
      <c r="AO121" s="415"/>
      <c r="AP121" s="415"/>
      <c r="AQ121" s="357"/>
      <c r="AR121" s="357"/>
      <c r="AS121" s="357"/>
      <c r="BA121" s="390"/>
      <c r="BB121" s="390"/>
      <c r="BC121" s="390"/>
      <c r="BD121" s="390"/>
      <c r="BE121" s="390"/>
      <c r="BF121" s="390"/>
      <c r="BG121" s="390"/>
      <c r="BH121" s="390"/>
      <c r="BI121" s="390"/>
      <c r="BJ121" s="390"/>
      <c r="BK121" s="390"/>
      <c r="BL121" s="390"/>
      <c r="BM121" s="390"/>
      <c r="BN121" s="390"/>
      <c r="BO121" s="390"/>
      <c r="BP121" s="390"/>
      <c r="BQ121" s="390"/>
      <c r="BR121" s="390"/>
    </row>
    <row r="122" spans="1:70" x14ac:dyDescent="0.25">
      <c r="A122" s="366"/>
      <c r="B122" s="366"/>
      <c r="C122" s="366"/>
      <c r="D122" s="366"/>
      <c r="E122" s="366"/>
      <c r="F122" s="366"/>
      <c r="G122" s="366"/>
      <c r="H122" s="366"/>
      <c r="I122" s="366"/>
      <c r="J122" s="366"/>
      <c r="K122" s="366"/>
      <c r="L122" s="366"/>
      <c r="M122" s="366"/>
      <c r="N122" s="366"/>
      <c r="O122" s="366"/>
      <c r="P122" s="366"/>
      <c r="Q122" s="415"/>
      <c r="R122" s="415"/>
      <c r="S122" s="415"/>
      <c r="T122" s="415"/>
      <c r="U122" s="415"/>
      <c r="V122" s="415"/>
      <c r="W122" s="415"/>
      <c r="X122" s="415"/>
      <c r="Y122" s="415"/>
      <c r="Z122" s="415"/>
      <c r="AA122" s="415"/>
      <c r="AB122" s="415"/>
      <c r="AC122" s="415"/>
      <c r="AD122" s="415"/>
      <c r="AE122" s="415"/>
      <c r="AF122" s="415"/>
      <c r="AG122" s="415"/>
      <c r="AH122" s="415"/>
      <c r="AI122" s="415"/>
      <c r="AJ122" s="415"/>
      <c r="AK122" s="415"/>
      <c r="AL122" s="415"/>
      <c r="AM122" s="415"/>
      <c r="AN122" s="415"/>
      <c r="AO122" s="415"/>
      <c r="AP122" s="415"/>
      <c r="AQ122" s="357"/>
      <c r="AR122" s="357"/>
      <c r="AS122" s="357"/>
      <c r="BA122" s="390"/>
      <c r="BB122" s="390"/>
      <c r="BC122" s="390"/>
      <c r="BD122" s="390"/>
      <c r="BE122" s="390"/>
      <c r="BF122" s="390"/>
      <c r="BG122" s="390"/>
      <c r="BH122" s="390"/>
      <c r="BI122" s="390"/>
      <c r="BJ122" s="390"/>
      <c r="BK122" s="390"/>
      <c r="BL122" s="390"/>
      <c r="BM122" s="390"/>
      <c r="BN122" s="390"/>
      <c r="BO122" s="390"/>
      <c r="BP122" s="390"/>
      <c r="BQ122" s="390"/>
      <c r="BR122" s="390"/>
    </row>
    <row r="123" spans="1:70" x14ac:dyDescent="0.25">
      <c r="A123" s="366"/>
      <c r="B123" s="366"/>
      <c r="C123" s="366"/>
      <c r="D123" s="366"/>
      <c r="E123" s="366"/>
      <c r="F123" s="366"/>
      <c r="G123" s="366"/>
      <c r="H123" s="366"/>
      <c r="I123" s="366"/>
      <c r="J123" s="366"/>
      <c r="K123" s="366"/>
      <c r="L123" s="366"/>
      <c r="M123" s="366"/>
      <c r="N123" s="366"/>
      <c r="O123" s="366"/>
      <c r="P123" s="366"/>
      <c r="Q123" s="415"/>
      <c r="R123" s="415"/>
      <c r="S123" s="415"/>
      <c r="T123" s="415"/>
      <c r="U123" s="415"/>
      <c r="V123" s="415"/>
      <c r="W123" s="415"/>
      <c r="X123" s="415"/>
      <c r="Y123" s="415"/>
      <c r="Z123" s="415"/>
      <c r="AA123" s="415"/>
      <c r="AB123" s="415"/>
      <c r="AC123" s="415"/>
      <c r="AD123" s="415"/>
      <c r="AE123" s="415"/>
      <c r="AF123" s="415"/>
      <c r="AG123" s="415"/>
      <c r="AH123" s="415"/>
      <c r="AI123" s="415"/>
      <c r="AJ123" s="415"/>
      <c r="AK123" s="415"/>
      <c r="AL123" s="415"/>
      <c r="AM123" s="415"/>
      <c r="AN123" s="415"/>
      <c r="AO123" s="415"/>
      <c r="AP123" s="415"/>
      <c r="AQ123" s="357"/>
      <c r="AR123" s="357"/>
      <c r="AS123" s="357"/>
      <c r="BA123" s="390"/>
      <c r="BB123" s="390"/>
      <c r="BC123" s="390"/>
      <c r="BD123" s="390"/>
      <c r="BE123" s="390"/>
      <c r="BF123" s="390"/>
      <c r="BG123" s="390"/>
      <c r="BH123" s="390"/>
      <c r="BI123" s="390"/>
      <c r="BJ123" s="390"/>
      <c r="BK123" s="390"/>
      <c r="BL123" s="390"/>
      <c r="BM123" s="390"/>
      <c r="BN123" s="390"/>
      <c r="BO123" s="390"/>
      <c r="BP123" s="390"/>
      <c r="BQ123" s="390"/>
      <c r="BR123" s="390"/>
    </row>
    <row r="124" spans="1:70" x14ac:dyDescent="0.25">
      <c r="A124" s="366"/>
      <c r="B124" s="366"/>
      <c r="C124" s="366"/>
      <c r="D124" s="366"/>
      <c r="E124" s="366"/>
      <c r="F124" s="366"/>
      <c r="G124" s="366"/>
      <c r="H124" s="366"/>
      <c r="I124" s="366"/>
      <c r="J124" s="366"/>
      <c r="K124" s="366"/>
      <c r="L124" s="366"/>
      <c r="M124" s="366"/>
      <c r="N124" s="366"/>
      <c r="O124" s="366"/>
      <c r="P124" s="366"/>
      <c r="Q124" s="415"/>
      <c r="R124" s="415"/>
      <c r="S124" s="415"/>
      <c r="T124" s="415"/>
      <c r="U124" s="415"/>
      <c r="V124" s="415"/>
      <c r="W124" s="415"/>
      <c r="X124" s="415"/>
      <c r="Y124" s="415"/>
      <c r="Z124" s="415"/>
      <c r="AA124" s="415"/>
      <c r="AB124" s="415"/>
      <c r="AC124" s="415"/>
      <c r="AD124" s="415"/>
      <c r="AE124" s="415"/>
      <c r="AF124" s="415"/>
      <c r="AG124" s="415"/>
      <c r="AH124" s="415"/>
      <c r="AI124" s="415"/>
      <c r="AJ124" s="415"/>
      <c r="AK124" s="415"/>
      <c r="AL124" s="415"/>
      <c r="AM124" s="415"/>
      <c r="AN124" s="415"/>
      <c r="AO124" s="415"/>
      <c r="AP124" s="415"/>
      <c r="AQ124" s="357"/>
      <c r="AR124" s="357"/>
      <c r="AS124" s="357"/>
      <c r="BA124" s="390"/>
      <c r="BB124" s="390"/>
      <c r="BC124" s="390"/>
      <c r="BD124" s="390"/>
      <c r="BE124" s="390"/>
      <c r="BF124" s="390"/>
      <c r="BG124" s="390"/>
      <c r="BH124" s="390"/>
      <c r="BI124" s="390"/>
      <c r="BJ124" s="390"/>
      <c r="BK124" s="390"/>
      <c r="BL124" s="390"/>
      <c r="BM124" s="390"/>
      <c r="BN124" s="390"/>
      <c r="BO124" s="390"/>
      <c r="BP124" s="390"/>
      <c r="BQ124" s="390"/>
      <c r="BR124" s="390"/>
    </row>
    <row r="125" spans="1:70" x14ac:dyDescent="0.25">
      <c r="A125" s="366"/>
      <c r="B125" s="366"/>
      <c r="C125" s="366"/>
      <c r="D125" s="366"/>
      <c r="E125" s="366"/>
      <c r="F125" s="366"/>
      <c r="G125" s="366"/>
      <c r="H125" s="366"/>
      <c r="I125" s="366"/>
      <c r="J125" s="366"/>
      <c r="K125" s="366"/>
      <c r="L125" s="366"/>
      <c r="M125" s="366"/>
      <c r="N125" s="366"/>
      <c r="O125" s="366"/>
      <c r="P125" s="366"/>
      <c r="Q125" s="415"/>
      <c r="R125" s="415"/>
      <c r="S125" s="415"/>
      <c r="T125" s="415"/>
      <c r="U125" s="415"/>
      <c r="V125" s="415"/>
      <c r="W125" s="415"/>
      <c r="X125" s="415"/>
      <c r="Y125" s="415"/>
      <c r="Z125" s="415"/>
      <c r="AA125" s="415"/>
      <c r="AB125" s="415"/>
      <c r="AC125" s="415"/>
      <c r="AD125" s="415"/>
      <c r="AE125" s="415"/>
      <c r="AF125" s="415"/>
      <c r="AG125" s="415"/>
      <c r="AH125" s="415"/>
      <c r="AI125" s="415"/>
      <c r="AJ125" s="415"/>
      <c r="AK125" s="415"/>
      <c r="AL125" s="415"/>
      <c r="AM125" s="415"/>
      <c r="AN125" s="415"/>
      <c r="AO125" s="415"/>
      <c r="AP125" s="415"/>
      <c r="AQ125" s="357"/>
      <c r="AR125" s="357"/>
      <c r="AS125" s="357"/>
      <c r="BA125" s="390"/>
      <c r="BB125" s="390"/>
      <c r="BC125" s="390"/>
      <c r="BD125" s="390"/>
      <c r="BE125" s="390"/>
      <c r="BF125" s="390"/>
      <c r="BG125" s="390"/>
      <c r="BH125" s="390"/>
      <c r="BI125" s="390"/>
      <c r="BJ125" s="390"/>
      <c r="BK125" s="390"/>
      <c r="BL125" s="390"/>
      <c r="BM125" s="390"/>
      <c r="BN125" s="390"/>
      <c r="BO125" s="390"/>
      <c r="BP125" s="390"/>
      <c r="BQ125" s="390"/>
      <c r="BR125" s="390"/>
    </row>
    <row r="126" spans="1:70" x14ac:dyDescent="0.25">
      <c r="A126" s="366"/>
      <c r="B126" s="366"/>
      <c r="C126" s="366"/>
      <c r="D126" s="366"/>
      <c r="E126" s="366"/>
      <c r="F126" s="366"/>
      <c r="G126" s="366"/>
      <c r="H126" s="366"/>
      <c r="I126" s="366"/>
      <c r="J126" s="366"/>
      <c r="K126" s="366"/>
      <c r="L126" s="366"/>
      <c r="M126" s="366"/>
      <c r="N126" s="366"/>
      <c r="O126" s="366"/>
      <c r="P126" s="366"/>
      <c r="Q126" s="415"/>
      <c r="R126" s="415"/>
      <c r="S126" s="415"/>
      <c r="T126" s="415"/>
      <c r="U126" s="415"/>
      <c r="V126" s="415"/>
      <c r="W126" s="415"/>
      <c r="X126" s="415"/>
      <c r="Y126" s="415"/>
      <c r="Z126" s="415"/>
      <c r="AA126" s="415"/>
      <c r="AB126" s="415"/>
      <c r="AC126" s="415"/>
      <c r="AD126" s="415"/>
      <c r="AE126" s="415"/>
      <c r="AF126" s="415"/>
      <c r="AG126" s="415"/>
      <c r="AH126" s="415"/>
      <c r="AI126" s="415"/>
      <c r="AJ126" s="415"/>
      <c r="AK126" s="415"/>
      <c r="AL126" s="415"/>
      <c r="AM126" s="415"/>
      <c r="AN126" s="415"/>
      <c r="AO126" s="415"/>
      <c r="AP126" s="415"/>
      <c r="AQ126" s="357"/>
      <c r="AR126" s="357"/>
      <c r="AS126" s="357"/>
      <c r="BA126" s="390"/>
      <c r="BB126" s="390"/>
      <c r="BC126" s="390"/>
      <c r="BD126" s="390"/>
      <c r="BE126" s="390"/>
      <c r="BF126" s="390"/>
      <c r="BG126" s="390"/>
      <c r="BH126" s="390"/>
      <c r="BI126" s="390"/>
      <c r="BJ126" s="390"/>
      <c r="BK126" s="390"/>
      <c r="BL126" s="390"/>
      <c r="BM126" s="390"/>
      <c r="BN126" s="390"/>
      <c r="BO126" s="390"/>
      <c r="BP126" s="390"/>
      <c r="BQ126" s="390"/>
      <c r="BR126" s="390"/>
    </row>
    <row r="127" spans="1:70" x14ac:dyDescent="0.25">
      <c r="A127" s="366"/>
      <c r="B127" s="366"/>
      <c r="C127" s="366"/>
      <c r="D127" s="366"/>
      <c r="E127" s="366"/>
      <c r="F127" s="366"/>
      <c r="G127" s="366"/>
      <c r="H127" s="366"/>
      <c r="I127" s="366"/>
      <c r="J127" s="366"/>
      <c r="K127" s="366"/>
      <c r="L127" s="366"/>
      <c r="M127" s="366"/>
      <c r="N127" s="366"/>
      <c r="O127" s="366"/>
      <c r="P127" s="366"/>
      <c r="Q127" s="415"/>
      <c r="R127" s="415"/>
      <c r="S127" s="415"/>
      <c r="T127" s="415"/>
      <c r="U127" s="415"/>
      <c r="V127" s="415"/>
      <c r="W127" s="415"/>
      <c r="X127" s="415"/>
      <c r="Y127" s="415"/>
      <c r="Z127" s="415"/>
      <c r="AA127" s="415"/>
      <c r="AB127" s="415"/>
      <c r="AC127" s="415"/>
      <c r="AD127" s="415"/>
      <c r="AE127" s="415"/>
      <c r="AF127" s="415"/>
      <c r="AG127" s="415"/>
      <c r="AH127" s="415"/>
      <c r="AI127" s="415"/>
      <c r="AJ127" s="415"/>
      <c r="AK127" s="415"/>
      <c r="AL127" s="415"/>
      <c r="AM127" s="415"/>
      <c r="AN127" s="415"/>
      <c r="AO127" s="415"/>
      <c r="AP127" s="415"/>
      <c r="AQ127" s="357"/>
      <c r="AR127" s="357"/>
      <c r="AS127" s="357"/>
      <c r="BA127" s="390"/>
      <c r="BB127" s="390"/>
      <c r="BC127" s="390"/>
      <c r="BD127" s="390"/>
      <c r="BE127" s="390"/>
      <c r="BF127" s="390"/>
      <c r="BG127" s="390"/>
      <c r="BH127" s="390"/>
      <c r="BI127" s="390"/>
      <c r="BJ127" s="390"/>
      <c r="BK127" s="390"/>
      <c r="BL127" s="390"/>
      <c r="BM127" s="390"/>
      <c r="BN127" s="390"/>
      <c r="BO127" s="390"/>
      <c r="BP127" s="390"/>
      <c r="BQ127" s="390"/>
      <c r="BR127" s="390"/>
    </row>
    <row r="128" spans="1:70" x14ac:dyDescent="0.25">
      <c r="A128" s="366"/>
      <c r="B128" s="366"/>
      <c r="C128" s="366"/>
      <c r="D128" s="366"/>
      <c r="E128" s="366"/>
      <c r="F128" s="366"/>
      <c r="G128" s="366"/>
      <c r="H128" s="366"/>
      <c r="I128" s="366"/>
      <c r="J128" s="366"/>
      <c r="K128" s="366"/>
      <c r="L128" s="366"/>
      <c r="M128" s="366"/>
      <c r="N128" s="366"/>
      <c r="O128" s="366"/>
      <c r="P128" s="366"/>
      <c r="Q128" s="415"/>
      <c r="R128" s="415"/>
      <c r="S128" s="415"/>
      <c r="T128" s="415"/>
      <c r="U128" s="415"/>
      <c r="V128" s="415"/>
      <c r="W128" s="415"/>
      <c r="X128" s="415"/>
      <c r="Y128" s="415"/>
      <c r="Z128" s="415"/>
      <c r="AA128" s="415"/>
      <c r="AB128" s="415"/>
      <c r="AC128" s="415"/>
      <c r="AD128" s="415"/>
      <c r="AE128" s="415"/>
      <c r="AF128" s="415"/>
      <c r="AG128" s="415"/>
      <c r="AH128" s="415"/>
      <c r="AI128" s="415"/>
      <c r="AJ128" s="415"/>
      <c r="AK128" s="415"/>
      <c r="AL128" s="415"/>
      <c r="AM128" s="415"/>
      <c r="AN128" s="415"/>
      <c r="AO128" s="415"/>
      <c r="AP128" s="415"/>
      <c r="AQ128" s="357"/>
      <c r="AR128" s="357"/>
      <c r="AS128" s="357"/>
      <c r="BA128" s="390"/>
      <c r="BB128" s="390"/>
      <c r="BC128" s="390"/>
      <c r="BD128" s="390"/>
      <c r="BE128" s="390"/>
      <c r="BF128" s="390"/>
      <c r="BG128" s="390"/>
      <c r="BH128" s="390"/>
      <c r="BI128" s="390"/>
      <c r="BJ128" s="390"/>
      <c r="BK128" s="390"/>
      <c r="BL128" s="390"/>
      <c r="BM128" s="390"/>
      <c r="BN128" s="390"/>
      <c r="BO128" s="390"/>
      <c r="BP128" s="390"/>
      <c r="BQ128" s="390"/>
      <c r="BR128" s="390"/>
    </row>
    <row r="129" spans="1:70" x14ac:dyDescent="0.25">
      <c r="A129" s="366"/>
      <c r="B129" s="366"/>
      <c r="C129" s="366"/>
      <c r="D129" s="366"/>
      <c r="E129" s="366"/>
      <c r="F129" s="366"/>
      <c r="G129" s="366"/>
      <c r="H129" s="366"/>
      <c r="I129" s="366"/>
      <c r="J129" s="366"/>
      <c r="K129" s="366"/>
      <c r="L129" s="366"/>
      <c r="M129" s="366"/>
      <c r="N129" s="366"/>
      <c r="O129" s="366"/>
      <c r="P129" s="366"/>
      <c r="Q129" s="415"/>
      <c r="R129" s="415"/>
      <c r="S129" s="415"/>
      <c r="T129" s="415"/>
      <c r="U129" s="415"/>
      <c r="V129" s="415"/>
      <c r="W129" s="415"/>
      <c r="X129" s="415"/>
      <c r="Y129" s="415"/>
      <c r="Z129" s="415"/>
      <c r="AA129" s="415"/>
      <c r="AB129" s="415"/>
      <c r="AC129" s="415"/>
      <c r="AD129" s="415"/>
      <c r="AE129" s="415"/>
      <c r="AF129" s="415"/>
      <c r="AG129" s="415"/>
      <c r="AH129" s="415"/>
      <c r="AI129" s="415"/>
      <c r="AJ129" s="415"/>
      <c r="AK129" s="415"/>
      <c r="AL129" s="415"/>
      <c r="AM129" s="415"/>
      <c r="AN129" s="415"/>
      <c r="AO129" s="415"/>
      <c r="AP129" s="415"/>
      <c r="AQ129" s="357"/>
      <c r="AR129" s="357"/>
      <c r="AS129" s="357"/>
      <c r="BA129" s="390"/>
      <c r="BB129" s="390"/>
      <c r="BC129" s="390"/>
      <c r="BD129" s="390"/>
      <c r="BE129" s="390"/>
      <c r="BF129" s="390"/>
      <c r="BG129" s="390"/>
      <c r="BH129" s="390"/>
      <c r="BI129" s="390"/>
      <c r="BJ129" s="390"/>
      <c r="BK129" s="390"/>
      <c r="BL129" s="390"/>
      <c r="BM129" s="390"/>
      <c r="BN129" s="390"/>
      <c r="BO129" s="390"/>
      <c r="BP129" s="390"/>
      <c r="BQ129" s="390"/>
      <c r="BR129" s="390"/>
    </row>
    <row r="130" spans="1:70" x14ac:dyDescent="0.25">
      <c r="A130" s="366"/>
      <c r="B130" s="366"/>
      <c r="C130" s="366"/>
      <c r="D130" s="366"/>
      <c r="E130" s="366"/>
      <c r="F130" s="366"/>
      <c r="G130" s="366"/>
      <c r="H130" s="366"/>
      <c r="I130" s="366"/>
      <c r="J130" s="366"/>
      <c r="K130" s="366"/>
      <c r="L130" s="366"/>
      <c r="M130" s="366"/>
      <c r="N130" s="366"/>
      <c r="O130" s="366"/>
      <c r="P130" s="366"/>
      <c r="Q130" s="415"/>
      <c r="R130" s="415"/>
      <c r="S130" s="415"/>
      <c r="T130" s="415"/>
      <c r="U130" s="415"/>
      <c r="V130" s="415"/>
      <c r="W130" s="415"/>
      <c r="X130" s="415"/>
      <c r="Y130" s="415"/>
      <c r="Z130" s="415"/>
      <c r="AA130" s="415"/>
      <c r="AB130" s="415"/>
      <c r="AC130" s="415"/>
      <c r="AD130" s="415"/>
      <c r="AE130" s="415"/>
      <c r="AF130" s="415"/>
      <c r="AG130" s="415"/>
      <c r="AH130" s="415"/>
      <c r="AI130" s="415"/>
      <c r="AJ130" s="415"/>
      <c r="AK130" s="415"/>
      <c r="AL130" s="415"/>
      <c r="AM130" s="415"/>
      <c r="AN130" s="415"/>
      <c r="AO130" s="415"/>
      <c r="AP130" s="415"/>
      <c r="AQ130" s="357"/>
      <c r="AR130" s="357"/>
      <c r="AS130" s="357"/>
      <c r="BA130" s="390"/>
      <c r="BB130" s="390"/>
      <c r="BC130" s="390"/>
      <c r="BD130" s="390"/>
      <c r="BE130" s="390"/>
      <c r="BF130" s="390"/>
      <c r="BG130" s="390"/>
      <c r="BH130" s="390"/>
      <c r="BI130" s="390"/>
      <c r="BJ130" s="390"/>
      <c r="BK130" s="390"/>
      <c r="BL130" s="390"/>
      <c r="BM130" s="390"/>
      <c r="BN130" s="390"/>
      <c r="BO130" s="390"/>
      <c r="BP130" s="390"/>
      <c r="BQ130" s="390"/>
      <c r="BR130" s="390"/>
    </row>
    <row r="131" spans="1:70" x14ac:dyDescent="0.25">
      <c r="A131" s="366"/>
      <c r="B131" s="366"/>
      <c r="C131" s="366"/>
      <c r="D131" s="366"/>
      <c r="E131" s="366"/>
      <c r="F131" s="366"/>
      <c r="G131" s="366"/>
      <c r="H131" s="366"/>
      <c r="I131" s="366"/>
      <c r="J131" s="366"/>
      <c r="K131" s="366"/>
      <c r="L131" s="366"/>
      <c r="M131" s="366"/>
      <c r="N131" s="366"/>
      <c r="O131" s="366"/>
      <c r="P131" s="366"/>
      <c r="Q131" s="415"/>
      <c r="R131" s="415"/>
      <c r="S131" s="415"/>
      <c r="T131" s="415"/>
      <c r="U131" s="415"/>
      <c r="V131" s="415"/>
      <c r="W131" s="415"/>
      <c r="X131" s="415"/>
      <c r="Y131" s="415"/>
      <c r="Z131" s="415"/>
      <c r="AA131" s="415"/>
      <c r="AB131" s="415"/>
      <c r="AC131" s="415"/>
      <c r="AD131" s="415"/>
      <c r="AE131" s="415"/>
      <c r="AF131" s="415"/>
      <c r="AG131" s="415"/>
      <c r="AH131" s="415"/>
      <c r="AI131" s="415"/>
      <c r="AJ131" s="415"/>
      <c r="AK131" s="415"/>
      <c r="AL131" s="415"/>
      <c r="AM131" s="415"/>
      <c r="AN131" s="415"/>
      <c r="AO131" s="415"/>
      <c r="AP131" s="415"/>
      <c r="AQ131" s="357"/>
      <c r="AR131" s="357"/>
      <c r="AS131" s="357"/>
      <c r="BA131" s="390"/>
      <c r="BB131" s="390"/>
      <c r="BC131" s="390"/>
      <c r="BD131" s="390"/>
      <c r="BE131" s="390"/>
      <c r="BF131" s="390"/>
      <c r="BG131" s="390"/>
      <c r="BH131" s="390"/>
      <c r="BI131" s="390"/>
      <c r="BJ131" s="390"/>
      <c r="BK131" s="390"/>
      <c r="BL131" s="390"/>
      <c r="BM131" s="390"/>
      <c r="BN131" s="390"/>
      <c r="BO131" s="390"/>
      <c r="BP131" s="390"/>
      <c r="BQ131" s="390"/>
      <c r="BR131" s="390"/>
    </row>
    <row r="132" spans="1:70" x14ac:dyDescent="0.25">
      <c r="A132" s="366"/>
      <c r="B132" s="366"/>
      <c r="C132" s="366"/>
      <c r="D132" s="366"/>
      <c r="E132" s="366"/>
      <c r="F132" s="366"/>
      <c r="G132" s="366"/>
      <c r="H132" s="366"/>
      <c r="I132" s="366"/>
      <c r="J132" s="366"/>
      <c r="K132" s="366"/>
      <c r="L132" s="366"/>
      <c r="M132" s="366"/>
      <c r="N132" s="366"/>
      <c r="O132" s="366"/>
      <c r="P132" s="366"/>
      <c r="Q132" s="415"/>
      <c r="R132" s="415"/>
      <c r="S132" s="415"/>
      <c r="T132" s="415"/>
      <c r="U132" s="415"/>
      <c r="V132" s="415"/>
      <c r="W132" s="415"/>
      <c r="X132" s="415"/>
      <c r="Y132" s="415"/>
      <c r="Z132" s="415"/>
      <c r="AA132" s="415"/>
      <c r="AB132" s="415"/>
      <c r="AC132" s="415"/>
      <c r="AD132" s="415"/>
      <c r="AE132" s="415"/>
      <c r="AF132" s="415"/>
      <c r="AG132" s="415"/>
      <c r="AH132" s="415"/>
      <c r="AI132" s="415"/>
      <c r="AJ132" s="415"/>
      <c r="AK132" s="415"/>
      <c r="AL132" s="415"/>
      <c r="AM132" s="415"/>
      <c r="AN132" s="415"/>
      <c r="AO132" s="415"/>
      <c r="AP132" s="415"/>
      <c r="AQ132" s="357"/>
      <c r="AR132" s="357"/>
      <c r="AS132" s="357"/>
      <c r="BA132" s="390"/>
      <c r="BB132" s="390"/>
      <c r="BC132" s="390"/>
      <c r="BD132" s="390"/>
      <c r="BE132" s="390"/>
      <c r="BF132" s="390"/>
      <c r="BG132" s="390"/>
      <c r="BH132" s="390"/>
      <c r="BI132" s="390"/>
      <c r="BJ132" s="390"/>
      <c r="BK132" s="390"/>
      <c r="BL132" s="390"/>
      <c r="BM132" s="390"/>
      <c r="BN132" s="390"/>
      <c r="BO132" s="390"/>
      <c r="BP132" s="390"/>
      <c r="BQ132" s="390"/>
      <c r="BR132" s="390"/>
    </row>
    <row r="133" spans="1:70" x14ac:dyDescent="0.25">
      <c r="A133" s="366"/>
      <c r="B133" s="366"/>
      <c r="C133" s="366"/>
      <c r="D133" s="366"/>
      <c r="E133" s="366"/>
      <c r="F133" s="366"/>
      <c r="G133" s="366"/>
      <c r="H133" s="366"/>
      <c r="I133" s="366"/>
      <c r="J133" s="366"/>
      <c r="K133" s="366"/>
      <c r="L133" s="366"/>
      <c r="M133" s="366"/>
      <c r="N133" s="366"/>
      <c r="O133" s="366"/>
      <c r="P133" s="366"/>
      <c r="Q133" s="415"/>
      <c r="R133" s="415"/>
      <c r="S133" s="415"/>
      <c r="T133" s="415"/>
      <c r="U133" s="415"/>
      <c r="V133" s="415"/>
      <c r="W133" s="415"/>
      <c r="X133" s="415"/>
      <c r="Y133" s="415"/>
      <c r="Z133" s="415"/>
      <c r="AA133" s="415"/>
      <c r="AB133" s="415"/>
      <c r="AC133" s="415"/>
      <c r="AD133" s="415"/>
      <c r="AE133" s="415"/>
      <c r="AF133" s="415"/>
      <c r="AG133" s="415"/>
      <c r="AH133" s="415"/>
      <c r="AI133" s="415"/>
      <c r="AJ133" s="415"/>
      <c r="AK133" s="415"/>
      <c r="AL133" s="415"/>
      <c r="AM133" s="415"/>
      <c r="AN133" s="415"/>
      <c r="AO133" s="415"/>
      <c r="AP133" s="415"/>
      <c r="AQ133" s="357"/>
      <c r="AR133" s="357"/>
      <c r="AS133" s="357"/>
      <c r="BA133" s="390"/>
      <c r="BB133" s="390"/>
      <c r="BC133" s="390"/>
      <c r="BD133" s="390"/>
      <c r="BE133" s="390"/>
      <c r="BF133" s="390"/>
      <c r="BG133" s="390"/>
      <c r="BH133" s="390"/>
      <c r="BI133" s="390"/>
      <c r="BJ133" s="390"/>
      <c r="BK133" s="390"/>
      <c r="BL133" s="390"/>
      <c r="BM133" s="390"/>
      <c r="BN133" s="390"/>
      <c r="BO133" s="390"/>
      <c r="BP133" s="390"/>
      <c r="BQ133" s="390"/>
      <c r="BR133" s="390"/>
    </row>
    <row r="134" spans="1:70" x14ac:dyDescent="0.25">
      <c r="A134" s="366"/>
      <c r="B134" s="366"/>
      <c r="C134" s="366"/>
      <c r="D134" s="366"/>
      <c r="E134" s="366"/>
      <c r="F134" s="366"/>
      <c r="G134" s="366"/>
      <c r="H134" s="366"/>
      <c r="I134" s="366"/>
      <c r="J134" s="366"/>
      <c r="K134" s="366"/>
      <c r="L134" s="366"/>
      <c r="M134" s="366"/>
      <c r="N134" s="366"/>
      <c r="O134" s="366"/>
      <c r="P134" s="366"/>
      <c r="Q134" s="415"/>
      <c r="R134" s="415"/>
      <c r="S134" s="415"/>
      <c r="T134" s="415"/>
      <c r="U134" s="415"/>
      <c r="V134" s="415"/>
      <c r="W134" s="415"/>
      <c r="X134" s="415"/>
      <c r="Y134" s="415"/>
      <c r="Z134" s="415"/>
      <c r="AA134" s="415"/>
      <c r="AB134" s="415"/>
      <c r="AC134" s="415"/>
      <c r="AD134" s="415"/>
      <c r="AE134" s="415"/>
      <c r="AF134" s="415"/>
      <c r="AG134" s="415"/>
      <c r="AH134" s="415"/>
      <c r="AI134" s="415"/>
      <c r="AJ134" s="415"/>
      <c r="AK134" s="415"/>
      <c r="AL134" s="415"/>
      <c r="AM134" s="415"/>
      <c r="AN134" s="415"/>
      <c r="AO134" s="415"/>
      <c r="AP134" s="415"/>
      <c r="AQ134" s="357"/>
      <c r="AR134" s="357"/>
      <c r="AS134" s="357"/>
      <c r="BA134" s="390"/>
      <c r="BB134" s="390"/>
      <c r="BC134" s="390"/>
      <c r="BD134" s="390"/>
      <c r="BE134" s="390"/>
      <c r="BF134" s="390"/>
      <c r="BG134" s="390"/>
      <c r="BH134" s="390"/>
      <c r="BI134" s="390"/>
      <c r="BJ134" s="390"/>
      <c r="BK134" s="390"/>
      <c r="BL134" s="390"/>
      <c r="BM134" s="390"/>
      <c r="BN134" s="390"/>
      <c r="BO134" s="390"/>
      <c r="BP134" s="390"/>
      <c r="BQ134" s="390"/>
      <c r="BR134" s="390"/>
    </row>
    <row r="135" spans="1:70" x14ac:dyDescent="0.25">
      <c r="B135" s="357"/>
      <c r="C135" s="357"/>
      <c r="D135" s="357"/>
      <c r="E135" s="357"/>
      <c r="F135" s="357"/>
      <c r="G135" s="357"/>
      <c r="H135" s="357"/>
      <c r="I135" s="357"/>
      <c r="J135" s="357"/>
      <c r="K135" s="357"/>
      <c r="L135" s="357"/>
      <c r="M135" s="357"/>
      <c r="N135" s="357"/>
      <c r="O135" s="357"/>
      <c r="P135" s="357"/>
      <c r="Q135" s="415"/>
      <c r="R135" s="415"/>
      <c r="S135" s="415"/>
      <c r="T135" s="415"/>
      <c r="U135" s="415"/>
      <c r="V135" s="415"/>
      <c r="W135" s="415"/>
      <c r="X135" s="415"/>
      <c r="Y135" s="415"/>
      <c r="Z135" s="415"/>
      <c r="AA135" s="415"/>
      <c r="AB135" s="415"/>
      <c r="AC135" s="415"/>
      <c r="AD135" s="415"/>
      <c r="AE135" s="415"/>
      <c r="AF135" s="415"/>
      <c r="AG135" s="415"/>
      <c r="AH135" s="415"/>
      <c r="AI135" s="415"/>
      <c r="AJ135" s="415"/>
      <c r="AK135" s="415"/>
      <c r="AL135" s="415"/>
      <c r="AM135" s="415"/>
      <c r="AN135" s="415"/>
      <c r="AO135" s="415"/>
      <c r="AP135" s="415"/>
      <c r="AQ135" s="357"/>
      <c r="AR135" s="357"/>
      <c r="AS135" s="357"/>
      <c r="BA135" s="390"/>
      <c r="BB135" s="390"/>
      <c r="BC135" s="390"/>
      <c r="BD135" s="390"/>
      <c r="BE135" s="390"/>
      <c r="BF135" s="390"/>
      <c r="BG135" s="390"/>
      <c r="BH135" s="390"/>
      <c r="BI135" s="390"/>
      <c r="BJ135" s="390"/>
      <c r="BK135" s="390"/>
      <c r="BL135" s="390"/>
      <c r="BM135" s="390"/>
      <c r="BN135" s="390"/>
      <c r="BO135" s="390"/>
      <c r="BP135" s="390"/>
      <c r="BQ135" s="390"/>
      <c r="BR135" s="390"/>
    </row>
    <row r="136" spans="1:70" x14ac:dyDescent="0.25">
      <c r="B136" s="357"/>
      <c r="C136" s="357"/>
      <c r="D136" s="357"/>
      <c r="E136" s="357"/>
      <c r="F136" s="357"/>
      <c r="G136" s="357"/>
      <c r="H136" s="357"/>
      <c r="I136" s="357"/>
      <c r="J136" s="357"/>
      <c r="K136" s="357"/>
      <c r="L136" s="357"/>
      <c r="M136" s="357"/>
      <c r="N136" s="357"/>
      <c r="O136" s="357"/>
      <c r="P136" s="357"/>
      <c r="Q136" s="415"/>
      <c r="R136" s="415"/>
      <c r="S136" s="415"/>
      <c r="T136" s="415"/>
      <c r="U136" s="415"/>
      <c r="V136" s="415"/>
      <c r="W136" s="415"/>
      <c r="X136" s="415"/>
      <c r="Y136" s="415"/>
      <c r="Z136" s="415"/>
      <c r="AA136" s="415"/>
      <c r="AB136" s="415"/>
      <c r="AC136" s="415"/>
      <c r="AD136" s="415"/>
      <c r="AE136" s="415"/>
      <c r="AF136" s="415"/>
      <c r="AG136" s="415"/>
      <c r="AH136" s="415"/>
      <c r="AI136" s="415"/>
      <c r="AJ136" s="415"/>
      <c r="AK136" s="415"/>
      <c r="AL136" s="415"/>
      <c r="AM136" s="415"/>
      <c r="AN136" s="415"/>
      <c r="AO136" s="415"/>
      <c r="AP136" s="415"/>
      <c r="AQ136" s="357"/>
      <c r="AR136" s="357"/>
      <c r="AS136" s="357"/>
      <c r="BA136" s="390"/>
      <c r="BB136" s="390"/>
      <c r="BC136" s="390"/>
      <c r="BD136" s="390"/>
      <c r="BE136" s="390"/>
      <c r="BF136" s="390"/>
      <c r="BG136" s="390"/>
      <c r="BH136" s="390"/>
      <c r="BI136" s="390"/>
      <c r="BJ136" s="390"/>
      <c r="BK136" s="390"/>
      <c r="BL136" s="390"/>
      <c r="BM136" s="390"/>
      <c r="BN136" s="390"/>
      <c r="BO136" s="390"/>
      <c r="BP136" s="390"/>
      <c r="BQ136" s="390"/>
      <c r="BR136" s="390"/>
    </row>
    <row r="137" spans="1:70" x14ac:dyDescent="0.25">
      <c r="B137" s="357"/>
      <c r="C137" s="357"/>
      <c r="D137" s="357"/>
      <c r="E137" s="357"/>
      <c r="F137" s="357"/>
      <c r="G137" s="357"/>
      <c r="H137" s="357"/>
      <c r="I137" s="357"/>
      <c r="J137" s="357"/>
      <c r="K137" s="357"/>
      <c r="L137" s="357"/>
      <c r="M137" s="357"/>
      <c r="N137" s="357"/>
      <c r="O137" s="357"/>
      <c r="P137" s="357"/>
      <c r="Q137" s="415"/>
      <c r="R137" s="415"/>
      <c r="S137" s="415"/>
      <c r="T137" s="415"/>
      <c r="U137" s="415"/>
      <c r="V137" s="415"/>
      <c r="W137" s="415"/>
      <c r="X137" s="415"/>
      <c r="Y137" s="415"/>
      <c r="Z137" s="415"/>
      <c r="AA137" s="415"/>
      <c r="AB137" s="415"/>
      <c r="AC137" s="415"/>
      <c r="AD137" s="415"/>
      <c r="AE137" s="415"/>
      <c r="AF137" s="415"/>
      <c r="AG137" s="415"/>
      <c r="AH137" s="415"/>
      <c r="AI137" s="415"/>
      <c r="AJ137" s="415"/>
      <c r="AK137" s="415"/>
      <c r="AL137" s="415"/>
      <c r="AM137" s="415"/>
      <c r="AN137" s="415"/>
      <c r="AO137" s="415"/>
      <c r="AP137" s="415"/>
      <c r="AQ137" s="357"/>
      <c r="AR137" s="357"/>
      <c r="AS137" s="357"/>
      <c r="BA137" s="390"/>
      <c r="BB137" s="390"/>
      <c r="BC137" s="390"/>
      <c r="BD137" s="390"/>
      <c r="BE137" s="390"/>
      <c r="BF137" s="390"/>
      <c r="BG137" s="390"/>
      <c r="BH137" s="390"/>
      <c r="BI137" s="390"/>
      <c r="BJ137" s="390"/>
      <c r="BK137" s="390"/>
      <c r="BL137" s="390"/>
      <c r="BM137" s="390"/>
      <c r="BN137" s="390"/>
      <c r="BO137" s="390"/>
      <c r="BP137" s="390"/>
      <c r="BQ137" s="390"/>
      <c r="BR137" s="390"/>
    </row>
    <row r="138" spans="1:70" x14ac:dyDescent="0.25">
      <c r="B138" s="357"/>
      <c r="C138" s="357"/>
      <c r="D138" s="357"/>
      <c r="E138" s="357"/>
      <c r="F138" s="357"/>
      <c r="G138" s="357"/>
      <c r="H138" s="357"/>
      <c r="I138" s="357"/>
      <c r="J138" s="357"/>
      <c r="K138" s="357"/>
      <c r="L138" s="357"/>
      <c r="M138" s="357"/>
      <c r="N138" s="357"/>
      <c r="O138" s="357"/>
      <c r="P138" s="357"/>
      <c r="Q138" s="415"/>
      <c r="R138" s="415"/>
      <c r="S138" s="415"/>
      <c r="T138" s="415"/>
      <c r="U138" s="415"/>
      <c r="V138" s="415"/>
      <c r="W138" s="415"/>
      <c r="X138" s="415"/>
      <c r="Y138" s="415"/>
      <c r="Z138" s="415"/>
      <c r="AA138" s="415"/>
      <c r="AB138" s="415"/>
      <c r="AC138" s="415"/>
      <c r="AD138" s="415"/>
      <c r="AE138" s="415"/>
      <c r="AF138" s="415"/>
      <c r="AG138" s="415"/>
      <c r="AH138" s="415"/>
      <c r="AI138" s="415"/>
      <c r="AJ138" s="415"/>
      <c r="AK138" s="415"/>
      <c r="AL138" s="415"/>
      <c r="AM138" s="415"/>
      <c r="AN138" s="415"/>
      <c r="AO138" s="415"/>
      <c r="AP138" s="415"/>
      <c r="AQ138" s="357"/>
      <c r="AR138" s="357"/>
      <c r="AS138" s="357"/>
      <c r="BA138" s="390"/>
      <c r="BB138" s="390"/>
      <c r="BC138" s="390"/>
      <c r="BD138" s="390"/>
      <c r="BE138" s="390"/>
      <c r="BF138" s="390"/>
      <c r="BG138" s="390"/>
      <c r="BH138" s="390"/>
      <c r="BI138" s="390"/>
      <c r="BJ138" s="390"/>
      <c r="BK138" s="390"/>
      <c r="BL138" s="390"/>
      <c r="BM138" s="390"/>
      <c r="BN138" s="390"/>
      <c r="BO138" s="390"/>
      <c r="BP138" s="390"/>
      <c r="BQ138" s="390"/>
      <c r="BR138" s="390"/>
    </row>
    <row r="139" spans="1:70" x14ac:dyDescent="0.25">
      <c r="B139" s="357"/>
      <c r="C139" s="357"/>
      <c r="D139" s="357"/>
      <c r="E139" s="357"/>
      <c r="F139" s="357"/>
      <c r="G139" s="357"/>
      <c r="H139" s="357"/>
      <c r="I139" s="357"/>
      <c r="J139" s="357"/>
      <c r="K139" s="357"/>
      <c r="L139" s="357"/>
      <c r="M139" s="357"/>
      <c r="N139" s="357"/>
      <c r="O139" s="357"/>
      <c r="P139" s="357"/>
      <c r="Q139" s="415"/>
      <c r="R139" s="415"/>
      <c r="S139" s="415"/>
      <c r="T139" s="415"/>
      <c r="U139" s="415"/>
      <c r="V139" s="415"/>
      <c r="W139" s="415"/>
      <c r="X139" s="415"/>
      <c r="Y139" s="415"/>
      <c r="Z139" s="415"/>
      <c r="AA139" s="415"/>
      <c r="AB139" s="415"/>
      <c r="AC139" s="415"/>
      <c r="AD139" s="415"/>
      <c r="AE139" s="415"/>
      <c r="AF139" s="415"/>
      <c r="AG139" s="415"/>
      <c r="AH139" s="415"/>
      <c r="AI139" s="415"/>
      <c r="AJ139" s="415"/>
      <c r="AK139" s="415"/>
      <c r="AL139" s="415"/>
      <c r="AM139" s="415"/>
      <c r="AN139" s="415"/>
      <c r="AO139" s="415"/>
      <c r="AP139" s="415"/>
      <c r="AQ139" s="357"/>
      <c r="AR139" s="357"/>
      <c r="AS139" s="357"/>
      <c r="BA139" s="390"/>
      <c r="BB139" s="390"/>
      <c r="BC139" s="390"/>
      <c r="BD139" s="390"/>
      <c r="BE139" s="390"/>
      <c r="BF139" s="390"/>
      <c r="BG139" s="390"/>
      <c r="BH139" s="390"/>
      <c r="BI139" s="390"/>
      <c r="BJ139" s="390"/>
      <c r="BK139" s="390"/>
      <c r="BL139" s="390"/>
      <c r="BM139" s="390"/>
      <c r="BN139" s="390"/>
      <c r="BO139" s="390"/>
      <c r="BP139" s="390"/>
      <c r="BQ139" s="390"/>
      <c r="BR139" s="390"/>
    </row>
    <row r="140" spans="1:70" x14ac:dyDescent="0.25">
      <c r="B140" s="357"/>
      <c r="C140" s="357"/>
      <c r="D140" s="357"/>
      <c r="E140" s="357"/>
      <c r="F140" s="357"/>
      <c r="G140" s="357"/>
      <c r="H140" s="357"/>
      <c r="I140" s="357"/>
      <c r="J140" s="357"/>
      <c r="K140" s="357"/>
      <c r="L140" s="357"/>
      <c r="M140" s="357"/>
      <c r="N140" s="357"/>
      <c r="O140" s="357"/>
      <c r="P140" s="357"/>
      <c r="Q140" s="415"/>
      <c r="R140" s="415"/>
      <c r="S140" s="415"/>
      <c r="T140" s="415"/>
      <c r="U140" s="415"/>
      <c r="V140" s="415"/>
      <c r="W140" s="415"/>
      <c r="X140" s="415"/>
      <c r="Y140" s="415"/>
      <c r="Z140" s="415"/>
      <c r="AA140" s="415"/>
      <c r="AB140" s="415"/>
      <c r="AC140" s="415"/>
      <c r="AD140" s="415"/>
      <c r="AE140" s="415"/>
      <c r="AF140" s="415"/>
      <c r="AG140" s="415"/>
      <c r="AH140" s="415"/>
      <c r="AI140" s="415"/>
      <c r="AJ140" s="415"/>
      <c r="AK140" s="415"/>
      <c r="AL140" s="415"/>
      <c r="AM140" s="415"/>
      <c r="AN140" s="415"/>
      <c r="AO140" s="415"/>
      <c r="AP140" s="415"/>
      <c r="AQ140" s="357"/>
      <c r="AR140" s="357"/>
      <c r="AS140" s="357"/>
      <c r="BA140" s="390"/>
      <c r="BB140" s="390"/>
      <c r="BC140" s="390"/>
      <c r="BD140" s="390"/>
      <c r="BE140" s="390"/>
      <c r="BF140" s="390"/>
      <c r="BG140" s="390"/>
      <c r="BH140" s="390"/>
      <c r="BI140" s="390"/>
      <c r="BJ140" s="390"/>
      <c r="BK140" s="390"/>
      <c r="BL140" s="390"/>
      <c r="BM140" s="390"/>
      <c r="BN140" s="390"/>
      <c r="BO140" s="390"/>
      <c r="BP140" s="390"/>
      <c r="BQ140" s="390"/>
      <c r="BR140" s="390"/>
    </row>
    <row r="141" spans="1:70" x14ac:dyDescent="0.25">
      <c r="B141" s="357"/>
      <c r="C141" s="357"/>
      <c r="D141" s="357"/>
      <c r="E141" s="357"/>
      <c r="F141" s="357"/>
      <c r="G141" s="357"/>
      <c r="H141" s="357"/>
      <c r="I141" s="357"/>
      <c r="J141" s="357"/>
      <c r="K141" s="357"/>
      <c r="L141" s="357"/>
      <c r="M141" s="357"/>
      <c r="N141" s="357"/>
      <c r="O141" s="357"/>
      <c r="P141" s="357"/>
      <c r="Q141" s="415"/>
      <c r="R141" s="415"/>
      <c r="S141" s="415"/>
      <c r="T141" s="415"/>
      <c r="U141" s="415"/>
      <c r="V141" s="415"/>
      <c r="W141" s="415"/>
      <c r="X141" s="415"/>
      <c r="Y141" s="415"/>
      <c r="Z141" s="415"/>
      <c r="AA141" s="415"/>
      <c r="AB141" s="415"/>
      <c r="AC141" s="415"/>
      <c r="AD141" s="415"/>
      <c r="AE141" s="415"/>
      <c r="AF141" s="415"/>
      <c r="AG141" s="415"/>
      <c r="AH141" s="415"/>
      <c r="AI141" s="415"/>
      <c r="AJ141" s="415"/>
      <c r="AK141" s="415"/>
      <c r="AL141" s="415"/>
      <c r="AM141" s="415"/>
      <c r="AN141" s="415"/>
      <c r="AO141" s="415"/>
      <c r="AP141" s="415"/>
      <c r="AQ141" s="357"/>
      <c r="AR141" s="357"/>
      <c r="AS141" s="357"/>
      <c r="BA141" s="390"/>
      <c r="BB141" s="390"/>
      <c r="BC141" s="390"/>
      <c r="BD141" s="390"/>
      <c r="BE141" s="390"/>
      <c r="BF141" s="390"/>
      <c r="BG141" s="390"/>
      <c r="BH141" s="390"/>
      <c r="BI141" s="390"/>
      <c r="BJ141" s="390"/>
      <c r="BK141" s="390"/>
      <c r="BL141" s="390"/>
      <c r="BM141" s="390"/>
      <c r="BN141" s="390"/>
      <c r="BO141" s="390"/>
      <c r="BP141" s="390"/>
      <c r="BQ141" s="390"/>
      <c r="BR141" s="390"/>
    </row>
    <row r="142" spans="1:70" x14ac:dyDescent="0.25">
      <c r="B142" s="357"/>
      <c r="C142" s="357"/>
      <c r="D142" s="357"/>
      <c r="E142" s="357"/>
      <c r="F142" s="357"/>
      <c r="G142" s="357"/>
      <c r="H142" s="357"/>
      <c r="I142" s="357"/>
      <c r="J142" s="357"/>
      <c r="K142" s="357"/>
      <c r="L142" s="357"/>
      <c r="M142" s="357"/>
      <c r="N142" s="357"/>
      <c r="O142" s="357"/>
      <c r="P142" s="357"/>
      <c r="Q142" s="415"/>
      <c r="R142" s="415"/>
      <c r="S142" s="415"/>
      <c r="T142" s="415"/>
      <c r="U142" s="415"/>
      <c r="V142" s="415"/>
      <c r="W142" s="415"/>
      <c r="X142" s="415"/>
      <c r="Y142" s="415"/>
      <c r="Z142" s="415"/>
      <c r="AA142" s="415"/>
      <c r="AB142" s="415"/>
      <c r="AC142" s="415"/>
      <c r="AD142" s="415"/>
      <c r="AE142" s="415"/>
      <c r="AF142" s="415"/>
      <c r="AG142" s="415"/>
      <c r="AH142" s="415"/>
      <c r="AI142" s="415"/>
      <c r="AJ142" s="415"/>
      <c r="AK142" s="415"/>
      <c r="AL142" s="415"/>
      <c r="AM142" s="415"/>
      <c r="AN142" s="415"/>
      <c r="AO142" s="415"/>
      <c r="AP142" s="415"/>
      <c r="AQ142" s="357"/>
      <c r="AR142" s="357"/>
      <c r="AS142" s="357"/>
      <c r="BA142" s="390"/>
      <c r="BB142" s="390"/>
      <c r="BC142" s="390"/>
      <c r="BD142" s="390"/>
      <c r="BE142" s="390"/>
      <c r="BF142" s="390"/>
      <c r="BG142" s="390"/>
      <c r="BH142" s="390"/>
      <c r="BI142" s="390"/>
      <c r="BJ142" s="390"/>
      <c r="BK142" s="390"/>
      <c r="BL142" s="390"/>
      <c r="BM142" s="390"/>
      <c r="BN142" s="390"/>
      <c r="BO142" s="390"/>
      <c r="BP142" s="390"/>
      <c r="BQ142" s="390"/>
      <c r="BR142" s="390"/>
    </row>
    <row r="143" spans="1:70" x14ac:dyDescent="0.25">
      <c r="B143" s="357"/>
      <c r="C143" s="357"/>
      <c r="D143" s="357"/>
      <c r="E143" s="357"/>
      <c r="F143" s="357"/>
      <c r="G143" s="357"/>
      <c r="H143" s="357"/>
      <c r="I143" s="357"/>
      <c r="J143" s="357"/>
      <c r="K143" s="357"/>
      <c r="L143" s="357"/>
      <c r="M143" s="357"/>
      <c r="N143" s="357"/>
      <c r="O143" s="357"/>
      <c r="P143" s="357"/>
      <c r="Q143" s="415"/>
      <c r="R143" s="415"/>
      <c r="S143" s="415"/>
      <c r="T143" s="415"/>
      <c r="U143" s="415"/>
      <c r="V143" s="415"/>
      <c r="W143" s="415"/>
      <c r="X143" s="415"/>
      <c r="Y143" s="415"/>
      <c r="Z143" s="415"/>
      <c r="AA143" s="415"/>
      <c r="AB143" s="415"/>
      <c r="AC143" s="415"/>
      <c r="AD143" s="415"/>
      <c r="AE143" s="415"/>
      <c r="AF143" s="415"/>
      <c r="AG143" s="415"/>
      <c r="AH143" s="415"/>
      <c r="AI143" s="415"/>
      <c r="AJ143" s="415"/>
      <c r="AK143" s="415"/>
      <c r="AL143" s="415"/>
      <c r="AM143" s="415"/>
      <c r="AN143" s="415"/>
      <c r="AO143" s="415"/>
      <c r="AP143" s="415"/>
      <c r="AQ143" s="357"/>
      <c r="AR143" s="357"/>
      <c r="AS143" s="357"/>
      <c r="BA143" s="390"/>
      <c r="BB143" s="390"/>
      <c r="BC143" s="390"/>
      <c r="BD143" s="390"/>
      <c r="BE143" s="390"/>
      <c r="BF143" s="390"/>
      <c r="BG143" s="390"/>
      <c r="BH143" s="390"/>
      <c r="BI143" s="390"/>
      <c r="BJ143" s="390"/>
      <c r="BK143" s="390"/>
      <c r="BL143" s="390"/>
      <c r="BM143" s="390"/>
      <c r="BN143" s="390"/>
      <c r="BO143" s="390"/>
      <c r="BP143" s="390"/>
      <c r="BQ143" s="390"/>
      <c r="BR143" s="390"/>
    </row>
    <row r="144" spans="1:70" x14ac:dyDescent="0.25">
      <c r="Q144" s="415"/>
      <c r="R144" s="415"/>
      <c r="S144" s="415"/>
      <c r="T144" s="415"/>
      <c r="U144" s="415"/>
      <c r="V144" s="415"/>
      <c r="W144" s="415"/>
      <c r="X144" s="415"/>
      <c r="Y144" s="415"/>
      <c r="Z144" s="415"/>
      <c r="AA144" s="415"/>
      <c r="AB144" s="415"/>
      <c r="AC144" s="415"/>
      <c r="AD144" s="415"/>
      <c r="AE144" s="415"/>
      <c r="AF144" s="415"/>
      <c r="AG144" s="415"/>
      <c r="AH144" s="415"/>
      <c r="AI144" s="415"/>
      <c r="AJ144" s="415"/>
      <c r="AK144" s="415"/>
      <c r="AL144" s="415"/>
      <c r="AM144" s="415"/>
      <c r="AN144" s="415"/>
      <c r="AO144" s="415"/>
      <c r="AP144" s="415"/>
      <c r="AQ144" s="357"/>
      <c r="AR144" s="357"/>
      <c r="AS144" s="357"/>
      <c r="BA144" s="390"/>
      <c r="BB144" s="390"/>
      <c r="BC144" s="390"/>
      <c r="BD144" s="390"/>
      <c r="BE144" s="390"/>
      <c r="BF144" s="390"/>
      <c r="BG144" s="390"/>
      <c r="BH144" s="390"/>
      <c r="BI144" s="390"/>
      <c r="BJ144" s="390"/>
      <c r="BK144" s="390"/>
      <c r="BL144" s="390"/>
      <c r="BM144" s="390"/>
      <c r="BN144" s="390"/>
      <c r="BO144" s="390"/>
      <c r="BP144" s="390"/>
      <c r="BQ144" s="390"/>
      <c r="BR144" s="390"/>
    </row>
    <row r="145" spans="17:45" x14ac:dyDescent="0.25">
      <c r="Q145" s="415"/>
      <c r="R145" s="415"/>
      <c r="S145" s="415"/>
      <c r="T145" s="415"/>
      <c r="U145" s="415"/>
      <c r="V145" s="415"/>
      <c r="W145" s="415"/>
      <c r="X145" s="415"/>
      <c r="Y145" s="415"/>
      <c r="Z145" s="415"/>
      <c r="AA145" s="415"/>
      <c r="AB145" s="415"/>
      <c r="AC145" s="415"/>
      <c r="AD145" s="415"/>
      <c r="AE145" s="415"/>
      <c r="AF145" s="415"/>
      <c r="AG145" s="415"/>
      <c r="AH145" s="415"/>
      <c r="AI145" s="415"/>
      <c r="AJ145" s="415"/>
      <c r="AK145" s="415"/>
      <c r="AL145" s="415"/>
      <c r="AM145" s="415"/>
      <c r="AN145" s="415"/>
      <c r="AO145" s="415"/>
      <c r="AP145" s="415"/>
      <c r="AQ145" s="357"/>
      <c r="AR145" s="357"/>
      <c r="AS145" s="357"/>
    </row>
    <row r="146" spans="17:45" x14ac:dyDescent="0.25">
      <c r="Q146" s="415"/>
      <c r="R146" s="415"/>
      <c r="S146" s="415"/>
      <c r="T146" s="415"/>
      <c r="U146" s="415"/>
      <c r="V146" s="415"/>
      <c r="W146" s="415"/>
      <c r="X146" s="415"/>
      <c r="Y146" s="415"/>
      <c r="Z146" s="415"/>
      <c r="AA146" s="415"/>
      <c r="AB146" s="415"/>
      <c r="AC146" s="415"/>
      <c r="AD146" s="415"/>
      <c r="AE146" s="415"/>
      <c r="AF146" s="415"/>
      <c r="AG146" s="415"/>
      <c r="AH146" s="415"/>
      <c r="AI146" s="415"/>
      <c r="AJ146" s="415"/>
      <c r="AK146" s="415"/>
      <c r="AL146" s="415"/>
      <c r="AM146" s="415"/>
      <c r="AN146" s="415"/>
      <c r="AO146" s="415"/>
      <c r="AP146" s="415"/>
      <c r="AQ146" s="357"/>
      <c r="AR146" s="357"/>
      <c r="AS146" s="357"/>
    </row>
    <row r="147" spans="17:45" x14ac:dyDescent="0.25">
      <c r="Q147" s="415"/>
      <c r="R147" s="415"/>
      <c r="S147" s="415"/>
      <c r="T147" s="415"/>
      <c r="U147" s="415"/>
      <c r="V147" s="415"/>
      <c r="W147" s="415"/>
      <c r="X147" s="415"/>
      <c r="Y147" s="415"/>
      <c r="Z147" s="415"/>
      <c r="AA147" s="415"/>
      <c r="AB147" s="415"/>
      <c r="AC147" s="415"/>
      <c r="AD147" s="415"/>
      <c r="AE147" s="415"/>
      <c r="AF147" s="415"/>
      <c r="AG147" s="415"/>
      <c r="AH147" s="415"/>
      <c r="AI147" s="415"/>
      <c r="AJ147" s="415"/>
      <c r="AK147" s="415"/>
      <c r="AL147" s="415"/>
      <c r="AM147" s="415"/>
      <c r="AN147" s="415"/>
      <c r="AO147" s="415"/>
      <c r="AP147" s="415"/>
      <c r="AQ147" s="357"/>
      <c r="AR147" s="357"/>
      <c r="AS147" s="357"/>
    </row>
    <row r="148" spans="17:45" x14ac:dyDescent="0.25">
      <c r="Q148" s="415"/>
      <c r="R148" s="415"/>
      <c r="S148" s="415"/>
      <c r="T148" s="415"/>
      <c r="U148" s="415"/>
      <c r="V148" s="415"/>
      <c r="W148" s="415"/>
      <c r="X148" s="415"/>
      <c r="Y148" s="415"/>
      <c r="Z148" s="415"/>
      <c r="AA148" s="415"/>
      <c r="AB148" s="415"/>
      <c r="AC148" s="415"/>
      <c r="AD148" s="415"/>
      <c r="AE148" s="415"/>
      <c r="AF148" s="415"/>
      <c r="AG148" s="415"/>
      <c r="AH148" s="415"/>
      <c r="AI148" s="415"/>
      <c r="AJ148" s="415"/>
      <c r="AK148" s="415"/>
      <c r="AL148" s="415"/>
      <c r="AM148" s="415"/>
      <c r="AN148" s="415"/>
      <c r="AO148" s="415"/>
      <c r="AP148" s="415"/>
      <c r="AQ148" s="357"/>
      <c r="AR148" s="357"/>
      <c r="AS148" s="357"/>
    </row>
    <row r="149" spans="17:45" x14ac:dyDescent="0.25">
      <c r="Q149" s="415"/>
      <c r="R149" s="415"/>
      <c r="S149" s="415"/>
      <c r="T149" s="415"/>
      <c r="U149" s="415"/>
      <c r="V149" s="415"/>
      <c r="W149" s="415"/>
      <c r="X149" s="415"/>
      <c r="Y149" s="415"/>
      <c r="Z149" s="415"/>
      <c r="AA149" s="415"/>
      <c r="AB149" s="415"/>
      <c r="AC149" s="415"/>
      <c r="AD149" s="415"/>
      <c r="AE149" s="415"/>
      <c r="AF149" s="415"/>
      <c r="AG149" s="415"/>
      <c r="AH149" s="415"/>
      <c r="AI149" s="415"/>
      <c r="AJ149" s="415"/>
      <c r="AK149" s="415"/>
      <c r="AL149" s="415"/>
      <c r="AM149" s="415"/>
      <c r="AN149" s="415"/>
      <c r="AO149" s="415"/>
      <c r="AP149" s="415"/>
      <c r="AQ149" s="357"/>
      <c r="AR149" s="357"/>
      <c r="AS149" s="357"/>
    </row>
    <row r="150" spans="17:45" x14ac:dyDescent="0.25">
      <c r="Q150" s="415"/>
      <c r="R150" s="415"/>
      <c r="S150" s="415"/>
      <c r="T150" s="415"/>
      <c r="U150" s="415"/>
      <c r="V150" s="415"/>
      <c r="W150" s="415"/>
      <c r="X150" s="415"/>
      <c r="Y150" s="415"/>
      <c r="Z150" s="415"/>
      <c r="AA150" s="415"/>
      <c r="AB150" s="415"/>
      <c r="AC150" s="415"/>
      <c r="AD150" s="415"/>
      <c r="AE150" s="415"/>
      <c r="AF150" s="415"/>
      <c r="AG150" s="415"/>
      <c r="AH150" s="415"/>
      <c r="AI150" s="415"/>
      <c r="AJ150" s="415"/>
      <c r="AK150" s="415"/>
      <c r="AL150" s="415"/>
      <c r="AM150" s="415"/>
      <c r="AN150" s="415"/>
      <c r="AO150" s="415"/>
      <c r="AP150" s="415"/>
      <c r="AQ150" s="357"/>
      <c r="AR150" s="357"/>
      <c r="AS150" s="357"/>
    </row>
    <row r="151" spans="17:45" x14ac:dyDescent="0.25">
      <c r="Q151" s="415"/>
      <c r="R151" s="415"/>
      <c r="S151" s="415"/>
      <c r="T151" s="415"/>
      <c r="U151" s="415"/>
      <c r="V151" s="415"/>
      <c r="W151" s="415"/>
      <c r="X151" s="415"/>
      <c r="Y151" s="415"/>
      <c r="Z151" s="415"/>
      <c r="AA151" s="415"/>
      <c r="AB151" s="415"/>
      <c r="AC151" s="415"/>
      <c r="AD151" s="415"/>
      <c r="AE151" s="415"/>
      <c r="AF151" s="415"/>
      <c r="AG151" s="415"/>
      <c r="AH151" s="415"/>
      <c r="AI151" s="415"/>
      <c r="AJ151" s="415"/>
      <c r="AK151" s="415"/>
      <c r="AL151" s="415"/>
      <c r="AM151" s="415"/>
      <c r="AN151" s="415"/>
      <c r="AO151" s="415"/>
      <c r="AP151" s="415"/>
      <c r="AQ151" s="357"/>
      <c r="AR151" s="357"/>
      <c r="AS151" s="357"/>
    </row>
    <row r="152" spans="17:45" x14ac:dyDescent="0.25">
      <c r="Q152" s="415"/>
      <c r="R152" s="415"/>
      <c r="S152" s="415"/>
      <c r="T152" s="415"/>
      <c r="U152" s="415"/>
      <c r="V152" s="415"/>
      <c r="W152" s="415"/>
      <c r="X152" s="415"/>
      <c r="Y152" s="415"/>
      <c r="Z152" s="415"/>
      <c r="AA152" s="415"/>
      <c r="AB152" s="415"/>
      <c r="AC152" s="415"/>
      <c r="AD152" s="415"/>
      <c r="AE152" s="415"/>
      <c r="AF152" s="415"/>
      <c r="AG152" s="415"/>
      <c r="AH152" s="415"/>
      <c r="AI152" s="415"/>
      <c r="AJ152" s="415"/>
      <c r="AK152" s="415"/>
      <c r="AL152" s="415"/>
      <c r="AM152" s="415"/>
      <c r="AN152" s="415"/>
      <c r="AO152" s="415"/>
      <c r="AP152" s="415"/>
      <c r="AQ152" s="357"/>
      <c r="AR152" s="357"/>
      <c r="AS152" s="357"/>
    </row>
    <row r="153" spans="17:45" x14ac:dyDescent="0.25">
      <c r="Q153" s="415"/>
      <c r="R153" s="415"/>
      <c r="S153" s="415"/>
      <c r="T153" s="415"/>
      <c r="U153" s="415"/>
      <c r="V153" s="415"/>
      <c r="W153" s="415"/>
      <c r="X153" s="415"/>
      <c r="Y153" s="415"/>
      <c r="Z153" s="415"/>
      <c r="AA153" s="415"/>
      <c r="AB153" s="415"/>
      <c r="AC153" s="415"/>
      <c r="AD153" s="415"/>
      <c r="AE153" s="415"/>
      <c r="AF153" s="415"/>
      <c r="AG153" s="415"/>
      <c r="AH153" s="415"/>
      <c r="AI153" s="415"/>
      <c r="AJ153" s="415"/>
      <c r="AK153" s="415"/>
      <c r="AL153" s="415"/>
      <c r="AM153" s="415"/>
      <c r="AN153" s="415"/>
      <c r="AO153" s="415"/>
      <c r="AP153" s="415"/>
      <c r="AQ153" s="357"/>
      <c r="AR153" s="357"/>
      <c r="AS153" s="357"/>
    </row>
    <row r="154" spans="17:45" x14ac:dyDescent="0.25">
      <c r="Q154" s="415"/>
      <c r="R154" s="415"/>
      <c r="S154" s="415"/>
      <c r="T154" s="415"/>
      <c r="U154" s="415"/>
      <c r="V154" s="415"/>
      <c r="W154" s="415"/>
      <c r="X154" s="415"/>
      <c r="Y154" s="415"/>
      <c r="Z154" s="415"/>
      <c r="AA154" s="415"/>
      <c r="AB154" s="415"/>
      <c r="AC154" s="415"/>
      <c r="AD154" s="415"/>
      <c r="AE154" s="415"/>
      <c r="AF154" s="415"/>
      <c r="AG154" s="415"/>
      <c r="AH154" s="415"/>
      <c r="AI154" s="415"/>
      <c r="AJ154" s="415"/>
      <c r="AK154" s="415"/>
      <c r="AL154" s="415"/>
      <c r="AM154" s="415"/>
      <c r="AN154" s="415"/>
      <c r="AO154" s="415"/>
      <c r="AP154" s="415"/>
      <c r="AQ154" s="357"/>
      <c r="AR154" s="357"/>
      <c r="AS154" s="357"/>
    </row>
    <row r="155" spans="17:45" x14ac:dyDescent="0.25">
      <c r="Q155" s="415"/>
      <c r="R155" s="415"/>
      <c r="S155" s="415"/>
      <c r="T155" s="415"/>
      <c r="U155" s="415"/>
      <c r="V155" s="415"/>
      <c r="W155" s="415"/>
      <c r="X155" s="415"/>
      <c r="Y155" s="415"/>
      <c r="Z155" s="415"/>
      <c r="AA155" s="415"/>
      <c r="AB155" s="415"/>
      <c r="AC155" s="415"/>
      <c r="AD155" s="415"/>
      <c r="AE155" s="415"/>
      <c r="AF155" s="415"/>
      <c r="AG155" s="415"/>
      <c r="AH155" s="415"/>
      <c r="AI155" s="415"/>
      <c r="AJ155" s="415"/>
      <c r="AK155" s="415"/>
      <c r="AL155" s="415"/>
      <c r="AM155" s="415"/>
      <c r="AN155" s="415"/>
      <c r="AO155" s="415"/>
      <c r="AP155" s="415"/>
      <c r="AQ155" s="357"/>
      <c r="AR155" s="357"/>
      <c r="AS155" s="357"/>
    </row>
    <row r="156" spans="17:45" x14ac:dyDescent="0.25">
      <c r="Q156" s="415"/>
      <c r="R156" s="415"/>
      <c r="S156" s="415"/>
      <c r="T156" s="415"/>
      <c r="U156" s="415"/>
      <c r="V156" s="415"/>
      <c r="W156" s="415"/>
      <c r="X156" s="415"/>
      <c r="Y156" s="415"/>
      <c r="Z156" s="415"/>
      <c r="AA156" s="415"/>
      <c r="AB156" s="415"/>
      <c r="AC156" s="415"/>
      <c r="AD156" s="415"/>
      <c r="AE156" s="415"/>
      <c r="AF156" s="415"/>
      <c r="AG156" s="415"/>
      <c r="AH156" s="415"/>
      <c r="AI156" s="415"/>
      <c r="AJ156" s="415"/>
      <c r="AK156" s="415"/>
      <c r="AL156" s="415"/>
      <c r="AM156" s="415"/>
      <c r="AN156" s="415"/>
      <c r="AO156" s="415"/>
      <c r="AP156" s="415"/>
      <c r="AQ156" s="357"/>
      <c r="AR156" s="357"/>
      <c r="AS156" s="357"/>
    </row>
    <row r="157" spans="17:45" x14ac:dyDescent="0.25">
      <c r="Q157" s="415"/>
      <c r="R157" s="415"/>
      <c r="S157" s="415"/>
      <c r="T157" s="415"/>
      <c r="U157" s="415"/>
      <c r="V157" s="415"/>
      <c r="W157" s="415"/>
      <c r="X157" s="415"/>
      <c r="Y157" s="415"/>
      <c r="Z157" s="415"/>
      <c r="AA157" s="415"/>
      <c r="AB157" s="415"/>
      <c r="AC157" s="415"/>
      <c r="AD157" s="415"/>
      <c r="AE157" s="415"/>
      <c r="AF157" s="415"/>
      <c r="AG157" s="415"/>
      <c r="AH157" s="415"/>
      <c r="AI157" s="415"/>
      <c r="AJ157" s="415"/>
      <c r="AK157" s="415"/>
      <c r="AL157" s="415"/>
      <c r="AM157" s="415"/>
      <c r="AN157" s="415"/>
      <c r="AO157" s="415"/>
      <c r="AP157" s="415"/>
      <c r="AQ157" s="357"/>
      <c r="AR157" s="357"/>
      <c r="AS157" s="357"/>
    </row>
    <row r="158" spans="17:45" x14ac:dyDescent="0.25">
      <c r="Q158" s="415"/>
      <c r="R158" s="415"/>
      <c r="S158" s="415"/>
      <c r="T158" s="415"/>
      <c r="U158" s="415"/>
      <c r="V158" s="415"/>
      <c r="W158" s="415"/>
      <c r="X158" s="415"/>
      <c r="Y158" s="415"/>
      <c r="Z158" s="415"/>
      <c r="AA158" s="415"/>
      <c r="AB158" s="415"/>
      <c r="AC158" s="415"/>
      <c r="AD158" s="415"/>
      <c r="AE158" s="415"/>
      <c r="AF158" s="415"/>
      <c r="AG158" s="415"/>
      <c r="AH158" s="415"/>
      <c r="AI158" s="415"/>
      <c r="AJ158" s="415"/>
      <c r="AK158" s="415"/>
      <c r="AL158" s="415"/>
      <c r="AM158" s="415"/>
      <c r="AN158" s="415"/>
      <c r="AO158" s="415"/>
      <c r="AP158" s="415"/>
      <c r="AQ158" s="357"/>
      <c r="AR158" s="357"/>
      <c r="AS158" s="357"/>
    </row>
    <row r="159" spans="17:45" x14ac:dyDescent="0.25">
      <c r="Q159" s="415"/>
      <c r="R159" s="415"/>
      <c r="S159" s="415"/>
      <c r="T159" s="415"/>
      <c r="U159" s="415"/>
      <c r="V159" s="415"/>
      <c r="W159" s="415"/>
      <c r="X159" s="415"/>
      <c r="Y159" s="415"/>
      <c r="Z159" s="415"/>
      <c r="AA159" s="415"/>
      <c r="AB159" s="415"/>
      <c r="AC159" s="415"/>
      <c r="AD159" s="415"/>
      <c r="AE159" s="415"/>
      <c r="AF159" s="415"/>
      <c r="AG159" s="415"/>
      <c r="AH159" s="415"/>
      <c r="AI159" s="415"/>
      <c r="AJ159" s="415"/>
      <c r="AK159" s="415"/>
      <c r="AL159" s="415"/>
      <c r="AM159" s="415"/>
      <c r="AN159" s="415"/>
      <c r="AO159" s="415"/>
      <c r="AP159" s="415"/>
      <c r="AQ159" s="357"/>
      <c r="AR159" s="357"/>
      <c r="AS159" s="357"/>
    </row>
    <row r="160" spans="17:45" x14ac:dyDescent="0.25">
      <c r="Q160" s="415"/>
      <c r="R160" s="415"/>
      <c r="S160" s="415"/>
      <c r="T160" s="415"/>
      <c r="U160" s="415"/>
      <c r="V160" s="415"/>
      <c r="W160" s="415"/>
      <c r="X160" s="415"/>
      <c r="Y160" s="415"/>
      <c r="Z160" s="415"/>
      <c r="AA160" s="415"/>
      <c r="AB160" s="415"/>
      <c r="AC160" s="415"/>
      <c r="AD160" s="415"/>
      <c r="AE160" s="415"/>
      <c r="AF160" s="415"/>
      <c r="AG160" s="415"/>
      <c r="AH160" s="415"/>
      <c r="AI160" s="415"/>
      <c r="AJ160" s="415"/>
      <c r="AK160" s="415"/>
      <c r="AL160" s="415"/>
      <c r="AM160" s="415"/>
      <c r="AN160" s="415"/>
      <c r="AO160" s="415"/>
      <c r="AP160" s="415"/>
      <c r="AQ160" s="357"/>
      <c r="AR160" s="357"/>
      <c r="AS160" s="357"/>
    </row>
    <row r="161" spans="2:42" s="357" customFormat="1" x14ac:dyDescent="0.25">
      <c r="B161" s="359"/>
      <c r="C161" s="359"/>
      <c r="D161" s="359"/>
      <c r="E161" s="359"/>
      <c r="F161" s="359"/>
      <c r="G161" s="359"/>
      <c r="H161" s="359"/>
      <c r="I161" s="359"/>
      <c r="J161" s="359"/>
      <c r="K161" s="359"/>
      <c r="L161" s="359"/>
      <c r="M161" s="359"/>
      <c r="N161" s="359"/>
      <c r="O161" s="359"/>
      <c r="P161" s="359"/>
      <c r="Q161" s="415"/>
      <c r="R161" s="415"/>
      <c r="S161" s="415"/>
      <c r="T161" s="415"/>
      <c r="U161" s="415"/>
      <c r="V161" s="415"/>
      <c r="W161" s="415"/>
      <c r="X161" s="415"/>
      <c r="Y161" s="415"/>
      <c r="Z161" s="415"/>
      <c r="AA161" s="415"/>
      <c r="AB161" s="415"/>
      <c r="AC161" s="415"/>
      <c r="AD161" s="415"/>
      <c r="AE161" s="415"/>
      <c r="AF161" s="415"/>
      <c r="AG161" s="415"/>
      <c r="AH161" s="415"/>
      <c r="AI161" s="415"/>
      <c r="AJ161" s="415"/>
      <c r="AK161" s="415"/>
      <c r="AL161" s="415"/>
      <c r="AM161" s="415"/>
      <c r="AN161" s="415"/>
      <c r="AO161" s="415"/>
      <c r="AP161" s="415"/>
    </row>
    <row r="162" spans="2:42" s="357" customFormat="1" x14ac:dyDescent="0.25">
      <c r="B162" s="359"/>
      <c r="C162" s="359"/>
      <c r="D162" s="359"/>
      <c r="E162" s="359"/>
      <c r="F162" s="359"/>
      <c r="G162" s="359"/>
      <c r="H162" s="359"/>
      <c r="I162" s="359"/>
      <c r="J162" s="359"/>
      <c r="K162" s="359"/>
      <c r="L162" s="359"/>
      <c r="M162" s="359"/>
      <c r="N162" s="359"/>
      <c r="O162" s="359"/>
      <c r="P162" s="359"/>
      <c r="Q162" s="415"/>
      <c r="R162" s="415"/>
      <c r="S162" s="415"/>
      <c r="T162" s="415"/>
      <c r="U162" s="415"/>
      <c r="V162" s="415"/>
      <c r="W162" s="415"/>
      <c r="X162" s="415"/>
      <c r="Y162" s="415"/>
      <c r="Z162" s="415"/>
      <c r="AA162" s="415"/>
      <c r="AB162" s="415"/>
      <c r="AC162" s="415"/>
      <c r="AD162" s="415"/>
      <c r="AE162" s="415"/>
      <c r="AF162" s="415"/>
      <c r="AG162" s="415"/>
      <c r="AH162" s="415"/>
      <c r="AI162" s="415"/>
      <c r="AJ162" s="415"/>
      <c r="AK162" s="415"/>
      <c r="AL162" s="415"/>
      <c r="AM162" s="415"/>
      <c r="AN162" s="415"/>
      <c r="AO162" s="415"/>
      <c r="AP162" s="415"/>
    </row>
    <row r="163" spans="2:42" s="357" customFormat="1" x14ac:dyDescent="0.25">
      <c r="B163" s="359"/>
      <c r="C163" s="359"/>
      <c r="D163" s="359"/>
      <c r="E163" s="359"/>
      <c r="F163" s="359"/>
      <c r="G163" s="359"/>
      <c r="H163" s="359"/>
      <c r="I163" s="359"/>
      <c r="J163" s="359"/>
      <c r="K163" s="359"/>
      <c r="L163" s="359"/>
      <c r="M163" s="359"/>
      <c r="N163" s="359"/>
      <c r="O163" s="359"/>
      <c r="P163" s="359"/>
      <c r="Q163" s="415"/>
      <c r="R163" s="415"/>
      <c r="S163" s="415"/>
      <c r="T163" s="415"/>
      <c r="U163" s="415"/>
      <c r="V163" s="415"/>
      <c r="W163" s="415"/>
      <c r="X163" s="415"/>
      <c r="Y163" s="415"/>
      <c r="Z163" s="415"/>
      <c r="AA163" s="415"/>
      <c r="AB163" s="415"/>
      <c r="AC163" s="415"/>
      <c r="AD163" s="415"/>
      <c r="AE163" s="415"/>
      <c r="AF163" s="415"/>
      <c r="AG163" s="415"/>
      <c r="AH163" s="415"/>
      <c r="AI163" s="415"/>
      <c r="AJ163" s="415"/>
      <c r="AK163" s="415"/>
      <c r="AL163" s="415"/>
      <c r="AM163" s="415"/>
      <c r="AN163" s="415"/>
      <c r="AO163" s="415"/>
      <c r="AP163" s="415"/>
    </row>
    <row r="164" spans="2:42" s="357" customFormat="1" x14ac:dyDescent="0.25">
      <c r="B164" s="359"/>
      <c r="C164" s="359"/>
      <c r="D164" s="359"/>
      <c r="E164" s="359"/>
      <c r="F164" s="359"/>
      <c r="G164" s="359"/>
      <c r="H164" s="359"/>
      <c r="I164" s="359"/>
      <c r="J164" s="359"/>
      <c r="K164" s="359"/>
      <c r="L164" s="359"/>
      <c r="M164" s="359"/>
      <c r="N164" s="359"/>
      <c r="O164" s="359"/>
      <c r="P164" s="359"/>
      <c r="Q164" s="415"/>
      <c r="R164" s="415"/>
      <c r="S164" s="415"/>
      <c r="T164" s="415"/>
      <c r="U164" s="415"/>
      <c r="V164" s="415"/>
      <c r="W164" s="415"/>
      <c r="X164" s="415"/>
      <c r="Y164" s="415"/>
      <c r="Z164" s="415"/>
      <c r="AA164" s="415"/>
      <c r="AB164" s="415"/>
      <c r="AC164" s="415"/>
      <c r="AD164" s="415"/>
      <c r="AE164" s="415"/>
      <c r="AF164" s="415"/>
      <c r="AG164" s="415"/>
      <c r="AH164" s="415"/>
      <c r="AI164" s="415"/>
      <c r="AJ164" s="415"/>
      <c r="AK164" s="415"/>
      <c r="AL164" s="415"/>
      <c r="AM164" s="415"/>
      <c r="AN164" s="415"/>
      <c r="AO164" s="415"/>
      <c r="AP164" s="415"/>
    </row>
    <row r="165" spans="2:42" s="357" customFormat="1" x14ac:dyDescent="0.25">
      <c r="B165" s="359"/>
      <c r="C165" s="359"/>
      <c r="D165" s="359"/>
      <c r="E165" s="359"/>
      <c r="F165" s="359"/>
      <c r="G165" s="359"/>
      <c r="H165" s="359"/>
      <c r="I165" s="359"/>
      <c r="J165" s="359"/>
      <c r="K165" s="359"/>
      <c r="L165" s="359"/>
      <c r="M165" s="359"/>
      <c r="N165" s="359"/>
      <c r="O165" s="359"/>
      <c r="P165" s="359"/>
      <c r="Q165" s="415"/>
      <c r="R165" s="415"/>
      <c r="S165" s="415"/>
      <c r="T165" s="415"/>
      <c r="U165" s="415"/>
      <c r="V165" s="415"/>
      <c r="W165" s="415"/>
      <c r="X165" s="415"/>
      <c r="Y165" s="415"/>
      <c r="Z165" s="415"/>
      <c r="AA165" s="415"/>
      <c r="AB165" s="415"/>
      <c r="AC165" s="415"/>
      <c r="AD165" s="415"/>
      <c r="AE165" s="415"/>
      <c r="AF165" s="415"/>
      <c r="AG165" s="415"/>
      <c r="AH165" s="415"/>
      <c r="AI165" s="415"/>
      <c r="AJ165" s="415"/>
      <c r="AK165" s="415"/>
      <c r="AL165" s="415"/>
      <c r="AM165" s="415"/>
      <c r="AN165" s="415"/>
      <c r="AO165" s="415"/>
      <c r="AP165" s="415"/>
    </row>
    <row r="166" spans="2:42" s="357" customFormat="1" x14ac:dyDescent="0.25">
      <c r="B166" s="359"/>
      <c r="C166" s="359"/>
      <c r="D166" s="359"/>
      <c r="E166" s="359"/>
      <c r="F166" s="359"/>
      <c r="G166" s="359"/>
      <c r="H166" s="359"/>
      <c r="I166" s="359"/>
      <c r="J166" s="359"/>
      <c r="K166" s="359"/>
      <c r="L166" s="359"/>
      <c r="M166" s="359"/>
      <c r="N166" s="359"/>
      <c r="O166" s="359"/>
      <c r="P166" s="359"/>
      <c r="Q166" s="415"/>
      <c r="R166" s="415"/>
      <c r="S166" s="415"/>
      <c r="T166" s="415"/>
      <c r="U166" s="415"/>
      <c r="V166" s="415"/>
      <c r="W166" s="415"/>
      <c r="X166" s="415"/>
      <c r="Y166" s="415"/>
      <c r="Z166" s="415"/>
      <c r="AA166" s="415"/>
      <c r="AB166" s="415"/>
      <c r="AC166" s="415"/>
      <c r="AD166" s="415"/>
      <c r="AE166" s="415"/>
      <c r="AF166" s="415"/>
      <c r="AG166" s="415"/>
      <c r="AH166" s="415"/>
      <c r="AI166" s="415"/>
      <c r="AJ166" s="415"/>
      <c r="AK166" s="415"/>
      <c r="AL166" s="415"/>
      <c r="AM166" s="415"/>
      <c r="AN166" s="415"/>
      <c r="AO166" s="415"/>
      <c r="AP166" s="415"/>
    </row>
    <row r="167" spans="2:42" s="357" customFormat="1" x14ac:dyDescent="0.25">
      <c r="B167" s="359"/>
      <c r="C167" s="359"/>
      <c r="D167" s="359"/>
      <c r="E167" s="359"/>
      <c r="F167" s="359"/>
      <c r="G167" s="359"/>
      <c r="H167" s="359"/>
      <c r="I167" s="359"/>
      <c r="J167" s="359"/>
      <c r="K167" s="359"/>
      <c r="L167" s="359"/>
      <c r="M167" s="359"/>
      <c r="N167" s="359"/>
      <c r="O167" s="359"/>
      <c r="P167" s="359"/>
      <c r="Q167" s="415"/>
      <c r="R167" s="415"/>
      <c r="S167" s="415"/>
      <c r="T167" s="415"/>
      <c r="U167" s="415"/>
      <c r="V167" s="415"/>
      <c r="W167" s="415"/>
      <c r="X167" s="415"/>
      <c r="Y167" s="415"/>
      <c r="Z167" s="415"/>
      <c r="AA167" s="415"/>
      <c r="AB167" s="415"/>
      <c r="AC167" s="415"/>
      <c r="AD167" s="415"/>
      <c r="AE167" s="415"/>
      <c r="AF167" s="415"/>
      <c r="AG167" s="415"/>
      <c r="AH167" s="415"/>
      <c r="AI167" s="415"/>
      <c r="AJ167" s="415"/>
      <c r="AK167" s="415"/>
      <c r="AL167" s="415"/>
      <c r="AM167" s="415"/>
      <c r="AN167" s="415"/>
      <c r="AO167" s="415"/>
      <c r="AP167" s="415"/>
    </row>
    <row r="168" spans="2:42" s="357" customFormat="1" x14ac:dyDescent="0.25">
      <c r="B168" s="359"/>
      <c r="C168" s="359"/>
      <c r="D168" s="359"/>
      <c r="E168" s="359"/>
      <c r="F168" s="359"/>
      <c r="G168" s="359"/>
      <c r="H168" s="359"/>
      <c r="I168" s="359"/>
      <c r="J168" s="359"/>
      <c r="K168" s="359"/>
      <c r="L168" s="359"/>
      <c r="M168" s="359"/>
      <c r="N168" s="359"/>
      <c r="O168" s="359"/>
      <c r="P168" s="359"/>
      <c r="Q168" s="415"/>
      <c r="R168" s="415"/>
      <c r="S168" s="415"/>
      <c r="T168" s="415"/>
      <c r="U168" s="415"/>
      <c r="V168" s="415"/>
      <c r="W168" s="415"/>
      <c r="X168" s="415"/>
      <c r="Y168" s="415"/>
      <c r="Z168" s="415"/>
      <c r="AA168" s="415"/>
      <c r="AB168" s="415"/>
      <c r="AC168" s="415"/>
      <c r="AD168" s="415"/>
      <c r="AE168" s="415"/>
      <c r="AF168" s="415"/>
      <c r="AG168" s="415"/>
      <c r="AH168" s="415"/>
      <c r="AI168" s="415"/>
      <c r="AJ168" s="415"/>
      <c r="AK168" s="415"/>
      <c r="AL168" s="415"/>
      <c r="AM168" s="415"/>
      <c r="AN168" s="415"/>
      <c r="AO168" s="415"/>
      <c r="AP168" s="415"/>
    </row>
    <row r="169" spans="2:42" s="357" customFormat="1" x14ac:dyDescent="0.25">
      <c r="B169" s="359"/>
      <c r="C169" s="359"/>
      <c r="D169" s="359"/>
      <c r="E169" s="359"/>
      <c r="F169" s="359"/>
      <c r="G169" s="359"/>
      <c r="H169" s="359"/>
      <c r="I169" s="359"/>
      <c r="J169" s="359"/>
      <c r="K169" s="359"/>
      <c r="L169" s="359"/>
      <c r="M169" s="359"/>
      <c r="N169" s="359"/>
      <c r="O169" s="359"/>
      <c r="P169" s="359"/>
      <c r="Q169" s="415"/>
      <c r="R169" s="415"/>
      <c r="S169" s="415"/>
      <c r="T169" s="415"/>
      <c r="U169" s="415"/>
      <c r="V169" s="415"/>
      <c r="W169" s="415"/>
      <c r="X169" s="415"/>
      <c r="Y169" s="415"/>
      <c r="Z169" s="415"/>
      <c r="AA169" s="415"/>
      <c r="AB169" s="415"/>
      <c r="AC169" s="415"/>
      <c r="AD169" s="415"/>
      <c r="AE169" s="415"/>
      <c r="AF169" s="415"/>
      <c r="AG169" s="415"/>
      <c r="AH169" s="415"/>
      <c r="AI169" s="415"/>
      <c r="AJ169" s="415"/>
      <c r="AK169" s="415"/>
      <c r="AL169" s="415"/>
      <c r="AM169" s="415"/>
      <c r="AN169" s="415"/>
      <c r="AO169" s="415"/>
      <c r="AP169" s="415"/>
    </row>
    <row r="170" spans="2:42" s="357" customFormat="1" x14ac:dyDescent="0.25">
      <c r="B170" s="359"/>
      <c r="C170" s="359"/>
      <c r="D170" s="359"/>
      <c r="E170" s="359"/>
      <c r="F170" s="359"/>
      <c r="G170" s="359"/>
      <c r="H170" s="359"/>
      <c r="I170" s="359"/>
      <c r="J170" s="359"/>
      <c r="K170" s="359"/>
      <c r="L170" s="359"/>
      <c r="M170" s="359"/>
      <c r="N170" s="359"/>
      <c r="O170" s="359"/>
      <c r="P170" s="359"/>
      <c r="Q170" s="415"/>
      <c r="R170" s="415"/>
      <c r="S170" s="415"/>
      <c r="T170" s="415"/>
      <c r="U170" s="415"/>
      <c r="V170" s="415"/>
      <c r="W170" s="415"/>
      <c r="X170" s="415"/>
      <c r="Y170" s="415"/>
      <c r="Z170" s="415"/>
      <c r="AA170" s="415"/>
      <c r="AB170" s="415"/>
      <c r="AC170" s="415"/>
      <c r="AD170" s="415"/>
      <c r="AE170" s="415"/>
      <c r="AF170" s="415"/>
      <c r="AG170" s="415"/>
      <c r="AH170" s="415"/>
      <c r="AI170" s="415"/>
      <c r="AJ170" s="415"/>
      <c r="AK170" s="415"/>
      <c r="AL170" s="415"/>
      <c r="AM170" s="415"/>
      <c r="AN170" s="415"/>
      <c r="AO170" s="415"/>
      <c r="AP170" s="415"/>
    </row>
    <row r="171" spans="2:42" s="357" customFormat="1" x14ac:dyDescent="0.25">
      <c r="B171" s="359"/>
      <c r="C171" s="359"/>
      <c r="D171" s="359"/>
      <c r="E171" s="359"/>
      <c r="F171" s="359"/>
      <c r="G171" s="359"/>
      <c r="H171" s="359"/>
      <c r="I171" s="359"/>
      <c r="J171" s="359"/>
      <c r="K171" s="359"/>
      <c r="L171" s="359"/>
      <c r="M171" s="359"/>
      <c r="N171" s="359"/>
      <c r="O171" s="359"/>
      <c r="P171" s="359"/>
      <c r="Q171" s="415"/>
      <c r="R171" s="415"/>
      <c r="S171" s="415"/>
      <c r="T171" s="415"/>
      <c r="U171" s="415"/>
      <c r="V171" s="415"/>
      <c r="W171" s="415"/>
      <c r="X171" s="415"/>
      <c r="Y171" s="415"/>
      <c r="Z171" s="415"/>
      <c r="AA171" s="415"/>
      <c r="AB171" s="415"/>
      <c r="AC171" s="415"/>
      <c r="AD171" s="415"/>
      <c r="AE171" s="415"/>
      <c r="AF171" s="415"/>
      <c r="AG171" s="415"/>
      <c r="AH171" s="415"/>
      <c r="AI171" s="415"/>
      <c r="AJ171" s="415"/>
      <c r="AK171" s="415"/>
      <c r="AL171" s="415"/>
      <c r="AM171" s="415"/>
      <c r="AN171" s="415"/>
      <c r="AO171" s="415"/>
      <c r="AP171" s="415"/>
    </row>
    <row r="172" spans="2:42" s="357" customFormat="1" x14ac:dyDescent="0.25">
      <c r="B172" s="359"/>
      <c r="C172" s="359"/>
      <c r="D172" s="359"/>
      <c r="E172" s="359"/>
      <c r="F172" s="359"/>
      <c r="G172" s="359"/>
      <c r="H172" s="359"/>
      <c r="I172" s="359"/>
      <c r="J172" s="359"/>
      <c r="K172" s="359"/>
      <c r="L172" s="359"/>
      <c r="M172" s="359"/>
      <c r="N172" s="359"/>
      <c r="O172" s="359"/>
      <c r="P172" s="359"/>
      <c r="Q172" s="415"/>
      <c r="R172" s="415"/>
      <c r="S172" s="415"/>
      <c r="T172" s="415"/>
      <c r="U172" s="415"/>
      <c r="V172" s="415"/>
      <c r="W172" s="415"/>
      <c r="X172" s="415"/>
      <c r="Y172" s="415"/>
      <c r="Z172" s="415"/>
      <c r="AA172" s="415"/>
      <c r="AB172" s="415"/>
      <c r="AC172" s="415"/>
      <c r="AD172" s="415"/>
      <c r="AE172" s="415"/>
      <c r="AF172" s="415"/>
      <c r="AG172" s="415"/>
      <c r="AH172" s="415"/>
      <c r="AI172" s="415"/>
      <c r="AJ172" s="415"/>
      <c r="AK172" s="415"/>
      <c r="AL172" s="415"/>
      <c r="AM172" s="415"/>
      <c r="AN172" s="415"/>
      <c r="AO172" s="415"/>
      <c r="AP172" s="415"/>
    </row>
    <row r="173" spans="2:42" s="357" customFormat="1" x14ac:dyDescent="0.25">
      <c r="B173" s="359"/>
      <c r="C173" s="359"/>
      <c r="D173" s="359"/>
      <c r="E173" s="359"/>
      <c r="F173" s="359"/>
      <c r="G173" s="359"/>
      <c r="H173" s="359"/>
      <c r="I173" s="359"/>
      <c r="J173" s="359"/>
      <c r="K173" s="359"/>
      <c r="L173" s="359"/>
      <c r="M173" s="359"/>
      <c r="N173" s="359"/>
      <c r="O173" s="359"/>
      <c r="P173" s="359"/>
      <c r="Q173" s="415"/>
      <c r="R173" s="415"/>
      <c r="S173" s="415"/>
      <c r="T173" s="415"/>
      <c r="U173" s="415"/>
      <c r="V173" s="415"/>
      <c r="W173" s="415"/>
      <c r="X173" s="415"/>
      <c r="Y173" s="415"/>
      <c r="Z173" s="415"/>
      <c r="AA173" s="415"/>
      <c r="AB173" s="415"/>
      <c r="AC173" s="415"/>
      <c r="AD173" s="415"/>
      <c r="AE173" s="415"/>
      <c r="AF173" s="415"/>
      <c r="AG173" s="415"/>
      <c r="AH173" s="415"/>
      <c r="AI173" s="415"/>
      <c r="AJ173" s="415"/>
      <c r="AK173" s="415"/>
      <c r="AL173" s="415"/>
      <c r="AM173" s="415"/>
      <c r="AN173" s="415"/>
      <c r="AO173" s="415"/>
      <c r="AP173" s="415"/>
    </row>
    <row r="174" spans="2:42" s="357" customFormat="1" x14ac:dyDescent="0.25">
      <c r="B174" s="359"/>
      <c r="C174" s="359"/>
      <c r="D174" s="359"/>
      <c r="E174" s="359"/>
      <c r="F174" s="359"/>
      <c r="G174" s="359"/>
      <c r="H174" s="359"/>
      <c r="I174" s="359"/>
      <c r="J174" s="359"/>
      <c r="K174" s="359"/>
      <c r="L174" s="359"/>
      <c r="M174" s="359"/>
      <c r="N174" s="359"/>
      <c r="O174" s="359"/>
      <c r="P174" s="359"/>
      <c r="Q174" s="415"/>
      <c r="R174" s="415"/>
      <c r="S174" s="415"/>
      <c r="T174" s="415"/>
      <c r="U174" s="415"/>
      <c r="V174" s="415"/>
      <c r="W174" s="415"/>
      <c r="X174" s="415"/>
      <c r="Y174" s="415"/>
      <c r="Z174" s="415"/>
      <c r="AA174" s="415"/>
      <c r="AB174" s="415"/>
      <c r="AC174" s="415"/>
      <c r="AD174" s="415"/>
      <c r="AE174" s="415"/>
      <c r="AF174" s="415"/>
      <c r="AG174" s="415"/>
      <c r="AH174" s="415"/>
      <c r="AI174" s="415"/>
      <c r="AJ174" s="415"/>
      <c r="AK174" s="415"/>
      <c r="AL174" s="415"/>
      <c r="AM174" s="415"/>
      <c r="AN174" s="415"/>
      <c r="AO174" s="415"/>
      <c r="AP174" s="415"/>
    </row>
    <row r="175" spans="2:42" s="357" customFormat="1" x14ac:dyDescent="0.25">
      <c r="Q175" s="415"/>
      <c r="R175" s="415"/>
      <c r="S175" s="415"/>
      <c r="T175" s="415"/>
      <c r="U175" s="415"/>
      <c r="V175" s="415"/>
      <c r="W175" s="415"/>
      <c r="X175" s="415"/>
      <c r="Y175" s="415"/>
      <c r="Z175" s="415"/>
      <c r="AA175" s="415"/>
      <c r="AB175" s="415"/>
      <c r="AC175" s="415"/>
      <c r="AD175" s="415"/>
      <c r="AE175" s="415"/>
      <c r="AF175" s="415"/>
      <c r="AG175" s="415"/>
      <c r="AH175" s="415"/>
      <c r="AI175" s="415"/>
      <c r="AJ175" s="415"/>
      <c r="AK175" s="415"/>
      <c r="AL175" s="415"/>
      <c r="AM175" s="415"/>
      <c r="AN175" s="415"/>
      <c r="AO175" s="415"/>
      <c r="AP175" s="415"/>
    </row>
    <row r="176" spans="2:42" s="357" customFormat="1" x14ac:dyDescent="0.25">
      <c r="Q176" s="415"/>
      <c r="R176" s="415"/>
      <c r="S176" s="415"/>
      <c r="T176" s="415"/>
      <c r="U176" s="415"/>
      <c r="V176" s="415"/>
      <c r="W176" s="415"/>
      <c r="X176" s="415"/>
      <c r="Y176" s="415"/>
      <c r="Z176" s="415"/>
      <c r="AA176" s="415"/>
      <c r="AB176" s="415"/>
      <c r="AC176" s="415"/>
      <c r="AD176" s="415"/>
      <c r="AE176" s="415"/>
      <c r="AF176" s="415"/>
      <c r="AG176" s="415"/>
      <c r="AH176" s="415"/>
      <c r="AI176" s="415"/>
      <c r="AJ176" s="415"/>
      <c r="AK176" s="415"/>
      <c r="AL176" s="415"/>
      <c r="AM176" s="415"/>
      <c r="AN176" s="415"/>
      <c r="AO176" s="415"/>
      <c r="AP176" s="415"/>
    </row>
    <row r="177" spans="17:42" s="357" customFormat="1" x14ac:dyDescent="0.25">
      <c r="Q177" s="415"/>
      <c r="R177" s="415"/>
      <c r="S177" s="415"/>
      <c r="T177" s="415"/>
      <c r="U177" s="415"/>
      <c r="V177" s="415"/>
      <c r="W177" s="415"/>
      <c r="X177" s="415"/>
      <c r="Y177" s="415"/>
      <c r="Z177" s="415"/>
      <c r="AA177" s="415"/>
      <c r="AB177" s="415"/>
      <c r="AC177" s="415"/>
      <c r="AD177" s="415"/>
      <c r="AE177" s="415"/>
      <c r="AF177" s="415"/>
      <c r="AG177" s="415"/>
      <c r="AH177" s="415"/>
      <c r="AI177" s="415"/>
      <c r="AJ177" s="415"/>
      <c r="AK177" s="415"/>
      <c r="AL177" s="415"/>
      <c r="AM177" s="415"/>
      <c r="AN177" s="415"/>
      <c r="AO177" s="415"/>
      <c r="AP177" s="415"/>
    </row>
    <row r="178" spans="17:42" s="357" customFormat="1" x14ac:dyDescent="0.25">
      <c r="Q178" s="415"/>
      <c r="R178" s="415"/>
      <c r="S178" s="415"/>
      <c r="T178" s="415"/>
      <c r="U178" s="415"/>
      <c r="V178" s="415"/>
      <c r="W178" s="415"/>
      <c r="X178" s="415"/>
      <c r="Y178" s="415"/>
      <c r="Z178" s="415"/>
      <c r="AA178" s="415"/>
      <c r="AB178" s="415"/>
      <c r="AC178" s="415"/>
      <c r="AD178" s="415"/>
      <c r="AE178" s="415"/>
      <c r="AF178" s="415"/>
      <c r="AG178" s="415"/>
      <c r="AH178" s="415"/>
      <c r="AI178" s="415"/>
      <c r="AJ178" s="415"/>
      <c r="AK178" s="415"/>
      <c r="AL178" s="415"/>
      <c r="AM178" s="415"/>
      <c r="AN178" s="415"/>
      <c r="AO178" s="415"/>
      <c r="AP178" s="415"/>
    </row>
    <row r="179" spans="17:42" s="357" customFormat="1" x14ac:dyDescent="0.25">
      <c r="Q179" s="415"/>
      <c r="R179" s="415"/>
      <c r="S179" s="415"/>
      <c r="T179" s="415"/>
      <c r="U179" s="415"/>
      <c r="V179" s="415"/>
      <c r="W179" s="415"/>
      <c r="X179" s="415"/>
      <c r="Y179" s="415"/>
      <c r="Z179" s="415"/>
      <c r="AA179" s="415"/>
      <c r="AB179" s="415"/>
      <c r="AC179" s="415"/>
      <c r="AD179" s="415"/>
      <c r="AE179" s="415"/>
      <c r="AF179" s="415"/>
      <c r="AG179" s="415"/>
      <c r="AH179" s="415"/>
      <c r="AI179" s="415"/>
      <c r="AJ179" s="415"/>
      <c r="AK179" s="415"/>
      <c r="AL179" s="415"/>
      <c r="AM179" s="415"/>
      <c r="AN179" s="415"/>
      <c r="AO179" s="415"/>
      <c r="AP179" s="415"/>
    </row>
    <row r="180" spans="17:42" s="357" customFormat="1" x14ac:dyDescent="0.25">
      <c r="Q180" s="415"/>
      <c r="R180" s="415"/>
      <c r="S180" s="415"/>
      <c r="T180" s="415"/>
      <c r="U180" s="415"/>
      <c r="V180" s="415"/>
      <c r="W180" s="415"/>
      <c r="X180" s="415"/>
      <c r="Y180" s="415"/>
      <c r="Z180" s="415"/>
      <c r="AA180" s="415"/>
      <c r="AB180" s="415"/>
      <c r="AC180" s="415"/>
      <c r="AD180" s="415"/>
      <c r="AE180" s="415"/>
      <c r="AF180" s="415"/>
      <c r="AG180" s="415"/>
      <c r="AH180" s="415"/>
      <c r="AI180" s="415"/>
      <c r="AJ180" s="415"/>
      <c r="AK180" s="415"/>
      <c r="AL180" s="415"/>
      <c r="AM180" s="415"/>
      <c r="AN180" s="415"/>
      <c r="AO180" s="415"/>
      <c r="AP180" s="415"/>
    </row>
    <row r="181" spans="17:42" s="357" customFormat="1" x14ac:dyDescent="0.25">
      <c r="Q181" s="415"/>
      <c r="R181" s="415"/>
      <c r="S181" s="415"/>
      <c r="T181" s="415"/>
      <c r="U181" s="415"/>
      <c r="V181" s="415"/>
      <c r="W181" s="415"/>
      <c r="X181" s="415"/>
      <c r="Y181" s="415"/>
      <c r="Z181" s="415"/>
      <c r="AA181" s="415"/>
      <c r="AB181" s="415"/>
      <c r="AC181" s="415"/>
      <c r="AD181" s="415"/>
      <c r="AE181" s="415"/>
      <c r="AF181" s="415"/>
      <c r="AG181" s="415"/>
      <c r="AH181" s="415"/>
      <c r="AI181" s="415"/>
      <c r="AJ181" s="415"/>
      <c r="AK181" s="415"/>
      <c r="AL181" s="415"/>
      <c r="AM181" s="415"/>
      <c r="AN181" s="415"/>
      <c r="AO181" s="415"/>
      <c r="AP181" s="415"/>
    </row>
    <row r="182" spans="17:42" s="357" customFormat="1" x14ac:dyDescent="0.25">
      <c r="Q182" s="415"/>
      <c r="R182" s="415"/>
      <c r="S182" s="415"/>
      <c r="T182" s="415"/>
      <c r="U182" s="415"/>
      <c r="V182" s="415"/>
      <c r="W182" s="415"/>
      <c r="X182" s="415"/>
      <c r="Y182" s="415"/>
      <c r="Z182" s="415"/>
      <c r="AA182" s="415"/>
      <c r="AB182" s="415"/>
      <c r="AC182" s="415"/>
      <c r="AD182" s="415"/>
      <c r="AE182" s="415"/>
      <c r="AF182" s="415"/>
      <c r="AG182" s="415"/>
      <c r="AH182" s="415"/>
      <c r="AI182" s="415"/>
      <c r="AJ182" s="415"/>
      <c r="AK182" s="415"/>
      <c r="AL182" s="415"/>
      <c r="AM182" s="415"/>
      <c r="AN182" s="415"/>
      <c r="AO182" s="415"/>
      <c r="AP182" s="415"/>
    </row>
    <row r="183" spans="17:42" s="357" customFormat="1" x14ac:dyDescent="0.25">
      <c r="Q183" s="415"/>
      <c r="R183" s="415"/>
      <c r="S183" s="415"/>
      <c r="T183" s="415"/>
      <c r="U183" s="415"/>
      <c r="V183" s="415"/>
      <c r="W183" s="415"/>
      <c r="X183" s="415"/>
      <c r="Y183" s="415"/>
      <c r="Z183" s="415"/>
      <c r="AA183" s="415"/>
      <c r="AB183" s="415"/>
      <c r="AC183" s="415"/>
      <c r="AD183" s="415"/>
      <c r="AE183" s="415"/>
      <c r="AF183" s="415"/>
      <c r="AG183" s="415"/>
      <c r="AH183" s="415"/>
      <c r="AI183" s="415"/>
      <c r="AJ183" s="415"/>
      <c r="AK183" s="415"/>
      <c r="AL183" s="415"/>
      <c r="AM183" s="415"/>
      <c r="AN183" s="415"/>
      <c r="AO183" s="415"/>
      <c r="AP183" s="415"/>
    </row>
    <row r="184" spans="17:42" s="357" customFormat="1" x14ac:dyDescent="0.25">
      <c r="Q184" s="415"/>
      <c r="R184" s="415"/>
      <c r="S184" s="415"/>
      <c r="T184" s="415"/>
      <c r="U184" s="415"/>
      <c r="V184" s="415"/>
      <c r="W184" s="415"/>
      <c r="X184" s="415"/>
      <c r="Y184" s="415"/>
      <c r="Z184" s="415"/>
      <c r="AA184" s="415"/>
      <c r="AB184" s="415"/>
      <c r="AC184" s="415"/>
      <c r="AD184" s="415"/>
      <c r="AE184" s="415"/>
      <c r="AF184" s="415"/>
      <c r="AG184" s="415"/>
      <c r="AH184" s="415"/>
      <c r="AI184" s="415"/>
      <c r="AJ184" s="415"/>
      <c r="AK184" s="415"/>
      <c r="AL184" s="415"/>
      <c r="AM184" s="415"/>
      <c r="AN184" s="415"/>
      <c r="AO184" s="415"/>
      <c r="AP184" s="415"/>
    </row>
    <row r="185" spans="17:42" s="357" customFormat="1" x14ac:dyDescent="0.25">
      <c r="Q185" s="415"/>
      <c r="R185" s="415"/>
      <c r="S185" s="415"/>
      <c r="T185" s="415"/>
      <c r="U185" s="415"/>
      <c r="V185" s="415"/>
      <c r="W185" s="415"/>
      <c r="X185" s="415"/>
      <c r="Y185" s="415"/>
      <c r="Z185" s="415"/>
      <c r="AA185" s="415"/>
      <c r="AB185" s="415"/>
      <c r="AC185" s="415"/>
      <c r="AD185" s="415"/>
      <c r="AE185" s="415"/>
      <c r="AF185" s="415"/>
      <c r="AG185" s="415"/>
      <c r="AH185" s="415"/>
      <c r="AI185" s="415"/>
      <c r="AJ185" s="415"/>
      <c r="AK185" s="415"/>
      <c r="AL185" s="415"/>
      <c r="AM185" s="415"/>
      <c r="AN185" s="415"/>
      <c r="AO185" s="415"/>
      <c r="AP185" s="415"/>
    </row>
    <row r="186" spans="17:42" s="357" customFormat="1" x14ac:dyDescent="0.25">
      <c r="Q186" s="415"/>
      <c r="R186" s="415"/>
      <c r="S186" s="415"/>
      <c r="T186" s="415"/>
      <c r="U186" s="415"/>
      <c r="V186" s="415"/>
      <c r="W186" s="415"/>
      <c r="X186" s="415"/>
      <c r="Y186" s="415"/>
      <c r="Z186" s="415"/>
      <c r="AA186" s="415"/>
      <c r="AB186" s="415"/>
      <c r="AC186" s="415"/>
      <c r="AD186" s="415"/>
      <c r="AE186" s="415"/>
      <c r="AF186" s="415"/>
      <c r="AG186" s="415"/>
      <c r="AH186" s="415"/>
      <c r="AI186" s="415"/>
      <c r="AJ186" s="415"/>
      <c r="AK186" s="415"/>
      <c r="AL186" s="415"/>
      <c r="AM186" s="415"/>
      <c r="AN186" s="415"/>
      <c r="AO186" s="415"/>
      <c r="AP186" s="415"/>
    </row>
    <row r="187" spans="17:42" s="357" customFormat="1" x14ac:dyDescent="0.25">
      <c r="Q187" s="415"/>
      <c r="R187" s="415"/>
      <c r="S187" s="415"/>
      <c r="T187" s="415"/>
      <c r="U187" s="415"/>
      <c r="V187" s="415"/>
      <c r="W187" s="415"/>
      <c r="X187" s="415"/>
      <c r="Y187" s="415"/>
      <c r="Z187" s="415"/>
      <c r="AA187" s="415"/>
      <c r="AB187" s="415"/>
      <c r="AC187" s="415"/>
      <c r="AD187" s="415"/>
      <c r="AE187" s="415"/>
      <c r="AF187" s="415"/>
      <c r="AG187" s="415"/>
      <c r="AH187" s="415"/>
      <c r="AI187" s="415"/>
      <c r="AJ187" s="415"/>
      <c r="AK187" s="415"/>
      <c r="AL187" s="415"/>
      <c r="AM187" s="415"/>
      <c r="AN187" s="415"/>
      <c r="AO187" s="415"/>
      <c r="AP187" s="415"/>
    </row>
    <row r="188" spans="17:42" s="357" customFormat="1" x14ac:dyDescent="0.25">
      <c r="Q188" s="415"/>
      <c r="R188" s="415"/>
      <c r="S188" s="415"/>
      <c r="T188" s="415"/>
      <c r="U188" s="415"/>
      <c r="V188" s="415"/>
      <c r="W188" s="415"/>
      <c r="X188" s="415"/>
      <c r="Y188" s="415"/>
      <c r="Z188" s="415"/>
      <c r="AA188" s="415"/>
      <c r="AB188" s="415"/>
      <c r="AC188" s="415"/>
      <c r="AD188" s="415"/>
      <c r="AE188" s="415"/>
      <c r="AF188" s="415"/>
      <c r="AG188" s="415"/>
      <c r="AH188" s="415"/>
      <c r="AI188" s="415"/>
      <c r="AJ188" s="415"/>
      <c r="AK188" s="415"/>
      <c r="AL188" s="415"/>
      <c r="AM188" s="415"/>
      <c r="AN188" s="415"/>
      <c r="AO188" s="415"/>
      <c r="AP188" s="415"/>
    </row>
    <row r="189" spans="17:42" s="357" customFormat="1" x14ac:dyDescent="0.25">
      <c r="Q189" s="415"/>
      <c r="R189" s="415"/>
      <c r="S189" s="415"/>
      <c r="T189" s="415"/>
      <c r="U189" s="415"/>
      <c r="V189" s="415"/>
      <c r="W189" s="415"/>
      <c r="X189" s="415"/>
      <c r="Y189" s="415"/>
      <c r="Z189" s="415"/>
      <c r="AA189" s="415"/>
      <c r="AB189" s="415"/>
      <c r="AC189" s="415"/>
      <c r="AD189" s="415"/>
      <c r="AE189" s="415"/>
      <c r="AF189" s="415"/>
      <c r="AG189" s="415"/>
      <c r="AH189" s="415"/>
      <c r="AI189" s="415"/>
      <c r="AJ189" s="415"/>
      <c r="AK189" s="415"/>
      <c r="AL189" s="415"/>
      <c r="AM189" s="415"/>
      <c r="AN189" s="415"/>
      <c r="AO189" s="415"/>
      <c r="AP189" s="415"/>
    </row>
    <row r="190" spans="17:42" s="357" customFormat="1" x14ac:dyDescent="0.25">
      <c r="Q190" s="415"/>
      <c r="R190" s="415"/>
      <c r="S190" s="415"/>
      <c r="T190" s="415"/>
      <c r="U190" s="415"/>
      <c r="V190" s="415"/>
      <c r="W190" s="415"/>
      <c r="X190" s="415"/>
      <c r="Y190" s="415"/>
      <c r="Z190" s="415"/>
      <c r="AA190" s="415"/>
      <c r="AB190" s="415"/>
      <c r="AC190" s="415"/>
      <c r="AD190" s="415"/>
      <c r="AE190" s="415"/>
      <c r="AF190" s="415"/>
      <c r="AG190" s="415"/>
      <c r="AH190" s="415"/>
      <c r="AI190" s="415"/>
      <c r="AJ190" s="415"/>
      <c r="AK190" s="415"/>
      <c r="AL190" s="415"/>
      <c r="AM190" s="415"/>
      <c r="AN190" s="415"/>
      <c r="AO190" s="415"/>
      <c r="AP190" s="415"/>
    </row>
    <row r="191" spans="17:42" s="357" customFormat="1" x14ac:dyDescent="0.25">
      <c r="Q191" s="415"/>
      <c r="R191" s="415"/>
      <c r="S191" s="415"/>
      <c r="T191" s="415"/>
      <c r="U191" s="415"/>
      <c r="V191" s="415"/>
      <c r="W191" s="415"/>
      <c r="X191" s="415"/>
      <c r="Y191" s="415"/>
      <c r="Z191" s="415"/>
      <c r="AA191" s="415"/>
      <c r="AB191" s="415"/>
      <c r="AC191" s="415"/>
      <c r="AD191" s="415"/>
      <c r="AE191" s="415"/>
      <c r="AF191" s="415"/>
      <c r="AG191" s="415"/>
      <c r="AH191" s="415"/>
      <c r="AI191" s="415"/>
      <c r="AJ191" s="415"/>
      <c r="AK191" s="415"/>
      <c r="AL191" s="415"/>
      <c r="AM191" s="415"/>
      <c r="AN191" s="415"/>
      <c r="AO191" s="415"/>
      <c r="AP191" s="415"/>
    </row>
    <row r="192" spans="17:42" s="357" customFormat="1" x14ac:dyDescent="0.25">
      <c r="Q192" s="415"/>
      <c r="R192" s="415"/>
      <c r="S192" s="415"/>
      <c r="T192" s="415"/>
      <c r="U192" s="415"/>
      <c r="V192" s="415"/>
      <c r="W192" s="415"/>
      <c r="X192" s="415"/>
      <c r="Y192" s="415"/>
      <c r="Z192" s="415"/>
      <c r="AA192" s="415"/>
      <c r="AB192" s="415"/>
      <c r="AC192" s="415"/>
      <c r="AD192" s="415"/>
      <c r="AE192" s="415"/>
      <c r="AF192" s="415"/>
      <c r="AG192" s="415"/>
      <c r="AH192" s="415"/>
      <c r="AI192" s="415"/>
      <c r="AJ192" s="415"/>
      <c r="AK192" s="415"/>
      <c r="AL192" s="415"/>
      <c r="AM192" s="415"/>
      <c r="AN192" s="415"/>
      <c r="AO192" s="415"/>
      <c r="AP192" s="415"/>
    </row>
    <row r="193" spans="17:42" s="357" customFormat="1" x14ac:dyDescent="0.25">
      <c r="Q193" s="415"/>
      <c r="R193" s="415"/>
      <c r="S193" s="415"/>
      <c r="T193" s="415"/>
      <c r="U193" s="415"/>
      <c r="V193" s="415"/>
      <c r="W193" s="415"/>
      <c r="X193" s="415"/>
      <c r="Y193" s="415"/>
      <c r="Z193" s="415"/>
      <c r="AA193" s="415"/>
      <c r="AB193" s="415"/>
      <c r="AC193" s="415"/>
      <c r="AD193" s="415"/>
      <c r="AE193" s="415"/>
      <c r="AF193" s="415"/>
      <c r="AG193" s="415"/>
      <c r="AH193" s="415"/>
      <c r="AI193" s="415"/>
      <c r="AJ193" s="415"/>
      <c r="AK193" s="415"/>
      <c r="AL193" s="415"/>
      <c r="AM193" s="415"/>
      <c r="AN193" s="415"/>
      <c r="AO193" s="415"/>
      <c r="AP193" s="415"/>
    </row>
    <row r="194" spans="17:42" s="357" customFormat="1" x14ac:dyDescent="0.25">
      <c r="Q194" s="415"/>
      <c r="R194" s="415"/>
      <c r="S194" s="415"/>
      <c r="T194" s="415"/>
      <c r="U194" s="415"/>
      <c r="V194" s="415"/>
      <c r="W194" s="415"/>
      <c r="X194" s="415"/>
      <c r="Y194" s="415"/>
      <c r="Z194" s="415"/>
      <c r="AA194" s="415"/>
      <c r="AB194" s="415"/>
      <c r="AC194" s="415"/>
      <c r="AD194" s="415"/>
      <c r="AE194" s="415"/>
      <c r="AF194" s="415"/>
      <c r="AG194" s="415"/>
      <c r="AH194" s="415"/>
      <c r="AI194" s="415"/>
      <c r="AJ194" s="415"/>
      <c r="AK194" s="415"/>
      <c r="AL194" s="415"/>
      <c r="AM194" s="415"/>
      <c r="AN194" s="415"/>
      <c r="AO194" s="415"/>
      <c r="AP194" s="415"/>
    </row>
    <row r="195" spans="17:42" s="357" customFormat="1" x14ac:dyDescent="0.25">
      <c r="Q195" s="415"/>
      <c r="R195" s="415"/>
      <c r="S195" s="415"/>
      <c r="T195" s="415"/>
      <c r="U195" s="415"/>
      <c r="V195" s="415"/>
      <c r="W195" s="415"/>
      <c r="X195" s="415"/>
      <c r="Y195" s="415"/>
      <c r="Z195" s="415"/>
      <c r="AA195" s="415"/>
      <c r="AB195" s="415"/>
      <c r="AC195" s="415"/>
      <c r="AD195" s="415"/>
      <c r="AE195" s="415"/>
      <c r="AF195" s="415"/>
      <c r="AG195" s="415"/>
      <c r="AH195" s="415"/>
      <c r="AI195" s="415"/>
      <c r="AJ195" s="415"/>
      <c r="AK195" s="415"/>
      <c r="AL195" s="415"/>
      <c r="AM195" s="415"/>
      <c r="AN195" s="415"/>
      <c r="AO195" s="415"/>
      <c r="AP195" s="415"/>
    </row>
    <row r="196" spans="17:42" s="357" customFormat="1" x14ac:dyDescent="0.25">
      <c r="Q196" s="415"/>
      <c r="R196" s="415"/>
      <c r="S196" s="415"/>
      <c r="T196" s="415"/>
      <c r="U196" s="415"/>
      <c r="V196" s="415"/>
      <c r="W196" s="415"/>
      <c r="X196" s="415"/>
      <c r="Y196" s="415"/>
      <c r="Z196" s="415"/>
      <c r="AA196" s="415"/>
      <c r="AB196" s="415"/>
      <c r="AC196" s="415"/>
      <c r="AD196" s="415"/>
      <c r="AE196" s="415"/>
      <c r="AF196" s="415"/>
      <c r="AG196" s="415"/>
      <c r="AH196" s="415"/>
      <c r="AI196" s="415"/>
      <c r="AJ196" s="415"/>
      <c r="AK196" s="415"/>
      <c r="AL196" s="415"/>
      <c r="AM196" s="415"/>
      <c r="AN196" s="415"/>
      <c r="AO196" s="415"/>
      <c r="AP196" s="415"/>
    </row>
    <row r="197" spans="17:42" s="357" customFormat="1" x14ac:dyDescent="0.25">
      <c r="Q197" s="415"/>
      <c r="R197" s="415"/>
      <c r="S197" s="415"/>
      <c r="T197" s="415"/>
      <c r="U197" s="415"/>
      <c r="V197" s="415"/>
      <c r="W197" s="415"/>
      <c r="X197" s="415"/>
      <c r="Y197" s="415"/>
      <c r="Z197" s="415"/>
      <c r="AA197" s="415"/>
      <c r="AB197" s="415"/>
      <c r="AC197" s="415"/>
      <c r="AD197" s="415"/>
      <c r="AE197" s="415"/>
      <c r="AF197" s="415"/>
      <c r="AG197" s="415"/>
      <c r="AH197" s="415"/>
      <c r="AI197" s="415"/>
      <c r="AJ197" s="415"/>
      <c r="AK197" s="415"/>
      <c r="AL197" s="415"/>
      <c r="AM197" s="415"/>
      <c r="AN197" s="415"/>
      <c r="AO197" s="415"/>
      <c r="AP197" s="415"/>
    </row>
    <row r="198" spans="17:42" s="357" customFormat="1" x14ac:dyDescent="0.25">
      <c r="Q198" s="415"/>
      <c r="R198" s="415"/>
      <c r="S198" s="415"/>
      <c r="T198" s="415"/>
      <c r="U198" s="415"/>
      <c r="V198" s="415"/>
      <c r="W198" s="415"/>
      <c r="X198" s="415"/>
      <c r="Y198" s="415"/>
      <c r="Z198" s="415"/>
      <c r="AA198" s="415"/>
      <c r="AB198" s="415"/>
      <c r="AC198" s="415"/>
      <c r="AD198" s="415"/>
      <c r="AE198" s="415"/>
      <c r="AF198" s="415"/>
      <c r="AG198" s="415"/>
      <c r="AH198" s="415"/>
      <c r="AI198" s="415"/>
      <c r="AJ198" s="415"/>
      <c r="AK198" s="415"/>
      <c r="AL198" s="415"/>
      <c r="AM198" s="415"/>
      <c r="AN198" s="415"/>
      <c r="AO198" s="415"/>
      <c r="AP198" s="415"/>
    </row>
    <row r="199" spans="17:42" s="357" customFormat="1" x14ac:dyDescent="0.25">
      <c r="Q199" s="415"/>
      <c r="R199" s="415"/>
      <c r="S199" s="415"/>
      <c r="T199" s="415"/>
      <c r="U199" s="415"/>
      <c r="V199" s="415"/>
      <c r="W199" s="415"/>
      <c r="X199" s="415"/>
      <c r="Y199" s="415"/>
      <c r="Z199" s="415"/>
      <c r="AA199" s="415"/>
      <c r="AB199" s="415"/>
      <c r="AC199" s="415"/>
      <c r="AD199" s="415"/>
      <c r="AE199" s="415"/>
      <c r="AF199" s="415"/>
      <c r="AG199" s="415"/>
      <c r="AH199" s="415"/>
      <c r="AI199" s="415"/>
      <c r="AJ199" s="415"/>
      <c r="AK199" s="415"/>
      <c r="AL199" s="415"/>
      <c r="AM199" s="415"/>
      <c r="AN199" s="415"/>
      <c r="AO199" s="415"/>
      <c r="AP199" s="415"/>
    </row>
    <row r="200" spans="17:42" s="357" customFormat="1" x14ac:dyDescent="0.25">
      <c r="Q200" s="415"/>
      <c r="R200" s="415"/>
      <c r="S200" s="415"/>
      <c r="T200" s="415"/>
      <c r="U200" s="415"/>
      <c r="V200" s="415"/>
      <c r="W200" s="415"/>
      <c r="X200" s="415"/>
      <c r="Y200" s="415"/>
      <c r="Z200" s="415"/>
      <c r="AA200" s="415"/>
      <c r="AB200" s="415"/>
      <c r="AC200" s="415"/>
      <c r="AD200" s="415"/>
      <c r="AE200" s="415"/>
      <c r="AF200" s="415"/>
      <c r="AG200" s="415"/>
      <c r="AH200" s="415"/>
      <c r="AI200" s="415"/>
      <c r="AJ200" s="415"/>
      <c r="AK200" s="415"/>
      <c r="AL200" s="415"/>
      <c r="AM200" s="415"/>
      <c r="AN200" s="415"/>
      <c r="AO200" s="415"/>
      <c r="AP200" s="415"/>
    </row>
    <row r="201" spans="17:42" s="357" customFormat="1" x14ac:dyDescent="0.25">
      <c r="Q201" s="415"/>
      <c r="R201" s="415"/>
      <c r="S201" s="415"/>
      <c r="T201" s="415"/>
      <c r="U201" s="415"/>
      <c r="V201" s="415"/>
      <c r="W201" s="415"/>
      <c r="X201" s="415"/>
      <c r="Y201" s="415"/>
      <c r="Z201" s="415"/>
      <c r="AA201" s="415"/>
      <c r="AB201" s="415"/>
      <c r="AC201" s="415"/>
      <c r="AD201" s="415"/>
      <c r="AE201" s="415"/>
      <c r="AF201" s="415"/>
      <c r="AG201" s="415"/>
      <c r="AH201" s="415"/>
      <c r="AI201" s="415"/>
      <c r="AJ201" s="415"/>
      <c r="AK201" s="415"/>
      <c r="AL201" s="415"/>
      <c r="AM201" s="415"/>
      <c r="AN201" s="415"/>
      <c r="AO201" s="415"/>
      <c r="AP201" s="415"/>
    </row>
    <row r="202" spans="17:42" s="357" customFormat="1" x14ac:dyDescent="0.25">
      <c r="Q202" s="415"/>
      <c r="R202" s="415"/>
      <c r="S202" s="415"/>
      <c r="T202" s="415"/>
      <c r="U202" s="415"/>
      <c r="V202" s="415"/>
      <c r="W202" s="415"/>
      <c r="X202" s="415"/>
      <c r="Y202" s="415"/>
      <c r="Z202" s="415"/>
      <c r="AA202" s="415"/>
      <c r="AB202" s="415"/>
      <c r="AC202" s="415"/>
      <c r="AD202" s="415"/>
      <c r="AE202" s="415"/>
      <c r="AF202" s="415"/>
      <c r="AG202" s="415"/>
      <c r="AH202" s="415"/>
      <c r="AI202" s="415"/>
      <c r="AJ202" s="415"/>
      <c r="AK202" s="415"/>
      <c r="AL202" s="415"/>
      <c r="AM202" s="415"/>
      <c r="AN202" s="415"/>
      <c r="AO202" s="415"/>
      <c r="AP202" s="415"/>
    </row>
    <row r="203" spans="17:42" s="357" customFormat="1" x14ac:dyDescent="0.25">
      <c r="Q203" s="415"/>
      <c r="R203" s="415"/>
      <c r="S203" s="415"/>
      <c r="T203" s="415"/>
      <c r="U203" s="415"/>
      <c r="V203" s="415"/>
      <c r="W203" s="415"/>
      <c r="X203" s="415"/>
      <c r="Y203" s="415"/>
      <c r="Z203" s="415"/>
      <c r="AA203" s="415"/>
      <c r="AB203" s="415"/>
      <c r="AC203" s="415"/>
      <c r="AD203" s="415"/>
      <c r="AE203" s="415"/>
      <c r="AF203" s="415"/>
      <c r="AG203" s="415"/>
      <c r="AH203" s="415"/>
      <c r="AI203" s="415"/>
      <c r="AJ203" s="415"/>
      <c r="AK203" s="415"/>
      <c r="AL203" s="415"/>
      <c r="AM203" s="415"/>
      <c r="AN203" s="415"/>
      <c r="AO203" s="415"/>
      <c r="AP203" s="415"/>
    </row>
    <row r="204" spans="17:42" s="357" customFormat="1" x14ac:dyDescent="0.25">
      <c r="Q204" s="415"/>
      <c r="R204" s="415"/>
      <c r="S204" s="415"/>
      <c r="T204" s="415"/>
      <c r="U204" s="415"/>
      <c r="V204" s="415"/>
      <c r="W204" s="415"/>
      <c r="X204" s="415"/>
      <c r="Y204" s="415"/>
      <c r="Z204" s="415"/>
      <c r="AA204" s="415"/>
      <c r="AB204" s="415"/>
      <c r="AC204" s="415"/>
      <c r="AD204" s="415"/>
      <c r="AE204" s="415"/>
      <c r="AF204" s="415"/>
      <c r="AG204" s="415"/>
      <c r="AH204" s="415"/>
      <c r="AI204" s="415"/>
      <c r="AJ204" s="415"/>
      <c r="AK204" s="415"/>
      <c r="AL204" s="415"/>
      <c r="AM204" s="415"/>
      <c r="AN204" s="415"/>
      <c r="AO204" s="415"/>
      <c r="AP204" s="415"/>
    </row>
    <row r="205" spans="17:42" s="357" customFormat="1" x14ac:dyDescent="0.25">
      <c r="Q205" s="415"/>
      <c r="R205" s="415"/>
      <c r="S205" s="415"/>
      <c r="T205" s="415"/>
      <c r="U205" s="415"/>
      <c r="V205" s="415"/>
      <c r="W205" s="415"/>
      <c r="X205" s="415"/>
      <c r="Y205" s="415"/>
      <c r="Z205" s="415"/>
      <c r="AA205" s="415"/>
      <c r="AB205" s="415"/>
      <c r="AC205" s="415"/>
      <c r="AD205" s="415"/>
      <c r="AE205" s="415"/>
      <c r="AF205" s="415"/>
      <c r="AG205" s="415"/>
      <c r="AH205" s="415"/>
      <c r="AI205" s="415"/>
      <c r="AJ205" s="415"/>
      <c r="AK205" s="415"/>
      <c r="AL205" s="415"/>
      <c r="AM205" s="415"/>
      <c r="AN205" s="415"/>
      <c r="AO205" s="415"/>
      <c r="AP205" s="415"/>
    </row>
    <row r="206" spans="17:42" s="357" customFormat="1" x14ac:dyDescent="0.25">
      <c r="Q206" s="415"/>
      <c r="R206" s="415"/>
      <c r="S206" s="415"/>
      <c r="T206" s="415"/>
      <c r="U206" s="415"/>
      <c r="V206" s="415"/>
      <c r="W206" s="415"/>
      <c r="X206" s="415"/>
      <c r="Y206" s="415"/>
      <c r="Z206" s="415"/>
      <c r="AA206" s="415"/>
      <c r="AB206" s="415"/>
      <c r="AC206" s="415"/>
      <c r="AD206" s="415"/>
      <c r="AE206" s="415"/>
      <c r="AF206" s="415"/>
      <c r="AG206" s="415"/>
      <c r="AH206" s="415"/>
      <c r="AI206" s="415"/>
      <c r="AJ206" s="415"/>
      <c r="AK206" s="415"/>
      <c r="AL206" s="415"/>
      <c r="AM206" s="415"/>
      <c r="AN206" s="415"/>
      <c r="AO206" s="415"/>
      <c r="AP206" s="415"/>
    </row>
    <row r="207" spans="17:42" s="357" customFormat="1" x14ac:dyDescent="0.25">
      <c r="Q207" s="415"/>
      <c r="R207" s="415"/>
      <c r="S207" s="415"/>
      <c r="T207" s="415"/>
      <c r="U207" s="415"/>
      <c r="V207" s="415"/>
      <c r="W207" s="415"/>
      <c r="X207" s="415"/>
      <c r="Y207" s="415"/>
      <c r="Z207" s="415"/>
      <c r="AA207" s="415"/>
      <c r="AB207" s="415"/>
      <c r="AC207" s="415"/>
      <c r="AD207" s="415"/>
      <c r="AE207" s="415"/>
      <c r="AF207" s="415"/>
      <c r="AG207" s="415"/>
      <c r="AH207" s="415"/>
      <c r="AI207" s="415"/>
      <c r="AJ207" s="415"/>
      <c r="AK207" s="415"/>
      <c r="AL207" s="415"/>
      <c r="AM207" s="415"/>
      <c r="AN207" s="415"/>
      <c r="AO207" s="415"/>
      <c r="AP207" s="415"/>
    </row>
    <row r="208" spans="17:42" s="357" customFormat="1" x14ac:dyDescent="0.25">
      <c r="Q208" s="415"/>
      <c r="R208" s="415"/>
      <c r="S208" s="415"/>
      <c r="T208" s="415"/>
      <c r="U208" s="415"/>
      <c r="V208" s="415"/>
      <c r="W208" s="415"/>
      <c r="X208" s="415"/>
      <c r="Y208" s="415"/>
      <c r="Z208" s="415"/>
      <c r="AA208" s="415"/>
      <c r="AB208" s="415"/>
      <c r="AC208" s="415"/>
      <c r="AD208" s="415"/>
      <c r="AE208" s="415"/>
      <c r="AF208" s="415"/>
      <c r="AG208" s="415"/>
      <c r="AH208" s="415"/>
      <c r="AI208" s="415"/>
      <c r="AJ208" s="415"/>
      <c r="AK208" s="415"/>
      <c r="AL208" s="415"/>
      <c r="AM208" s="415"/>
      <c r="AN208" s="415"/>
      <c r="AO208" s="415"/>
      <c r="AP208" s="415"/>
    </row>
    <row r="209" spans="17:42" s="357" customFormat="1" x14ac:dyDescent="0.25">
      <c r="Q209" s="415"/>
      <c r="R209" s="415"/>
      <c r="S209" s="415"/>
      <c r="T209" s="415"/>
      <c r="U209" s="415"/>
      <c r="V209" s="415"/>
      <c r="W209" s="415"/>
      <c r="X209" s="415"/>
      <c r="Y209" s="415"/>
      <c r="Z209" s="415"/>
      <c r="AA209" s="415"/>
      <c r="AB209" s="415"/>
      <c r="AC209" s="415"/>
      <c r="AD209" s="415"/>
      <c r="AE209" s="415"/>
      <c r="AF209" s="415"/>
      <c r="AG209" s="415"/>
      <c r="AH209" s="415"/>
      <c r="AI209" s="415"/>
      <c r="AJ209" s="415"/>
      <c r="AK209" s="415"/>
      <c r="AL209" s="415"/>
      <c r="AM209" s="415"/>
      <c r="AN209" s="415"/>
      <c r="AO209" s="415"/>
      <c r="AP209" s="415"/>
    </row>
    <row r="210" spans="17:42" s="357" customFormat="1" x14ac:dyDescent="0.25">
      <c r="Q210" s="415"/>
      <c r="R210" s="415"/>
      <c r="S210" s="415"/>
      <c r="T210" s="415"/>
      <c r="U210" s="415"/>
      <c r="V210" s="415"/>
      <c r="W210" s="415"/>
      <c r="X210" s="415"/>
      <c r="Y210" s="415"/>
      <c r="Z210" s="415"/>
      <c r="AA210" s="415"/>
      <c r="AB210" s="415"/>
      <c r="AC210" s="415"/>
      <c r="AD210" s="415"/>
      <c r="AE210" s="415"/>
      <c r="AF210" s="415"/>
      <c r="AG210" s="415"/>
      <c r="AH210" s="415"/>
      <c r="AI210" s="415"/>
      <c r="AJ210" s="415"/>
      <c r="AK210" s="415"/>
      <c r="AL210" s="415"/>
      <c r="AM210" s="415"/>
      <c r="AN210" s="415"/>
      <c r="AO210" s="415"/>
      <c r="AP210" s="415"/>
    </row>
    <row r="211" spans="17:42" s="357" customFormat="1" x14ac:dyDescent="0.25">
      <c r="Q211" s="415"/>
      <c r="R211" s="415"/>
      <c r="S211" s="415"/>
      <c r="T211" s="415"/>
      <c r="U211" s="415"/>
      <c r="V211" s="415"/>
      <c r="W211" s="415"/>
      <c r="X211" s="415"/>
      <c r="Y211" s="415"/>
      <c r="Z211" s="415"/>
      <c r="AA211" s="415"/>
      <c r="AB211" s="415"/>
      <c r="AC211" s="415"/>
      <c r="AD211" s="415"/>
      <c r="AE211" s="415"/>
      <c r="AF211" s="415"/>
      <c r="AG211" s="415"/>
      <c r="AH211" s="415"/>
      <c r="AI211" s="415"/>
      <c r="AJ211" s="415"/>
      <c r="AK211" s="415"/>
      <c r="AL211" s="415"/>
      <c r="AM211" s="415"/>
      <c r="AN211" s="415"/>
      <c r="AO211" s="415"/>
      <c r="AP211" s="415"/>
    </row>
    <row r="212" spans="17:42" s="357" customFormat="1" x14ac:dyDescent="0.25">
      <c r="Q212" s="415"/>
      <c r="R212" s="415"/>
      <c r="S212" s="415"/>
      <c r="T212" s="415"/>
      <c r="U212" s="415"/>
      <c r="V212" s="415"/>
      <c r="W212" s="415"/>
      <c r="X212" s="415"/>
      <c r="Y212" s="415"/>
      <c r="Z212" s="415"/>
      <c r="AA212" s="415"/>
      <c r="AB212" s="415"/>
      <c r="AC212" s="415"/>
      <c r="AD212" s="415"/>
      <c r="AE212" s="415"/>
      <c r="AF212" s="415"/>
      <c r="AG212" s="415"/>
      <c r="AH212" s="415"/>
      <c r="AI212" s="415"/>
      <c r="AJ212" s="415"/>
      <c r="AK212" s="415"/>
      <c r="AL212" s="415"/>
      <c r="AM212" s="415"/>
      <c r="AN212" s="415"/>
      <c r="AO212" s="415"/>
      <c r="AP212" s="415"/>
    </row>
    <row r="213" spans="17:42" s="357" customFormat="1" x14ac:dyDescent="0.25">
      <c r="Q213" s="415"/>
      <c r="R213" s="415"/>
      <c r="S213" s="415"/>
      <c r="T213" s="415"/>
      <c r="U213" s="415"/>
      <c r="V213" s="415"/>
      <c r="W213" s="415"/>
      <c r="X213" s="415"/>
      <c r="Y213" s="415"/>
      <c r="Z213" s="415"/>
      <c r="AA213" s="415"/>
      <c r="AB213" s="415"/>
      <c r="AC213" s="415"/>
      <c r="AD213" s="415"/>
      <c r="AE213" s="415"/>
      <c r="AF213" s="415"/>
      <c r="AG213" s="415"/>
      <c r="AH213" s="415"/>
      <c r="AI213" s="415"/>
      <c r="AJ213" s="415"/>
      <c r="AK213" s="415"/>
      <c r="AL213" s="415"/>
      <c r="AM213" s="415"/>
      <c r="AN213" s="415"/>
      <c r="AO213" s="415"/>
      <c r="AP213" s="415"/>
    </row>
    <row r="214" spans="17:42" s="357" customFormat="1" x14ac:dyDescent="0.25">
      <c r="Q214" s="415"/>
      <c r="R214" s="415"/>
      <c r="S214" s="415"/>
      <c r="T214" s="415"/>
      <c r="U214" s="415"/>
      <c r="V214" s="415"/>
      <c r="W214" s="415"/>
      <c r="X214" s="415"/>
      <c r="Y214" s="415"/>
      <c r="Z214" s="415"/>
      <c r="AA214" s="415"/>
      <c r="AB214" s="415"/>
      <c r="AC214" s="415"/>
      <c r="AD214" s="415"/>
      <c r="AE214" s="415"/>
      <c r="AF214" s="415"/>
      <c r="AG214" s="415"/>
      <c r="AH214" s="415"/>
      <c r="AI214" s="415"/>
      <c r="AJ214" s="415"/>
      <c r="AK214" s="415"/>
      <c r="AL214" s="415"/>
      <c r="AM214" s="415"/>
      <c r="AN214" s="415"/>
      <c r="AO214" s="415"/>
      <c r="AP214" s="415"/>
    </row>
    <row r="215" spans="17:42" s="357" customFormat="1" x14ac:dyDescent="0.25">
      <c r="Q215" s="415"/>
      <c r="R215" s="415"/>
      <c r="S215" s="415"/>
      <c r="T215" s="415"/>
      <c r="U215" s="415"/>
      <c r="V215" s="415"/>
      <c r="W215" s="415"/>
      <c r="X215" s="415"/>
      <c r="Y215" s="415"/>
      <c r="Z215" s="415"/>
      <c r="AA215" s="415"/>
      <c r="AB215" s="415"/>
      <c r="AC215" s="415"/>
      <c r="AD215" s="415"/>
      <c r="AE215" s="415"/>
      <c r="AF215" s="415"/>
      <c r="AG215" s="415"/>
      <c r="AH215" s="415"/>
      <c r="AI215" s="415"/>
      <c r="AJ215" s="415"/>
      <c r="AK215" s="415"/>
      <c r="AL215" s="415"/>
      <c r="AM215" s="415"/>
      <c r="AN215" s="415"/>
      <c r="AO215" s="415"/>
      <c r="AP215" s="415"/>
    </row>
    <row r="216" spans="17:42" s="357" customFormat="1" x14ac:dyDescent="0.25">
      <c r="Q216" s="415"/>
      <c r="R216" s="415"/>
      <c r="S216" s="415"/>
      <c r="T216" s="415"/>
      <c r="U216" s="415"/>
      <c r="V216" s="415"/>
      <c r="W216" s="415"/>
      <c r="X216" s="415"/>
      <c r="Y216" s="415"/>
      <c r="Z216" s="415"/>
      <c r="AA216" s="415"/>
      <c r="AB216" s="415"/>
      <c r="AC216" s="415"/>
      <c r="AD216" s="415"/>
      <c r="AE216" s="415"/>
      <c r="AF216" s="415"/>
      <c r="AG216" s="415"/>
      <c r="AH216" s="415"/>
      <c r="AI216" s="415"/>
      <c r="AJ216" s="415"/>
      <c r="AK216" s="415"/>
      <c r="AL216" s="415"/>
      <c r="AM216" s="415"/>
      <c r="AN216" s="415"/>
      <c r="AO216" s="415"/>
      <c r="AP216" s="415"/>
    </row>
    <row r="217" spans="17:42" s="357" customFormat="1" x14ac:dyDescent="0.25">
      <c r="Q217" s="415"/>
      <c r="R217" s="415"/>
      <c r="S217" s="415"/>
      <c r="T217" s="415"/>
      <c r="U217" s="415"/>
      <c r="V217" s="415"/>
      <c r="W217" s="415"/>
      <c r="X217" s="415"/>
      <c r="Y217" s="415"/>
      <c r="Z217" s="415"/>
      <c r="AA217" s="415"/>
      <c r="AB217" s="415"/>
      <c r="AC217" s="415"/>
      <c r="AD217" s="415"/>
      <c r="AE217" s="415"/>
      <c r="AF217" s="415"/>
      <c r="AG217" s="415"/>
      <c r="AH217" s="415"/>
      <c r="AI217" s="415"/>
      <c r="AJ217" s="415"/>
      <c r="AK217" s="415"/>
      <c r="AL217" s="415"/>
      <c r="AM217" s="415"/>
      <c r="AN217" s="415"/>
      <c r="AO217" s="415"/>
      <c r="AP217" s="415"/>
    </row>
    <row r="218" spans="17:42" s="357" customFormat="1" x14ac:dyDescent="0.25">
      <c r="Q218" s="415"/>
      <c r="R218" s="415"/>
      <c r="S218" s="415"/>
      <c r="T218" s="415"/>
      <c r="U218" s="415"/>
      <c r="V218" s="415"/>
      <c r="W218" s="415"/>
      <c r="X218" s="415"/>
      <c r="Y218" s="415"/>
      <c r="Z218" s="415"/>
      <c r="AA218" s="415"/>
      <c r="AB218" s="415"/>
      <c r="AC218" s="415"/>
      <c r="AD218" s="415"/>
      <c r="AE218" s="415"/>
      <c r="AF218" s="415"/>
      <c r="AG218" s="415"/>
      <c r="AH218" s="415"/>
      <c r="AI218" s="415"/>
      <c r="AJ218" s="415"/>
      <c r="AK218" s="415"/>
      <c r="AL218" s="415"/>
      <c r="AM218" s="415"/>
      <c r="AN218" s="415"/>
      <c r="AO218" s="415"/>
      <c r="AP218" s="415"/>
    </row>
    <row r="219" spans="17:42" s="357" customFormat="1" x14ac:dyDescent="0.25">
      <c r="Q219" s="415"/>
      <c r="R219" s="415"/>
      <c r="S219" s="415"/>
      <c r="T219" s="415"/>
      <c r="U219" s="415"/>
      <c r="V219" s="415"/>
      <c r="W219" s="415"/>
      <c r="X219" s="415"/>
      <c r="Y219" s="415"/>
      <c r="Z219" s="415"/>
      <c r="AA219" s="415"/>
      <c r="AB219" s="415"/>
      <c r="AC219" s="415"/>
      <c r="AD219" s="415"/>
      <c r="AE219" s="415"/>
      <c r="AF219" s="415"/>
      <c r="AG219" s="415"/>
      <c r="AH219" s="415"/>
      <c r="AI219" s="415"/>
      <c r="AJ219" s="415"/>
      <c r="AK219" s="415"/>
      <c r="AL219" s="415"/>
      <c r="AM219" s="415"/>
      <c r="AN219" s="415"/>
      <c r="AO219" s="415"/>
      <c r="AP219" s="415"/>
    </row>
    <row r="220" spans="17:42" s="357" customFormat="1" x14ac:dyDescent="0.25">
      <c r="Q220" s="415"/>
      <c r="R220" s="415"/>
      <c r="S220" s="415"/>
      <c r="T220" s="415"/>
      <c r="U220" s="415"/>
      <c r="V220" s="415"/>
      <c r="W220" s="415"/>
      <c r="X220" s="415"/>
      <c r="Y220" s="415"/>
      <c r="Z220" s="415"/>
      <c r="AA220" s="415"/>
      <c r="AB220" s="415"/>
      <c r="AC220" s="415"/>
      <c r="AD220" s="415"/>
      <c r="AE220" s="415"/>
      <c r="AF220" s="415"/>
      <c r="AG220" s="415"/>
      <c r="AH220" s="415"/>
      <c r="AI220" s="415"/>
      <c r="AJ220" s="415"/>
      <c r="AK220" s="415"/>
      <c r="AL220" s="415"/>
      <c r="AM220" s="415"/>
      <c r="AN220" s="415"/>
      <c r="AO220" s="415"/>
      <c r="AP220" s="415"/>
    </row>
    <row r="221" spans="17:42" s="357" customFormat="1" x14ac:dyDescent="0.25">
      <c r="Q221" s="415"/>
      <c r="R221" s="415"/>
      <c r="S221" s="415"/>
      <c r="T221" s="415"/>
      <c r="U221" s="415"/>
      <c r="V221" s="415"/>
      <c r="W221" s="415"/>
      <c r="X221" s="415"/>
      <c r="Y221" s="415"/>
      <c r="Z221" s="415"/>
      <c r="AA221" s="415"/>
      <c r="AB221" s="415"/>
      <c r="AC221" s="415"/>
      <c r="AD221" s="415"/>
      <c r="AE221" s="415"/>
      <c r="AF221" s="415"/>
      <c r="AG221" s="415"/>
      <c r="AH221" s="415"/>
      <c r="AI221" s="415"/>
      <c r="AJ221" s="415"/>
      <c r="AK221" s="415"/>
      <c r="AL221" s="415"/>
      <c r="AM221" s="415"/>
      <c r="AN221" s="415"/>
      <c r="AO221" s="415"/>
      <c r="AP221" s="415"/>
    </row>
    <row r="222" spans="17:42" s="357" customFormat="1" x14ac:dyDescent="0.25">
      <c r="Q222" s="415"/>
      <c r="R222" s="415"/>
      <c r="S222" s="415"/>
      <c r="T222" s="415"/>
      <c r="U222" s="415"/>
      <c r="V222" s="415"/>
      <c r="W222" s="415"/>
      <c r="X222" s="415"/>
      <c r="Y222" s="415"/>
      <c r="Z222" s="415"/>
      <c r="AA222" s="415"/>
      <c r="AB222" s="415"/>
      <c r="AC222" s="415"/>
      <c r="AD222" s="415"/>
      <c r="AE222" s="415"/>
      <c r="AF222" s="415"/>
      <c r="AG222" s="415"/>
      <c r="AH222" s="415"/>
      <c r="AI222" s="415"/>
      <c r="AJ222" s="415"/>
      <c r="AK222" s="415"/>
      <c r="AL222" s="415"/>
      <c r="AM222" s="415"/>
      <c r="AN222" s="415"/>
      <c r="AO222" s="415"/>
      <c r="AP222" s="415"/>
    </row>
    <row r="223" spans="17:42" s="357" customFormat="1" x14ac:dyDescent="0.25">
      <c r="Q223" s="415"/>
      <c r="R223" s="415"/>
      <c r="S223" s="415"/>
      <c r="T223" s="415"/>
      <c r="U223" s="415"/>
      <c r="V223" s="415"/>
      <c r="W223" s="415"/>
      <c r="X223" s="415"/>
      <c r="Y223" s="415"/>
      <c r="Z223" s="415"/>
      <c r="AA223" s="415"/>
      <c r="AB223" s="415"/>
      <c r="AC223" s="415"/>
      <c r="AD223" s="415"/>
      <c r="AE223" s="415"/>
      <c r="AF223" s="415"/>
      <c r="AG223" s="415"/>
      <c r="AH223" s="415"/>
      <c r="AI223" s="415"/>
      <c r="AJ223" s="415"/>
      <c r="AK223" s="415"/>
      <c r="AL223" s="415"/>
      <c r="AM223" s="415"/>
      <c r="AN223" s="415"/>
      <c r="AO223" s="415"/>
      <c r="AP223" s="415"/>
    </row>
    <row r="224" spans="17:42" s="357" customFormat="1" x14ac:dyDescent="0.25">
      <c r="Q224" s="415"/>
      <c r="R224" s="415"/>
      <c r="S224" s="415"/>
      <c r="T224" s="415"/>
      <c r="U224" s="415"/>
      <c r="V224" s="415"/>
      <c r="W224" s="415"/>
      <c r="X224" s="415"/>
      <c r="Y224" s="415"/>
      <c r="Z224" s="415"/>
      <c r="AA224" s="415"/>
      <c r="AB224" s="415"/>
      <c r="AC224" s="415"/>
      <c r="AD224" s="415"/>
      <c r="AE224" s="415"/>
      <c r="AF224" s="415"/>
      <c r="AG224" s="415"/>
      <c r="AH224" s="415"/>
      <c r="AI224" s="415"/>
      <c r="AJ224" s="415"/>
      <c r="AK224" s="415"/>
      <c r="AL224" s="415"/>
      <c r="AM224" s="415"/>
      <c r="AN224" s="415"/>
      <c r="AO224" s="415"/>
      <c r="AP224" s="415"/>
    </row>
    <row r="225" spans="17:42" s="357" customFormat="1" x14ac:dyDescent="0.25">
      <c r="Q225" s="415"/>
      <c r="R225" s="415"/>
      <c r="S225" s="415"/>
      <c r="T225" s="415"/>
      <c r="U225" s="415"/>
      <c r="V225" s="415"/>
      <c r="W225" s="415"/>
      <c r="X225" s="415"/>
      <c r="Y225" s="415"/>
      <c r="Z225" s="415"/>
      <c r="AA225" s="415"/>
      <c r="AB225" s="415"/>
      <c r="AC225" s="415"/>
      <c r="AD225" s="415"/>
      <c r="AE225" s="415"/>
      <c r="AF225" s="415"/>
      <c r="AG225" s="415"/>
      <c r="AH225" s="415"/>
      <c r="AI225" s="415"/>
      <c r="AJ225" s="415"/>
      <c r="AK225" s="415"/>
      <c r="AL225" s="415"/>
      <c r="AM225" s="415"/>
      <c r="AN225" s="415"/>
      <c r="AO225" s="415"/>
      <c r="AP225" s="415"/>
    </row>
    <row r="226" spans="17:42" s="357" customFormat="1" x14ac:dyDescent="0.25">
      <c r="Q226" s="415"/>
      <c r="R226" s="415"/>
      <c r="S226" s="415"/>
      <c r="T226" s="415"/>
      <c r="U226" s="415"/>
      <c r="V226" s="415"/>
      <c r="W226" s="415"/>
      <c r="X226" s="415"/>
      <c r="Y226" s="415"/>
      <c r="Z226" s="415"/>
      <c r="AA226" s="415"/>
      <c r="AB226" s="415"/>
      <c r="AC226" s="415"/>
      <c r="AD226" s="415"/>
      <c r="AE226" s="415"/>
      <c r="AF226" s="415"/>
      <c r="AG226" s="415"/>
      <c r="AH226" s="415"/>
      <c r="AI226" s="415"/>
      <c r="AJ226" s="415"/>
      <c r="AK226" s="415"/>
      <c r="AL226" s="415"/>
      <c r="AM226" s="415"/>
      <c r="AN226" s="415"/>
      <c r="AO226" s="415"/>
      <c r="AP226" s="415"/>
    </row>
    <row r="227" spans="17:42" s="357" customFormat="1" x14ac:dyDescent="0.25">
      <c r="Q227" s="415"/>
      <c r="R227" s="415"/>
      <c r="S227" s="415"/>
      <c r="T227" s="415"/>
      <c r="U227" s="415"/>
      <c r="V227" s="415"/>
      <c r="W227" s="415"/>
      <c r="X227" s="415"/>
      <c r="Y227" s="415"/>
      <c r="Z227" s="415"/>
      <c r="AA227" s="415"/>
      <c r="AB227" s="415"/>
      <c r="AC227" s="415"/>
      <c r="AD227" s="415"/>
      <c r="AE227" s="415"/>
      <c r="AF227" s="415"/>
      <c r="AG227" s="415"/>
      <c r="AH227" s="415"/>
      <c r="AI227" s="415"/>
      <c r="AJ227" s="415"/>
      <c r="AK227" s="415"/>
      <c r="AL227" s="415"/>
      <c r="AM227" s="415"/>
      <c r="AN227" s="415"/>
      <c r="AO227" s="415"/>
      <c r="AP227" s="415"/>
    </row>
    <row r="228" spans="17:42" s="357" customFormat="1" x14ac:dyDescent="0.25">
      <c r="Q228" s="415"/>
      <c r="R228" s="415"/>
      <c r="S228" s="415"/>
      <c r="T228" s="415"/>
      <c r="U228" s="415"/>
      <c r="V228" s="415"/>
      <c r="W228" s="415"/>
      <c r="X228" s="415"/>
      <c r="Y228" s="415"/>
      <c r="Z228" s="415"/>
      <c r="AA228" s="415"/>
      <c r="AB228" s="415"/>
      <c r="AC228" s="415"/>
      <c r="AD228" s="415"/>
      <c r="AE228" s="415"/>
      <c r="AF228" s="415"/>
      <c r="AG228" s="415"/>
      <c r="AH228" s="415"/>
      <c r="AI228" s="415"/>
      <c r="AJ228" s="415"/>
      <c r="AK228" s="415"/>
      <c r="AL228" s="415"/>
      <c r="AM228" s="415"/>
      <c r="AN228" s="415"/>
      <c r="AO228" s="415"/>
      <c r="AP228" s="415"/>
    </row>
    <row r="229" spans="17:42" s="357" customFormat="1" x14ac:dyDescent="0.25">
      <c r="Q229" s="415"/>
      <c r="R229" s="415"/>
      <c r="S229" s="415"/>
      <c r="T229" s="415"/>
      <c r="U229" s="415"/>
      <c r="V229" s="415"/>
      <c r="W229" s="415"/>
      <c r="X229" s="415"/>
      <c r="Y229" s="415"/>
      <c r="Z229" s="415"/>
      <c r="AA229" s="415"/>
      <c r="AB229" s="415"/>
      <c r="AC229" s="415"/>
      <c r="AD229" s="415"/>
      <c r="AE229" s="415"/>
      <c r="AF229" s="415"/>
      <c r="AG229" s="415"/>
      <c r="AH229" s="415"/>
      <c r="AI229" s="415"/>
      <c r="AJ229" s="415"/>
      <c r="AK229" s="415"/>
      <c r="AL229" s="415"/>
      <c r="AM229" s="415"/>
      <c r="AN229" s="415"/>
      <c r="AO229" s="415"/>
      <c r="AP229" s="415"/>
    </row>
    <row r="230" spans="17:42" s="357" customFormat="1" x14ac:dyDescent="0.25">
      <c r="Q230" s="415"/>
      <c r="R230" s="415"/>
      <c r="S230" s="415"/>
      <c r="T230" s="415"/>
      <c r="U230" s="415"/>
      <c r="V230" s="415"/>
      <c r="W230" s="415"/>
      <c r="X230" s="415"/>
      <c r="Y230" s="415"/>
      <c r="Z230" s="415"/>
      <c r="AA230" s="415"/>
      <c r="AB230" s="415"/>
      <c r="AC230" s="415"/>
      <c r="AD230" s="415"/>
      <c r="AE230" s="415"/>
      <c r="AF230" s="415"/>
      <c r="AG230" s="415"/>
      <c r="AH230" s="415"/>
      <c r="AI230" s="415"/>
      <c r="AJ230" s="415"/>
      <c r="AK230" s="415"/>
      <c r="AL230" s="415"/>
      <c r="AM230" s="415"/>
      <c r="AN230" s="415"/>
      <c r="AO230" s="415"/>
      <c r="AP230" s="415"/>
    </row>
    <row r="231" spans="17:42" s="357" customFormat="1" x14ac:dyDescent="0.25">
      <c r="Q231" s="415"/>
      <c r="R231" s="415"/>
      <c r="S231" s="415"/>
      <c r="T231" s="415"/>
      <c r="U231" s="415"/>
      <c r="V231" s="415"/>
      <c r="W231" s="415"/>
      <c r="X231" s="415"/>
      <c r="Y231" s="415"/>
      <c r="Z231" s="415"/>
      <c r="AA231" s="415"/>
      <c r="AB231" s="415"/>
      <c r="AC231" s="415"/>
      <c r="AD231" s="415"/>
      <c r="AE231" s="415"/>
      <c r="AF231" s="415"/>
      <c r="AG231" s="415"/>
      <c r="AH231" s="415"/>
      <c r="AI231" s="415"/>
      <c r="AJ231" s="415"/>
      <c r="AK231" s="415"/>
      <c r="AL231" s="415"/>
      <c r="AM231" s="415"/>
      <c r="AN231" s="415"/>
      <c r="AO231" s="415"/>
      <c r="AP231" s="415"/>
    </row>
    <row r="232" spans="17:42" s="357" customFormat="1" x14ac:dyDescent="0.25">
      <c r="Q232" s="415"/>
      <c r="R232" s="415"/>
      <c r="S232" s="415"/>
      <c r="T232" s="415"/>
      <c r="U232" s="415"/>
      <c r="V232" s="415"/>
      <c r="W232" s="415"/>
      <c r="X232" s="415"/>
      <c r="Y232" s="415"/>
      <c r="Z232" s="415"/>
      <c r="AA232" s="415"/>
      <c r="AB232" s="415"/>
      <c r="AC232" s="415"/>
      <c r="AD232" s="415"/>
      <c r="AE232" s="415"/>
      <c r="AF232" s="415"/>
      <c r="AG232" s="415"/>
      <c r="AH232" s="415"/>
      <c r="AI232" s="415"/>
      <c r="AJ232" s="415"/>
      <c r="AK232" s="415"/>
      <c r="AL232" s="415"/>
      <c r="AM232" s="415"/>
      <c r="AN232" s="415"/>
      <c r="AO232" s="415"/>
      <c r="AP232" s="415"/>
    </row>
    <row r="233" spans="17:42" s="357" customFormat="1" x14ac:dyDescent="0.25">
      <c r="Q233" s="415"/>
      <c r="R233" s="415"/>
      <c r="S233" s="415"/>
      <c r="T233" s="415"/>
      <c r="U233" s="415"/>
      <c r="V233" s="415"/>
      <c r="W233" s="415"/>
      <c r="X233" s="415"/>
      <c r="Y233" s="415"/>
      <c r="Z233" s="415"/>
      <c r="AA233" s="415"/>
      <c r="AB233" s="415"/>
      <c r="AC233" s="415"/>
      <c r="AD233" s="415"/>
      <c r="AE233" s="415"/>
      <c r="AF233" s="415"/>
      <c r="AG233" s="415"/>
      <c r="AH233" s="415"/>
      <c r="AI233" s="415"/>
      <c r="AJ233" s="415"/>
      <c r="AK233" s="415"/>
      <c r="AL233" s="415"/>
      <c r="AM233" s="415"/>
      <c r="AN233" s="415"/>
      <c r="AO233" s="415"/>
      <c r="AP233" s="415"/>
    </row>
    <row r="234" spans="17:42" s="357" customFormat="1" x14ac:dyDescent="0.25">
      <c r="Q234" s="415"/>
      <c r="R234" s="415"/>
      <c r="S234" s="415"/>
      <c r="T234" s="415"/>
      <c r="U234" s="415"/>
      <c r="V234" s="415"/>
      <c r="W234" s="415"/>
      <c r="X234" s="415"/>
      <c r="Y234" s="415"/>
      <c r="Z234" s="415"/>
      <c r="AA234" s="415"/>
      <c r="AB234" s="415"/>
      <c r="AC234" s="415"/>
      <c r="AD234" s="415"/>
      <c r="AE234" s="415"/>
      <c r="AF234" s="415"/>
      <c r="AG234" s="415"/>
      <c r="AH234" s="415"/>
      <c r="AI234" s="415"/>
      <c r="AJ234" s="415"/>
      <c r="AK234" s="415"/>
      <c r="AL234" s="415"/>
      <c r="AM234" s="415"/>
      <c r="AN234" s="415"/>
      <c r="AO234" s="415"/>
      <c r="AP234" s="415"/>
    </row>
    <row r="235" spans="17:42" s="357" customFormat="1" x14ac:dyDescent="0.25">
      <c r="Q235" s="415"/>
      <c r="R235" s="415"/>
      <c r="S235" s="415"/>
      <c r="T235" s="415"/>
      <c r="U235" s="415"/>
      <c r="V235" s="415"/>
      <c r="W235" s="415"/>
      <c r="X235" s="415"/>
      <c r="Y235" s="415"/>
      <c r="Z235" s="415"/>
      <c r="AA235" s="415"/>
      <c r="AB235" s="415"/>
      <c r="AC235" s="415"/>
      <c r="AD235" s="415"/>
      <c r="AE235" s="415"/>
      <c r="AF235" s="415"/>
      <c r="AG235" s="415"/>
      <c r="AH235" s="415"/>
      <c r="AI235" s="415"/>
      <c r="AJ235" s="415"/>
      <c r="AK235" s="415"/>
      <c r="AL235" s="415"/>
      <c r="AM235" s="415"/>
      <c r="AN235" s="415"/>
      <c r="AO235" s="415"/>
      <c r="AP235" s="415"/>
    </row>
    <row r="236" spans="17:42" s="357" customFormat="1" x14ac:dyDescent="0.25">
      <c r="Q236" s="415"/>
      <c r="R236" s="415"/>
      <c r="S236" s="415"/>
      <c r="T236" s="415"/>
      <c r="U236" s="415"/>
      <c r="V236" s="415"/>
      <c r="W236" s="415"/>
      <c r="X236" s="415"/>
      <c r="Y236" s="415"/>
      <c r="Z236" s="415"/>
      <c r="AA236" s="415"/>
      <c r="AB236" s="415"/>
      <c r="AC236" s="415"/>
      <c r="AD236" s="415"/>
      <c r="AE236" s="415"/>
      <c r="AF236" s="415"/>
      <c r="AG236" s="415"/>
      <c r="AH236" s="415"/>
      <c r="AI236" s="415"/>
      <c r="AJ236" s="415"/>
      <c r="AK236" s="415"/>
      <c r="AL236" s="415"/>
      <c r="AM236" s="415"/>
      <c r="AN236" s="415"/>
      <c r="AO236" s="415"/>
      <c r="AP236" s="415"/>
    </row>
    <row r="237" spans="17:42" s="357" customFormat="1" x14ac:dyDescent="0.25">
      <c r="Q237" s="415"/>
      <c r="R237" s="415"/>
      <c r="S237" s="415"/>
      <c r="T237" s="415"/>
      <c r="U237" s="415"/>
      <c r="V237" s="415"/>
      <c r="W237" s="415"/>
      <c r="X237" s="415"/>
      <c r="Y237" s="415"/>
      <c r="Z237" s="415"/>
      <c r="AA237" s="415"/>
      <c r="AB237" s="415"/>
      <c r="AC237" s="415"/>
      <c r="AD237" s="415"/>
      <c r="AE237" s="415"/>
      <c r="AF237" s="415"/>
      <c r="AG237" s="415"/>
      <c r="AH237" s="415"/>
      <c r="AI237" s="415"/>
      <c r="AJ237" s="415"/>
      <c r="AK237" s="415"/>
      <c r="AL237" s="415"/>
      <c r="AM237" s="415"/>
      <c r="AN237" s="415"/>
      <c r="AO237" s="415"/>
      <c r="AP237" s="415"/>
    </row>
    <row r="238" spans="17:42" s="357" customFormat="1" x14ac:dyDescent="0.25">
      <c r="Q238" s="415"/>
      <c r="R238" s="415"/>
      <c r="S238" s="415"/>
      <c r="T238" s="415"/>
      <c r="U238" s="415"/>
      <c r="V238" s="415"/>
      <c r="W238" s="415"/>
      <c r="X238" s="415"/>
      <c r="Y238" s="415"/>
      <c r="Z238" s="415"/>
      <c r="AA238" s="415"/>
      <c r="AB238" s="415"/>
      <c r="AC238" s="415"/>
      <c r="AD238" s="415"/>
      <c r="AE238" s="415"/>
      <c r="AF238" s="415"/>
      <c r="AG238" s="415"/>
      <c r="AH238" s="415"/>
      <c r="AI238" s="415"/>
      <c r="AJ238" s="415"/>
      <c r="AK238" s="415"/>
      <c r="AL238" s="415"/>
      <c r="AM238" s="415"/>
      <c r="AN238" s="415"/>
      <c r="AO238" s="415"/>
      <c r="AP238" s="415"/>
    </row>
    <row r="239" spans="17:42" s="357" customFormat="1" x14ac:dyDescent="0.25">
      <c r="Q239" s="415"/>
      <c r="R239" s="415"/>
      <c r="S239" s="415"/>
      <c r="T239" s="415"/>
      <c r="U239" s="415"/>
      <c r="V239" s="415"/>
      <c r="W239" s="415"/>
      <c r="X239" s="415"/>
      <c r="Y239" s="415"/>
      <c r="Z239" s="415"/>
      <c r="AA239" s="415"/>
      <c r="AB239" s="415"/>
      <c r="AC239" s="415"/>
      <c r="AD239" s="415"/>
      <c r="AE239" s="415"/>
      <c r="AF239" s="415"/>
      <c r="AG239" s="415"/>
      <c r="AH239" s="415"/>
      <c r="AI239" s="415"/>
      <c r="AJ239" s="415"/>
      <c r="AK239" s="415"/>
      <c r="AL239" s="415"/>
      <c r="AM239" s="415"/>
      <c r="AN239" s="415"/>
      <c r="AO239" s="415"/>
      <c r="AP239" s="415"/>
    </row>
    <row r="240" spans="17:42" s="357" customFormat="1" x14ac:dyDescent="0.25">
      <c r="Q240" s="415"/>
      <c r="R240" s="415"/>
      <c r="S240" s="415"/>
      <c r="T240" s="415"/>
      <c r="U240" s="415"/>
      <c r="V240" s="415"/>
      <c r="W240" s="415"/>
      <c r="X240" s="415"/>
      <c r="Y240" s="415"/>
      <c r="Z240" s="415"/>
      <c r="AA240" s="415"/>
      <c r="AB240" s="415"/>
      <c r="AC240" s="415"/>
      <c r="AD240" s="415"/>
      <c r="AE240" s="415"/>
      <c r="AF240" s="415"/>
      <c r="AG240" s="415"/>
      <c r="AH240" s="415"/>
      <c r="AI240" s="415"/>
      <c r="AJ240" s="415"/>
      <c r="AK240" s="415"/>
      <c r="AL240" s="415"/>
      <c r="AM240" s="415"/>
      <c r="AN240" s="415"/>
      <c r="AO240" s="415"/>
      <c r="AP240" s="415"/>
    </row>
    <row r="241" spans="17:42" s="357" customFormat="1" x14ac:dyDescent="0.25">
      <c r="Q241" s="415"/>
      <c r="R241" s="415"/>
      <c r="S241" s="415"/>
      <c r="T241" s="415"/>
      <c r="U241" s="415"/>
      <c r="V241" s="415"/>
      <c r="W241" s="415"/>
      <c r="X241" s="415"/>
      <c r="Y241" s="415"/>
      <c r="Z241" s="415"/>
      <c r="AA241" s="415"/>
      <c r="AB241" s="415"/>
      <c r="AC241" s="415"/>
      <c r="AD241" s="415"/>
      <c r="AE241" s="415"/>
      <c r="AF241" s="415"/>
      <c r="AG241" s="415"/>
      <c r="AH241" s="415"/>
      <c r="AI241" s="415"/>
      <c r="AJ241" s="415"/>
      <c r="AK241" s="415"/>
      <c r="AL241" s="415"/>
      <c r="AM241" s="415"/>
      <c r="AN241" s="415"/>
      <c r="AO241" s="415"/>
      <c r="AP241" s="415"/>
    </row>
    <row r="242" spans="17:42" s="357" customFormat="1" x14ac:dyDescent="0.25">
      <c r="Q242" s="415"/>
      <c r="R242" s="415"/>
      <c r="S242" s="415"/>
      <c r="T242" s="415"/>
      <c r="U242" s="415"/>
      <c r="V242" s="415"/>
      <c r="W242" s="415"/>
      <c r="X242" s="415"/>
      <c r="Y242" s="415"/>
      <c r="Z242" s="415"/>
      <c r="AA242" s="415"/>
      <c r="AB242" s="415"/>
      <c r="AC242" s="415"/>
      <c r="AD242" s="415"/>
      <c r="AE242" s="415"/>
      <c r="AF242" s="415"/>
      <c r="AG242" s="415"/>
      <c r="AH242" s="415"/>
      <c r="AI242" s="415"/>
      <c r="AJ242" s="415"/>
      <c r="AK242" s="415"/>
      <c r="AL242" s="415"/>
      <c r="AM242" s="415"/>
      <c r="AN242" s="415"/>
      <c r="AO242" s="415"/>
      <c r="AP242" s="415"/>
    </row>
    <row r="243" spans="17:42" s="357" customFormat="1" x14ac:dyDescent="0.25">
      <c r="Q243" s="415"/>
      <c r="R243" s="415"/>
      <c r="S243" s="415"/>
      <c r="T243" s="415"/>
      <c r="U243" s="415"/>
      <c r="V243" s="415"/>
      <c r="W243" s="415"/>
      <c r="X243" s="415"/>
      <c r="Y243" s="415"/>
      <c r="Z243" s="415"/>
      <c r="AA243" s="415"/>
      <c r="AB243" s="415"/>
      <c r="AC243" s="415"/>
      <c r="AD243" s="415"/>
      <c r="AE243" s="415"/>
      <c r="AF243" s="415"/>
      <c r="AG243" s="415"/>
      <c r="AH243" s="415"/>
      <c r="AI243" s="415"/>
      <c r="AJ243" s="415"/>
      <c r="AK243" s="415"/>
      <c r="AL243" s="415"/>
      <c r="AM243" s="415"/>
      <c r="AN243" s="415"/>
      <c r="AO243" s="415"/>
      <c r="AP243" s="415"/>
    </row>
    <row r="244" spans="17:42" s="357" customFormat="1" x14ac:dyDescent="0.25">
      <c r="Q244" s="415"/>
      <c r="R244" s="415"/>
      <c r="S244" s="415"/>
      <c r="T244" s="415"/>
      <c r="U244" s="415"/>
      <c r="V244" s="415"/>
      <c r="W244" s="415"/>
      <c r="X244" s="415"/>
      <c r="Y244" s="415"/>
      <c r="Z244" s="415"/>
      <c r="AA244" s="415"/>
      <c r="AB244" s="415"/>
      <c r="AC244" s="415"/>
      <c r="AD244" s="415"/>
      <c r="AE244" s="415"/>
      <c r="AF244" s="415"/>
      <c r="AG244" s="415"/>
      <c r="AH244" s="415"/>
      <c r="AI244" s="415"/>
      <c r="AJ244" s="415"/>
      <c r="AK244" s="415"/>
      <c r="AL244" s="415"/>
      <c r="AM244" s="415"/>
      <c r="AN244" s="415"/>
      <c r="AO244" s="415"/>
      <c r="AP244" s="415"/>
    </row>
    <row r="245" spans="17:42" s="357" customFormat="1" x14ac:dyDescent="0.25">
      <c r="Q245" s="415"/>
      <c r="R245" s="415"/>
      <c r="S245" s="415"/>
      <c r="T245" s="415"/>
      <c r="U245" s="415"/>
      <c r="V245" s="415"/>
      <c r="W245" s="415"/>
      <c r="X245" s="415"/>
      <c r="Y245" s="415"/>
      <c r="Z245" s="415"/>
      <c r="AA245" s="415"/>
      <c r="AB245" s="415"/>
      <c r="AC245" s="415"/>
      <c r="AD245" s="415"/>
      <c r="AE245" s="415"/>
      <c r="AF245" s="415"/>
      <c r="AG245" s="415"/>
      <c r="AH245" s="415"/>
      <c r="AI245" s="415"/>
      <c r="AJ245" s="415"/>
      <c r="AK245" s="415"/>
      <c r="AL245" s="415"/>
      <c r="AM245" s="415"/>
      <c r="AN245" s="415"/>
      <c r="AO245" s="415"/>
      <c r="AP245" s="415"/>
    </row>
    <row r="246" spans="17:42" s="357" customFormat="1" x14ac:dyDescent="0.25">
      <c r="Q246" s="415"/>
      <c r="R246" s="415"/>
      <c r="S246" s="415"/>
      <c r="T246" s="415"/>
      <c r="U246" s="415"/>
      <c r="V246" s="415"/>
      <c r="W246" s="415"/>
      <c r="X246" s="415"/>
      <c r="Y246" s="415"/>
      <c r="Z246" s="415"/>
      <c r="AA246" s="415"/>
      <c r="AB246" s="415"/>
      <c r="AC246" s="415"/>
      <c r="AD246" s="415"/>
      <c r="AE246" s="415"/>
      <c r="AF246" s="415"/>
      <c r="AG246" s="415"/>
      <c r="AH246" s="415"/>
      <c r="AI246" s="415"/>
      <c r="AJ246" s="415"/>
      <c r="AK246" s="415"/>
      <c r="AL246" s="415"/>
      <c r="AM246" s="415"/>
      <c r="AN246" s="415"/>
      <c r="AO246" s="415"/>
      <c r="AP246" s="415"/>
    </row>
    <row r="247" spans="17:42" s="357" customFormat="1" x14ac:dyDescent="0.25">
      <c r="Q247" s="415"/>
      <c r="R247" s="415"/>
      <c r="S247" s="415"/>
      <c r="T247" s="415"/>
      <c r="U247" s="415"/>
      <c r="V247" s="415"/>
      <c r="W247" s="415"/>
      <c r="X247" s="415"/>
      <c r="Y247" s="415"/>
      <c r="Z247" s="415"/>
      <c r="AA247" s="415"/>
      <c r="AB247" s="415"/>
      <c r="AC247" s="415"/>
      <c r="AD247" s="415"/>
      <c r="AE247" s="415"/>
      <c r="AF247" s="415"/>
      <c r="AG247" s="415"/>
      <c r="AH247" s="415"/>
      <c r="AI247" s="415"/>
      <c r="AJ247" s="415"/>
      <c r="AK247" s="415"/>
      <c r="AL247" s="415"/>
      <c r="AM247" s="415"/>
      <c r="AN247" s="415"/>
      <c r="AO247" s="415"/>
      <c r="AP247" s="415"/>
    </row>
    <row r="248" spans="17:42" s="357" customFormat="1" x14ac:dyDescent="0.25">
      <c r="Q248" s="415"/>
      <c r="R248" s="415"/>
      <c r="S248" s="415"/>
      <c r="T248" s="415"/>
      <c r="U248" s="415"/>
      <c r="V248" s="415"/>
      <c r="W248" s="415"/>
      <c r="X248" s="415"/>
      <c r="Y248" s="415"/>
      <c r="Z248" s="415"/>
      <c r="AA248" s="415"/>
      <c r="AB248" s="415"/>
      <c r="AC248" s="415"/>
      <c r="AD248" s="415"/>
      <c r="AE248" s="415"/>
      <c r="AF248" s="415"/>
      <c r="AG248" s="415"/>
      <c r="AH248" s="415"/>
      <c r="AI248" s="415"/>
      <c r="AJ248" s="415"/>
      <c r="AK248" s="415"/>
      <c r="AL248" s="415"/>
      <c r="AM248" s="415"/>
      <c r="AN248" s="415"/>
      <c r="AO248" s="415"/>
      <c r="AP248" s="415"/>
    </row>
    <row r="249" spans="17:42" s="357" customFormat="1" x14ac:dyDescent="0.25">
      <c r="Q249" s="415"/>
      <c r="R249" s="415"/>
      <c r="S249" s="415"/>
      <c r="T249" s="415"/>
      <c r="U249" s="415"/>
      <c r="V249" s="415"/>
      <c r="W249" s="415"/>
      <c r="X249" s="415"/>
      <c r="Y249" s="415"/>
      <c r="Z249" s="415"/>
      <c r="AA249" s="415"/>
      <c r="AB249" s="415"/>
      <c r="AC249" s="415"/>
      <c r="AD249" s="415"/>
      <c r="AE249" s="415"/>
      <c r="AF249" s="415"/>
      <c r="AG249" s="415"/>
      <c r="AH249" s="415"/>
      <c r="AI249" s="415"/>
      <c r="AJ249" s="415"/>
      <c r="AK249" s="415"/>
      <c r="AL249" s="415"/>
      <c r="AM249" s="415"/>
      <c r="AN249" s="415"/>
      <c r="AO249" s="415"/>
      <c r="AP249" s="415"/>
    </row>
    <row r="250" spans="17:42" s="357" customFormat="1" x14ac:dyDescent="0.25">
      <c r="Q250" s="415"/>
      <c r="R250" s="415"/>
      <c r="S250" s="415"/>
      <c r="T250" s="415"/>
      <c r="U250" s="415"/>
      <c r="V250" s="415"/>
      <c r="W250" s="415"/>
      <c r="X250" s="415"/>
      <c r="Y250" s="415"/>
      <c r="Z250" s="415"/>
      <c r="AA250" s="415"/>
      <c r="AB250" s="415"/>
      <c r="AC250" s="415"/>
      <c r="AD250" s="415"/>
      <c r="AE250" s="415"/>
      <c r="AF250" s="415"/>
      <c r="AG250" s="415"/>
      <c r="AH250" s="415"/>
      <c r="AI250" s="415"/>
      <c r="AJ250" s="415"/>
      <c r="AK250" s="415"/>
      <c r="AL250" s="415"/>
      <c r="AM250" s="415"/>
      <c r="AN250" s="415"/>
      <c r="AO250" s="415"/>
      <c r="AP250" s="415"/>
    </row>
    <row r="251" spans="17:42" s="357" customFormat="1" x14ac:dyDescent="0.25">
      <c r="Q251" s="415"/>
      <c r="R251" s="415"/>
      <c r="S251" s="415"/>
      <c r="T251" s="415"/>
      <c r="U251" s="415"/>
      <c r="V251" s="415"/>
      <c r="W251" s="415"/>
      <c r="X251" s="415"/>
      <c r="Y251" s="415"/>
      <c r="Z251" s="415"/>
      <c r="AA251" s="415"/>
      <c r="AB251" s="415"/>
      <c r="AC251" s="415"/>
      <c r="AD251" s="415"/>
      <c r="AE251" s="415"/>
      <c r="AF251" s="415"/>
      <c r="AG251" s="415"/>
      <c r="AH251" s="415"/>
      <c r="AI251" s="415"/>
      <c r="AJ251" s="415"/>
      <c r="AK251" s="415"/>
      <c r="AL251" s="415"/>
      <c r="AM251" s="415"/>
      <c r="AN251" s="415"/>
      <c r="AO251" s="415"/>
      <c r="AP251" s="415"/>
    </row>
    <row r="252" spans="17:42" s="357" customFormat="1" x14ac:dyDescent="0.25">
      <c r="Q252" s="415"/>
      <c r="R252" s="415"/>
      <c r="S252" s="415"/>
      <c r="T252" s="415"/>
      <c r="U252" s="415"/>
      <c r="V252" s="415"/>
      <c r="W252" s="415"/>
      <c r="X252" s="415"/>
      <c r="Y252" s="415"/>
      <c r="Z252" s="415"/>
      <c r="AA252" s="415"/>
      <c r="AB252" s="415"/>
      <c r="AC252" s="415"/>
      <c r="AD252" s="415"/>
      <c r="AE252" s="415"/>
      <c r="AF252" s="415"/>
      <c r="AG252" s="415"/>
      <c r="AH252" s="415"/>
      <c r="AI252" s="415"/>
      <c r="AJ252" s="415"/>
      <c r="AK252" s="415"/>
      <c r="AL252" s="415"/>
      <c r="AM252" s="415"/>
      <c r="AN252" s="415"/>
      <c r="AO252" s="415"/>
      <c r="AP252" s="415"/>
    </row>
    <row r="253" spans="17:42" s="357" customFormat="1" x14ac:dyDescent="0.25">
      <c r="Q253" s="415"/>
      <c r="R253" s="415"/>
      <c r="S253" s="415"/>
      <c r="T253" s="415"/>
      <c r="U253" s="415"/>
      <c r="V253" s="415"/>
      <c r="W253" s="415"/>
      <c r="X253" s="415"/>
      <c r="Y253" s="415"/>
      <c r="Z253" s="415"/>
      <c r="AA253" s="415"/>
      <c r="AB253" s="415"/>
      <c r="AC253" s="415"/>
      <c r="AD253" s="415"/>
      <c r="AE253" s="415"/>
      <c r="AF253" s="415"/>
      <c r="AG253" s="415"/>
      <c r="AH253" s="415"/>
      <c r="AI253" s="415"/>
      <c r="AJ253" s="415"/>
      <c r="AK253" s="415"/>
      <c r="AL253" s="415"/>
      <c r="AM253" s="415"/>
      <c r="AN253" s="415"/>
      <c r="AO253" s="415"/>
      <c r="AP253" s="415"/>
    </row>
    <row r="254" spans="17:42" s="357" customFormat="1" x14ac:dyDescent="0.25">
      <c r="Q254" s="415"/>
      <c r="R254" s="415"/>
      <c r="S254" s="415"/>
      <c r="T254" s="415"/>
      <c r="U254" s="415"/>
      <c r="V254" s="415"/>
      <c r="W254" s="415"/>
      <c r="X254" s="415"/>
      <c r="Y254" s="415"/>
      <c r="Z254" s="415"/>
      <c r="AA254" s="415"/>
      <c r="AB254" s="415"/>
      <c r="AC254" s="415"/>
      <c r="AD254" s="415"/>
      <c r="AE254" s="415"/>
      <c r="AF254" s="415"/>
      <c r="AG254" s="415"/>
      <c r="AH254" s="415"/>
      <c r="AI254" s="415"/>
      <c r="AJ254" s="415"/>
      <c r="AK254" s="415"/>
      <c r="AL254" s="415"/>
      <c r="AM254" s="415"/>
      <c r="AN254" s="415"/>
      <c r="AO254" s="415"/>
      <c r="AP254" s="415"/>
    </row>
    <row r="255" spans="17:42" s="357" customFormat="1" x14ac:dyDescent="0.25">
      <c r="Q255" s="415"/>
      <c r="R255" s="415"/>
      <c r="S255" s="415"/>
      <c r="T255" s="415"/>
      <c r="U255" s="415"/>
      <c r="V255" s="415"/>
      <c r="W255" s="415"/>
      <c r="X255" s="415"/>
      <c r="Y255" s="415"/>
      <c r="Z255" s="415"/>
      <c r="AA255" s="415"/>
      <c r="AB255" s="415"/>
      <c r="AC255" s="415"/>
      <c r="AD255" s="415"/>
      <c r="AE255" s="415"/>
      <c r="AF255" s="415"/>
      <c r="AG255" s="415"/>
      <c r="AH255" s="415"/>
      <c r="AI255" s="415"/>
      <c r="AJ255" s="415"/>
      <c r="AK255" s="415"/>
      <c r="AL255" s="415"/>
      <c r="AM255" s="415"/>
      <c r="AN255" s="415"/>
      <c r="AO255" s="415"/>
      <c r="AP255" s="415"/>
    </row>
    <row r="256" spans="17:42" s="357" customFormat="1" x14ac:dyDescent="0.25">
      <c r="Q256" s="415"/>
      <c r="R256" s="415"/>
      <c r="S256" s="415"/>
      <c r="T256" s="415"/>
      <c r="U256" s="415"/>
      <c r="V256" s="415"/>
      <c r="W256" s="415"/>
      <c r="X256" s="415"/>
      <c r="Y256" s="415"/>
      <c r="Z256" s="415"/>
      <c r="AA256" s="415"/>
      <c r="AB256" s="415"/>
      <c r="AC256" s="415"/>
      <c r="AD256" s="415"/>
      <c r="AE256" s="415"/>
      <c r="AF256" s="415"/>
      <c r="AG256" s="415"/>
      <c r="AH256" s="415"/>
      <c r="AI256" s="415"/>
      <c r="AJ256" s="415"/>
      <c r="AK256" s="415"/>
      <c r="AL256" s="415"/>
      <c r="AM256" s="415"/>
      <c r="AN256" s="415"/>
      <c r="AO256" s="415"/>
      <c r="AP256" s="415"/>
    </row>
    <row r="257" spans="17:42" s="357" customFormat="1" x14ac:dyDescent="0.25">
      <c r="Q257" s="415"/>
      <c r="R257" s="415"/>
      <c r="S257" s="415"/>
      <c r="T257" s="415"/>
      <c r="U257" s="415"/>
      <c r="V257" s="415"/>
      <c r="W257" s="415"/>
      <c r="X257" s="415"/>
      <c r="Y257" s="415"/>
      <c r="Z257" s="415"/>
      <c r="AA257" s="415"/>
      <c r="AB257" s="415"/>
      <c r="AC257" s="415"/>
      <c r="AD257" s="415"/>
      <c r="AE257" s="415"/>
      <c r="AF257" s="415"/>
      <c r="AG257" s="415"/>
      <c r="AH257" s="415"/>
      <c r="AI257" s="415"/>
      <c r="AJ257" s="415"/>
      <c r="AK257" s="415"/>
      <c r="AL257" s="415"/>
      <c r="AM257" s="415"/>
      <c r="AN257" s="415"/>
      <c r="AO257" s="415"/>
      <c r="AP257" s="415"/>
    </row>
    <row r="258" spans="17:42" s="357" customFormat="1" x14ac:dyDescent="0.25">
      <c r="Q258" s="415"/>
      <c r="R258" s="415"/>
      <c r="S258" s="415"/>
      <c r="T258" s="415"/>
      <c r="U258" s="415"/>
      <c r="V258" s="415"/>
      <c r="W258" s="415"/>
      <c r="X258" s="415"/>
      <c r="Y258" s="415"/>
      <c r="Z258" s="415"/>
      <c r="AA258" s="415"/>
      <c r="AB258" s="415"/>
      <c r="AC258" s="415"/>
      <c r="AD258" s="415"/>
      <c r="AE258" s="415"/>
      <c r="AF258" s="415"/>
      <c r="AG258" s="415"/>
      <c r="AH258" s="415"/>
      <c r="AI258" s="415"/>
      <c r="AJ258" s="415"/>
      <c r="AK258" s="415"/>
      <c r="AL258" s="415"/>
      <c r="AM258" s="415"/>
      <c r="AN258" s="415"/>
      <c r="AO258" s="415"/>
      <c r="AP258" s="415"/>
    </row>
    <row r="259" spans="17:42" s="357" customFormat="1" x14ac:dyDescent="0.25">
      <c r="Q259" s="415"/>
      <c r="R259" s="415"/>
      <c r="S259" s="415"/>
      <c r="T259" s="415"/>
      <c r="U259" s="415"/>
      <c r="V259" s="415"/>
      <c r="W259" s="415"/>
      <c r="X259" s="415"/>
      <c r="Y259" s="415"/>
      <c r="Z259" s="415"/>
      <c r="AA259" s="415"/>
      <c r="AB259" s="415"/>
      <c r="AC259" s="415"/>
      <c r="AD259" s="415"/>
      <c r="AE259" s="415"/>
      <c r="AF259" s="415"/>
      <c r="AG259" s="415"/>
      <c r="AH259" s="415"/>
      <c r="AI259" s="415"/>
      <c r="AJ259" s="415"/>
      <c r="AK259" s="415"/>
      <c r="AL259" s="415"/>
      <c r="AM259" s="415"/>
      <c r="AN259" s="415"/>
      <c r="AO259" s="415"/>
      <c r="AP259" s="415"/>
    </row>
    <row r="260" spans="17:42" s="357" customFormat="1" x14ac:dyDescent="0.25">
      <c r="Q260" s="415"/>
      <c r="R260" s="415"/>
      <c r="S260" s="415"/>
      <c r="T260" s="415"/>
      <c r="U260" s="415"/>
      <c r="V260" s="415"/>
      <c r="W260" s="415"/>
      <c r="X260" s="415"/>
      <c r="Y260" s="415"/>
      <c r="Z260" s="415"/>
      <c r="AA260" s="415"/>
      <c r="AB260" s="415"/>
      <c r="AC260" s="415"/>
      <c r="AD260" s="415"/>
      <c r="AE260" s="415"/>
      <c r="AF260" s="415"/>
      <c r="AG260" s="415"/>
      <c r="AH260" s="415"/>
      <c r="AI260" s="415"/>
      <c r="AJ260" s="415"/>
      <c r="AK260" s="415"/>
      <c r="AL260" s="415"/>
      <c r="AM260" s="415"/>
      <c r="AN260" s="415"/>
      <c r="AO260" s="415"/>
      <c r="AP260" s="415"/>
    </row>
    <row r="261" spans="17:42" s="357" customFormat="1" x14ac:dyDescent="0.25">
      <c r="Q261" s="415"/>
      <c r="R261" s="415"/>
      <c r="S261" s="415"/>
      <c r="T261" s="415"/>
      <c r="U261" s="415"/>
      <c r="V261" s="415"/>
      <c r="W261" s="415"/>
      <c r="X261" s="415"/>
      <c r="Y261" s="415"/>
      <c r="Z261" s="415"/>
      <c r="AA261" s="415"/>
      <c r="AB261" s="415"/>
      <c r="AC261" s="415"/>
      <c r="AD261" s="415"/>
      <c r="AE261" s="415"/>
      <c r="AF261" s="415"/>
      <c r="AG261" s="415"/>
      <c r="AH261" s="415"/>
      <c r="AI261" s="415"/>
      <c r="AJ261" s="415"/>
      <c r="AK261" s="415"/>
      <c r="AL261" s="415"/>
      <c r="AM261" s="415"/>
      <c r="AN261" s="415"/>
      <c r="AO261" s="415"/>
      <c r="AP261" s="415"/>
    </row>
    <row r="262" spans="17:42" s="357" customFormat="1" x14ac:dyDescent="0.25">
      <c r="Q262" s="415"/>
      <c r="R262" s="415"/>
      <c r="S262" s="415"/>
      <c r="T262" s="415"/>
      <c r="U262" s="415"/>
      <c r="V262" s="415"/>
      <c r="W262" s="415"/>
      <c r="X262" s="415"/>
      <c r="Y262" s="415"/>
      <c r="Z262" s="415"/>
      <c r="AA262" s="415"/>
      <c r="AB262" s="415"/>
      <c r="AC262" s="415"/>
      <c r="AD262" s="415"/>
      <c r="AE262" s="415"/>
      <c r="AF262" s="415"/>
      <c r="AG262" s="415"/>
      <c r="AH262" s="415"/>
      <c r="AI262" s="415"/>
      <c r="AJ262" s="415"/>
      <c r="AK262" s="415"/>
      <c r="AL262" s="415"/>
      <c r="AM262" s="415"/>
      <c r="AN262" s="415"/>
      <c r="AO262" s="415"/>
      <c r="AP262" s="415"/>
    </row>
    <row r="263" spans="17:42" s="357" customFormat="1" x14ac:dyDescent="0.25">
      <c r="Q263" s="415"/>
      <c r="R263" s="415"/>
      <c r="S263" s="415"/>
      <c r="T263" s="415"/>
      <c r="U263" s="415"/>
      <c r="V263" s="415"/>
      <c r="W263" s="415"/>
      <c r="X263" s="415"/>
      <c r="Y263" s="415"/>
      <c r="Z263" s="415"/>
      <c r="AA263" s="415"/>
      <c r="AB263" s="415"/>
      <c r="AC263" s="415"/>
      <c r="AD263" s="415"/>
      <c r="AE263" s="415"/>
      <c r="AF263" s="415"/>
      <c r="AG263" s="415"/>
      <c r="AH263" s="415"/>
      <c r="AI263" s="415"/>
      <c r="AJ263" s="415"/>
      <c r="AK263" s="415"/>
      <c r="AL263" s="415"/>
      <c r="AM263" s="415"/>
      <c r="AN263" s="415"/>
      <c r="AO263" s="415"/>
      <c r="AP263" s="415"/>
    </row>
    <row r="264" spans="17:42" s="357" customFormat="1" x14ac:dyDescent="0.25">
      <c r="Q264" s="415"/>
      <c r="R264" s="415"/>
      <c r="S264" s="415"/>
      <c r="T264" s="415"/>
      <c r="U264" s="415"/>
      <c r="V264" s="415"/>
      <c r="W264" s="415"/>
      <c r="X264" s="415"/>
      <c r="Y264" s="415"/>
      <c r="Z264" s="415"/>
      <c r="AA264" s="415"/>
      <c r="AB264" s="415"/>
      <c r="AC264" s="415"/>
      <c r="AD264" s="415"/>
      <c r="AE264" s="415"/>
      <c r="AF264" s="415"/>
      <c r="AG264" s="415"/>
      <c r="AH264" s="415"/>
      <c r="AI264" s="415"/>
      <c r="AJ264" s="415"/>
      <c r="AK264" s="415"/>
      <c r="AL264" s="415"/>
      <c r="AM264" s="415"/>
      <c r="AN264" s="415"/>
      <c r="AO264" s="415"/>
      <c r="AP264" s="415"/>
    </row>
    <row r="265" spans="17:42" s="357" customFormat="1" x14ac:dyDescent="0.25">
      <c r="Q265" s="415"/>
      <c r="R265" s="415"/>
      <c r="S265" s="415"/>
      <c r="T265" s="415"/>
      <c r="U265" s="415"/>
      <c r="V265" s="415"/>
      <c r="W265" s="415"/>
      <c r="X265" s="415"/>
      <c r="Y265" s="415"/>
      <c r="Z265" s="415"/>
      <c r="AA265" s="415"/>
      <c r="AB265" s="415"/>
      <c r="AC265" s="415"/>
      <c r="AD265" s="415"/>
      <c r="AE265" s="415"/>
      <c r="AF265" s="415"/>
      <c r="AG265" s="415"/>
      <c r="AH265" s="415"/>
      <c r="AI265" s="415"/>
      <c r="AJ265" s="415"/>
      <c r="AK265" s="415"/>
      <c r="AL265" s="415"/>
      <c r="AM265" s="415"/>
      <c r="AN265" s="415"/>
      <c r="AO265" s="415"/>
      <c r="AP265" s="415"/>
    </row>
    <row r="266" spans="17:42" s="357" customFormat="1" x14ac:dyDescent="0.25">
      <c r="Q266" s="415"/>
      <c r="R266" s="415"/>
      <c r="S266" s="415"/>
      <c r="T266" s="415"/>
      <c r="U266" s="415"/>
      <c r="V266" s="415"/>
      <c r="W266" s="415"/>
      <c r="X266" s="415"/>
      <c r="Y266" s="415"/>
      <c r="Z266" s="415"/>
      <c r="AA266" s="415"/>
      <c r="AB266" s="415"/>
      <c r="AC266" s="415"/>
      <c r="AD266" s="415"/>
      <c r="AE266" s="415"/>
      <c r="AF266" s="415"/>
      <c r="AG266" s="415"/>
      <c r="AH266" s="415"/>
      <c r="AI266" s="415"/>
      <c r="AJ266" s="415"/>
      <c r="AK266" s="415"/>
      <c r="AL266" s="415"/>
      <c r="AM266" s="415"/>
      <c r="AN266" s="415"/>
      <c r="AO266" s="415"/>
      <c r="AP266" s="415"/>
    </row>
    <row r="267" spans="17:42" s="357" customFormat="1" x14ac:dyDescent="0.25">
      <c r="Q267" s="415"/>
      <c r="R267" s="415"/>
      <c r="S267" s="415"/>
      <c r="T267" s="415"/>
      <c r="U267" s="415"/>
      <c r="V267" s="415"/>
      <c r="W267" s="415"/>
      <c r="X267" s="415"/>
      <c r="Y267" s="415"/>
      <c r="Z267" s="415"/>
      <c r="AA267" s="415"/>
      <c r="AB267" s="415"/>
      <c r="AC267" s="415"/>
      <c r="AD267" s="415"/>
      <c r="AE267" s="415"/>
      <c r="AF267" s="415"/>
      <c r="AG267" s="415"/>
      <c r="AH267" s="415"/>
      <c r="AI267" s="415"/>
      <c r="AJ267" s="415"/>
      <c r="AK267" s="415"/>
      <c r="AL267" s="415"/>
      <c r="AM267" s="415"/>
      <c r="AN267" s="415"/>
      <c r="AO267" s="415"/>
      <c r="AP267" s="415"/>
    </row>
    <row r="268" spans="17:42" s="357" customFormat="1" x14ac:dyDescent="0.25">
      <c r="Q268" s="415"/>
      <c r="R268" s="415"/>
      <c r="S268" s="415"/>
      <c r="T268" s="415"/>
      <c r="U268" s="415"/>
      <c r="V268" s="415"/>
      <c r="W268" s="415"/>
      <c r="X268" s="415"/>
      <c r="Y268" s="415"/>
      <c r="Z268" s="415"/>
      <c r="AA268" s="415"/>
      <c r="AB268" s="415"/>
      <c r="AC268" s="415"/>
      <c r="AD268" s="415"/>
      <c r="AE268" s="415"/>
      <c r="AF268" s="415"/>
      <c r="AG268" s="415"/>
      <c r="AH268" s="415"/>
      <c r="AI268" s="415"/>
      <c r="AJ268" s="415"/>
      <c r="AK268" s="415"/>
      <c r="AL268" s="415"/>
      <c r="AM268" s="415"/>
      <c r="AN268" s="415"/>
      <c r="AO268" s="415"/>
      <c r="AP268" s="415"/>
    </row>
    <row r="269" spans="17:42" s="357" customFormat="1" x14ac:dyDescent="0.25">
      <c r="Q269" s="415"/>
      <c r="R269" s="415"/>
      <c r="S269" s="415"/>
      <c r="T269" s="415"/>
      <c r="U269" s="415"/>
      <c r="V269" s="415"/>
      <c r="W269" s="415"/>
      <c r="X269" s="415"/>
      <c r="Y269" s="415"/>
      <c r="Z269" s="415"/>
      <c r="AA269" s="415"/>
      <c r="AB269" s="415"/>
      <c r="AC269" s="415"/>
      <c r="AD269" s="415"/>
      <c r="AE269" s="415"/>
      <c r="AF269" s="415"/>
      <c r="AG269" s="415"/>
      <c r="AH269" s="415"/>
      <c r="AI269" s="415"/>
      <c r="AJ269" s="415"/>
      <c r="AK269" s="415"/>
      <c r="AL269" s="415"/>
      <c r="AM269" s="415"/>
      <c r="AN269" s="415"/>
      <c r="AO269" s="415"/>
      <c r="AP269" s="415"/>
    </row>
    <row r="270" spans="17:42" s="357" customFormat="1" x14ac:dyDescent="0.25">
      <c r="Q270" s="415"/>
      <c r="R270" s="415"/>
      <c r="S270" s="415"/>
      <c r="T270" s="415"/>
      <c r="U270" s="415"/>
      <c r="V270" s="415"/>
      <c r="W270" s="415"/>
      <c r="X270" s="415"/>
      <c r="Y270" s="415"/>
      <c r="Z270" s="415"/>
      <c r="AA270" s="415"/>
      <c r="AB270" s="415"/>
      <c r="AC270" s="415"/>
      <c r="AD270" s="415"/>
      <c r="AE270" s="415"/>
      <c r="AF270" s="415"/>
      <c r="AG270" s="415"/>
      <c r="AH270" s="415"/>
      <c r="AI270" s="415"/>
      <c r="AJ270" s="415"/>
      <c r="AK270" s="415"/>
      <c r="AL270" s="415"/>
      <c r="AM270" s="415"/>
      <c r="AN270" s="415"/>
      <c r="AO270" s="415"/>
      <c r="AP270" s="415"/>
    </row>
    <row r="271" spans="17:42" s="357" customFormat="1" x14ac:dyDescent="0.25">
      <c r="Q271" s="415"/>
      <c r="R271" s="415"/>
      <c r="S271" s="415"/>
      <c r="T271" s="415"/>
      <c r="U271" s="415"/>
      <c r="V271" s="415"/>
      <c r="W271" s="415"/>
      <c r="X271" s="415"/>
      <c r="Y271" s="415"/>
      <c r="Z271" s="415"/>
      <c r="AA271" s="415"/>
      <c r="AB271" s="415"/>
      <c r="AC271" s="415"/>
      <c r="AD271" s="415"/>
      <c r="AE271" s="415"/>
      <c r="AF271" s="415"/>
      <c r="AG271" s="415"/>
      <c r="AH271" s="415"/>
      <c r="AI271" s="415"/>
      <c r="AJ271" s="415"/>
      <c r="AK271" s="415"/>
      <c r="AL271" s="415"/>
      <c r="AM271" s="415"/>
      <c r="AN271" s="415"/>
      <c r="AO271" s="415"/>
      <c r="AP271" s="415"/>
    </row>
  </sheetData>
  <sheetProtection formatCells="0"/>
  <dataConsolidate link="1"/>
  <mergeCells count="33">
    <mergeCell ref="I66:J66"/>
    <mergeCell ref="I62:J62"/>
    <mergeCell ref="I63:J63"/>
    <mergeCell ref="C29:D29"/>
    <mergeCell ref="I65:J65"/>
    <mergeCell ref="T31:AD31"/>
    <mergeCell ref="T32:AD32"/>
    <mergeCell ref="C21:D21"/>
    <mergeCell ref="K63:L63"/>
    <mergeCell ref="E15:F15"/>
    <mergeCell ref="C23:D23"/>
    <mergeCell ref="C22:D22"/>
    <mergeCell ref="C20:D20"/>
    <mergeCell ref="C17:D17"/>
    <mergeCell ref="C18:D18"/>
    <mergeCell ref="C15:D16"/>
    <mergeCell ref="C28:D28"/>
    <mergeCell ref="C27:D27"/>
    <mergeCell ref="C26:D26"/>
    <mergeCell ref="C25:D25"/>
    <mergeCell ref="C24:D24"/>
    <mergeCell ref="C2:O2"/>
    <mergeCell ref="B8:P8"/>
    <mergeCell ref="I13:J13"/>
    <mergeCell ref="D13:E13"/>
    <mergeCell ref="K65:L65"/>
    <mergeCell ref="L15:N15"/>
    <mergeCell ref="G15:G16"/>
    <mergeCell ref="H15:I15"/>
    <mergeCell ref="D4:N4"/>
    <mergeCell ref="D11:E11"/>
    <mergeCell ref="I11:J11"/>
    <mergeCell ref="C19:D19"/>
  </mergeCells>
  <phoneticPr fontId="0" type="noConversion"/>
  <pageMargins left="0.7" right="0.59055118110236227" top="0.53" bottom="0.78740157480314965" header="1.01" footer="0.51181102362204722"/>
  <pageSetup scale="54" orientation="portrait" horizontalDpi="4294967294" verticalDpi="4294967295" r:id="rId1"/>
  <headerFooter alignWithMargins="0">
    <oddFooter>&amp;LCTCC - Gerencia de Análisis Tecnológico &amp;CPage &amp;P of &amp;N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indexed="10"/>
    <pageSetUpPr fitToPage="1"/>
  </sheetPr>
  <dimension ref="B1:AC63"/>
  <sheetViews>
    <sheetView tabSelected="1" topLeftCell="A2" zoomScale="70" zoomScaleNormal="70" workbookViewId="0">
      <selection activeCell="Z24" sqref="Z24"/>
    </sheetView>
  </sheetViews>
  <sheetFormatPr baseColWidth="10" defaultColWidth="9.26953125" defaultRowHeight="12.5" x14ac:dyDescent="0.25"/>
  <cols>
    <col min="1" max="1" width="9.26953125" style="464"/>
    <col min="2" max="2" width="5.453125" style="464" customWidth="1"/>
    <col min="3" max="3" width="13" style="464" customWidth="1"/>
    <col min="4" max="4" width="12.7265625" style="464" customWidth="1"/>
    <col min="5" max="5" width="9.26953125" style="464" bestFit="1" customWidth="1"/>
    <col min="6" max="6" width="2.7265625" style="464" customWidth="1"/>
    <col min="7" max="7" width="6.7265625" style="464" customWidth="1"/>
    <col min="8" max="8" width="2.54296875" style="464" customWidth="1"/>
    <col min="9" max="9" width="7.26953125" style="464" customWidth="1"/>
    <col min="10" max="10" width="2.453125" style="464" customWidth="1"/>
    <col min="11" max="11" width="15.7265625" style="464" bestFit="1" customWidth="1"/>
    <col min="12" max="12" width="9.7265625" style="464" customWidth="1"/>
    <col min="13" max="13" width="7.26953125" style="464" customWidth="1"/>
    <col min="14" max="17" width="9.26953125" style="464"/>
    <col min="18" max="18" width="9.453125" style="464" customWidth="1"/>
    <col min="19" max="19" width="9.26953125" style="464"/>
    <col min="20" max="22" width="0" style="464" hidden="1" customWidth="1"/>
    <col min="23" max="16384" width="9.26953125" style="464"/>
  </cols>
  <sheetData>
    <row r="1" spans="2:29" ht="23.25" customHeight="1" thickBot="1" x14ac:dyDescent="0.3">
      <c r="B1" s="763"/>
      <c r="C1" s="764"/>
      <c r="D1" s="764"/>
      <c r="E1" s="764"/>
      <c r="F1" s="764"/>
      <c r="G1" s="764"/>
      <c r="H1" s="764"/>
      <c r="I1" s="764"/>
      <c r="J1" s="764"/>
      <c r="K1" s="764"/>
      <c r="L1" s="764"/>
      <c r="M1" s="764"/>
      <c r="N1" s="764"/>
      <c r="O1" s="764"/>
      <c r="P1" s="764"/>
      <c r="Q1" s="764"/>
      <c r="R1" s="764"/>
      <c r="S1" s="764"/>
      <c r="T1" s="764"/>
      <c r="U1" s="764"/>
      <c r="V1" s="764"/>
      <c r="W1" s="764"/>
      <c r="X1" s="764"/>
      <c r="Y1" s="764"/>
      <c r="Z1" s="764"/>
      <c r="AA1" s="764"/>
      <c r="AB1" s="764"/>
      <c r="AC1" s="765"/>
    </row>
    <row r="2" spans="2:29" ht="28.5" customHeight="1" x14ac:dyDescent="0.25">
      <c r="B2" s="781"/>
      <c r="C2" s="789" t="s">
        <v>136</v>
      </c>
      <c r="D2" s="789"/>
      <c r="E2" s="789"/>
      <c r="F2" s="789"/>
      <c r="G2" s="789"/>
      <c r="H2" s="789"/>
      <c r="I2" s="789"/>
      <c r="J2" s="789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 t="str">
        <f>C11</f>
        <v>AC2</v>
      </c>
      <c r="V2" s="790">
        <f>(('1° Diseño Mezcla'!B77*('2° Granulometrías'!P16/100))/'1° Diseño Mezcla'!C17)</f>
        <v>229.39453295337296</v>
      </c>
      <c r="W2" s="782"/>
      <c r="X2" s="782"/>
      <c r="Y2" s="782"/>
      <c r="Z2" s="782"/>
      <c r="AA2" s="782"/>
      <c r="AB2" s="782"/>
      <c r="AC2" s="783"/>
    </row>
    <row r="3" spans="2:29" ht="13" thickBot="1" x14ac:dyDescent="0.3">
      <c r="B3" s="784"/>
      <c r="C3" s="465" t="s">
        <v>137</v>
      </c>
      <c r="D3" s="461">
        <f>'1° Diseño Mezcla'!C8:F8</f>
        <v>0</v>
      </c>
      <c r="E3" s="462"/>
      <c r="F3" s="462"/>
      <c r="U3" s="464">
        <f>C12</f>
        <v>0</v>
      </c>
      <c r="V3" s="766">
        <f>IF('1° Diseño Mezcla'!B78="",0,((('1° Diseño Mezcla'!B78*('2° Granulometrías'!Q16/100))/'1° Diseño Mezcla'!C18)))</f>
        <v>0</v>
      </c>
      <c r="AC3" s="785"/>
    </row>
    <row r="4" spans="2:29" ht="13" thickTop="1" x14ac:dyDescent="0.25">
      <c r="B4" s="784"/>
      <c r="C4" s="767"/>
      <c r="D4" s="466" t="s">
        <v>60</v>
      </c>
      <c r="E4" s="466" t="s">
        <v>43</v>
      </c>
      <c r="F4" s="465"/>
      <c r="G4" s="767"/>
      <c r="H4" s="767"/>
      <c r="K4" s="1240" t="s">
        <v>138</v>
      </c>
      <c r="L4" s="1241"/>
      <c r="U4" s="464" t="s">
        <v>325</v>
      </c>
      <c r="V4" s="766">
        <f>E5+E6+E7</f>
        <v>282.37179487179486</v>
      </c>
      <c r="AC4" s="785"/>
    </row>
    <row r="5" spans="2:29" x14ac:dyDescent="0.25">
      <c r="B5" s="784"/>
      <c r="C5" s="768" t="s">
        <v>139</v>
      </c>
      <c r="D5" s="877">
        <f>'1° Diseño Mezcla'!I8</f>
        <v>335</v>
      </c>
      <c r="E5" s="885">
        <f>'1° Diseño Mezcla'!D74</f>
        <v>107.37179487179486</v>
      </c>
      <c r="F5" s="474"/>
      <c r="G5" s="769"/>
      <c r="H5" s="770"/>
      <c r="I5" s="771"/>
      <c r="K5" s="467" t="s">
        <v>311</v>
      </c>
      <c r="L5" s="875">
        <f>'1° Diseño Mezcla'!R76</f>
        <v>0.52238805970149249</v>
      </c>
      <c r="V5" s="766">
        <f>((V2+V3)+V4)/1000</f>
        <v>0.51176632782516784</v>
      </c>
      <c r="AC5" s="785"/>
    </row>
    <row r="6" spans="2:29" x14ac:dyDescent="0.25">
      <c r="B6" s="784"/>
      <c r="C6" s="772">
        <v>0</v>
      </c>
      <c r="D6" s="878">
        <f>IF(C6=0,0,VLOOKUP(C6,C58:D63,2,FALSE))</f>
        <v>0</v>
      </c>
      <c r="E6" s="885">
        <f>IF(C6=0,0,VLOOKUP(C6,C58:E63,3,FALSE))</f>
        <v>0</v>
      </c>
      <c r="F6" s="474"/>
      <c r="G6" s="769" t="str">
        <f>IF(E6=0," ",D6/D5)</f>
        <v xml:space="preserve"> </v>
      </c>
      <c r="H6" s="770" t="s">
        <v>141</v>
      </c>
      <c r="K6" s="467" t="s">
        <v>142</v>
      </c>
      <c r="L6" s="468">
        <f>(E5+E7+E6)/1000</f>
        <v>0.28237179487179487</v>
      </c>
      <c r="AC6" s="785"/>
    </row>
    <row r="7" spans="2:29" x14ac:dyDescent="0.25">
      <c r="B7" s="784"/>
      <c r="C7" s="768" t="s">
        <v>11</v>
      </c>
      <c r="D7" s="879">
        <f>'1° Diseño Mezcla'!I9</f>
        <v>175</v>
      </c>
      <c r="E7" s="886">
        <f>'1° Diseño Mezcla'!D76</f>
        <v>175</v>
      </c>
      <c r="F7" s="474"/>
      <c r="H7" s="770"/>
      <c r="K7" s="467" t="s">
        <v>310</v>
      </c>
      <c r="L7" s="468">
        <f>V5</f>
        <v>0.51176632782516784</v>
      </c>
      <c r="AC7" s="785"/>
    </row>
    <row r="8" spans="2:29" x14ac:dyDescent="0.25">
      <c r="B8" s="784"/>
      <c r="C8" s="768" t="str">
        <f>'1° Diseño Mezcla'!A19</f>
        <v>GB2</v>
      </c>
      <c r="D8" s="880">
        <f>IF(ISERR('1° Diseño Mezcla'!B79),I15,'1° Diseño Mezcla'!B79)</f>
        <v>954.28125708603159</v>
      </c>
      <c r="E8" s="885">
        <f>'1° Diseño Mezcla'!D79</f>
        <v>352.13330519779765</v>
      </c>
      <c r="F8" s="474"/>
      <c r="G8" s="769">
        <f>'1° Diseño Mezcla'!H19</f>
        <v>1</v>
      </c>
      <c r="H8" s="770"/>
      <c r="I8" s="1242">
        <f>'1° Diseño Mezcla'!T48</f>
        <v>0.50980392156862753</v>
      </c>
      <c r="K8" s="467" t="s">
        <v>278</v>
      </c>
      <c r="L8" s="463">
        <f>'1° Diseño Mezcla'!Y8</f>
        <v>14</v>
      </c>
      <c r="AC8" s="785"/>
    </row>
    <row r="9" spans="2:29" x14ac:dyDescent="0.25">
      <c r="B9" s="784"/>
      <c r="C9" s="768">
        <f>'1° Diseño Mezcla'!A20</f>
        <v>0</v>
      </c>
      <c r="D9" s="880" t="str">
        <f>IF(ISERR('1° Diseño Mezcla'!B80),I16,'1° Diseño Mezcla'!B80)</f>
        <v/>
      </c>
      <c r="E9" s="885" t="str">
        <f>'1° Diseño Mezcla'!D80</f>
        <v/>
      </c>
      <c r="F9" s="474"/>
      <c r="G9" s="769">
        <f>IF(G8=1,0,'1° Diseño Mezcla'!H20)</f>
        <v>0</v>
      </c>
      <c r="H9" s="770"/>
      <c r="I9" s="1242"/>
      <c r="K9" s="467" t="s">
        <v>144</v>
      </c>
      <c r="L9" s="468">
        <f>SUM(E8:E13)/1000</f>
        <v>0.69451320512820502</v>
      </c>
      <c r="AC9" s="785"/>
    </row>
    <row r="10" spans="2:29" x14ac:dyDescent="0.25">
      <c r="B10" s="784"/>
      <c r="C10" s="768">
        <f>'1° Diseño Mezcla'!A21</f>
        <v>0</v>
      </c>
      <c r="D10" s="881" t="str">
        <f>IF(ISERR('1° Diseño Mezcla'!B81),I17,'1° Diseño Mezcla'!B81)</f>
        <v/>
      </c>
      <c r="E10" s="886" t="str">
        <f>'1° Diseño Mezcla'!D81</f>
        <v/>
      </c>
      <c r="F10" s="474"/>
      <c r="G10" s="769">
        <f>IF(OR(G8&gt;1,G8&lt;0,G9&gt;1,G9&lt;0,G8+G9&gt;1),I15,1-G8-G9)</f>
        <v>0</v>
      </c>
      <c r="H10" s="770"/>
      <c r="I10" s="1243"/>
      <c r="K10" s="467" t="s">
        <v>146</v>
      </c>
      <c r="L10" s="469">
        <f>IF(ISERR(('Curva Distribución'!H15+'Curva Distribución'!H16)/100*(SUM(E8:E13)/1000)+E5/1000),I15,('Curva Distribución'!H15+'Curva Distribución'!H16)/100*(SUM(E8:E13)/1000)+E5/1000)</f>
        <v>0.20085871944444444</v>
      </c>
      <c r="AC10" s="785"/>
    </row>
    <row r="11" spans="2:29" x14ac:dyDescent="0.25">
      <c r="B11" s="784"/>
      <c r="C11" s="768" t="str">
        <f>'1° Diseño Mezcla'!A17</f>
        <v>AC2</v>
      </c>
      <c r="D11" s="880">
        <f>'1° Diseño Mezcla'!B77</f>
        <v>917.57813181349184</v>
      </c>
      <c r="E11" s="885">
        <f>'1° Diseño Mezcla'!D77</f>
        <v>342.37989993040736</v>
      </c>
      <c r="F11" s="474"/>
      <c r="G11" s="769">
        <f>'1° Diseño Mezcla'!H17</f>
        <v>1</v>
      </c>
      <c r="H11" s="770"/>
      <c r="I11" s="1242">
        <f>'1° Diseño Mezcla'!T49</f>
        <v>0.49019607843137258</v>
      </c>
      <c r="K11" s="470" t="s">
        <v>277</v>
      </c>
      <c r="L11" s="471">
        <f>'1° Diseño Mezcla'!L8</f>
        <v>1.04</v>
      </c>
      <c r="AC11" s="785"/>
    </row>
    <row r="12" spans="2:29" x14ac:dyDescent="0.25">
      <c r="B12" s="784"/>
      <c r="C12" s="768">
        <f>'1° Diseño Mezcla'!A18</f>
        <v>0</v>
      </c>
      <c r="D12" s="880" t="str">
        <f>'1° Diseño Mezcla'!B78</f>
        <v/>
      </c>
      <c r="E12" s="885" t="str">
        <f>'1° Diseño Mezcla'!D78</f>
        <v/>
      </c>
      <c r="F12" s="474"/>
      <c r="G12" s="769">
        <f>IF(G11=1,0,'1° Diseño Mezcla'!H18)</f>
        <v>0</v>
      </c>
      <c r="H12" s="770"/>
      <c r="I12" s="1242"/>
      <c r="K12" s="467" t="s">
        <v>277</v>
      </c>
      <c r="L12" s="472"/>
      <c r="AC12" s="785"/>
    </row>
    <row r="13" spans="2:29" ht="13" thickBot="1" x14ac:dyDescent="0.3">
      <c r="B13" s="784"/>
      <c r="C13" s="768"/>
      <c r="D13" s="881"/>
      <c r="E13" s="886"/>
      <c r="F13" s="474"/>
      <c r="G13" s="769">
        <f>IF(OR(G11&gt;1,G11&lt;0,G12&gt;1,G12&lt;0,G11+G12&gt;1),I15,1-G11-G12)</f>
        <v>0</v>
      </c>
      <c r="H13" s="770"/>
      <c r="I13" s="1242"/>
      <c r="K13" s="876" t="s">
        <v>1621</v>
      </c>
      <c r="L13" s="473">
        <f>IF('1° Diseño Mezcla'!W8=4,'3° Curva Integral'!N65,"")</f>
        <v>1.5811777535639526</v>
      </c>
      <c r="AC13" s="785"/>
    </row>
    <row r="14" spans="2:29" ht="13.5" thickTop="1" thickBot="1" x14ac:dyDescent="0.3">
      <c r="B14" s="784"/>
      <c r="C14" s="768" t="s">
        <v>30</v>
      </c>
      <c r="D14" s="882">
        <f>'1° Diseño Mezcla'!L9</f>
        <v>0.02</v>
      </c>
      <c r="E14" s="887">
        <f>D14*1000</f>
        <v>20</v>
      </c>
      <c r="F14" s="474"/>
      <c r="G14" s="767"/>
      <c r="H14" s="767"/>
      <c r="K14" s="876" t="s">
        <v>1622</v>
      </c>
      <c r="L14" s="473" t="str">
        <f>IF('1° Diseño Mezcla'!W8=2,'3° Curva Integral'!N65,IF('1° Diseño Mezcla'!W8=5,'3° Curva Integral'!N65,""))</f>
        <v/>
      </c>
      <c r="AC14" s="785"/>
    </row>
    <row r="15" spans="2:29" ht="13" thickTop="1" x14ac:dyDescent="0.25">
      <c r="B15" s="784"/>
      <c r="C15" s="773" t="str">
        <f>'1° Diseño Mezcla'!F74</f>
        <v>EDV</v>
      </c>
      <c r="D15" s="883">
        <f>IF('1° Diseño Mezcla'!H74="",0,'1° Diseño Mezcla'!H74)</f>
        <v>1.675</v>
      </c>
      <c r="E15" s="885">
        <f>'1° Diseño Mezcla'!J74</f>
        <v>1.675</v>
      </c>
      <c r="F15" s="474"/>
      <c r="G15" s="767"/>
      <c r="I15" s="774" t="s">
        <v>151</v>
      </c>
      <c r="AC15" s="785"/>
    </row>
    <row r="16" spans="2:29" x14ac:dyDescent="0.25">
      <c r="B16" s="784"/>
      <c r="C16" s="773" t="str">
        <f>'1° Diseño Mezcla'!F75</f>
        <v>ECG</v>
      </c>
      <c r="D16" s="883">
        <f>IF('1° Diseño Mezcla'!H75="",0,'1° Diseño Mezcla'!H75)</f>
        <v>1.34</v>
      </c>
      <c r="E16" s="885">
        <f>'1° Diseño Mezcla'!J75</f>
        <v>1.34</v>
      </c>
      <c r="F16" s="474"/>
      <c r="G16" s="767"/>
      <c r="L16" s="767"/>
      <c r="AC16" s="785"/>
    </row>
    <row r="17" spans="2:29" x14ac:dyDescent="0.25">
      <c r="B17" s="784"/>
      <c r="C17" s="773" t="str">
        <f>'1° Diseño Mezcla'!F76</f>
        <v>EDF</v>
      </c>
      <c r="D17" s="884">
        <f>IF('1° Diseño Mezcla'!H76="",0,'1° Diseño Mezcla'!H76)</f>
        <v>0.1</v>
      </c>
      <c r="E17" s="886">
        <f>'1° Diseño Mezcla'!J76</f>
        <v>0.1</v>
      </c>
      <c r="F17" s="474"/>
      <c r="G17" s="767"/>
      <c r="L17" s="767"/>
      <c r="AC17" s="785"/>
    </row>
    <row r="18" spans="2:29" x14ac:dyDescent="0.25">
      <c r="B18" s="784"/>
      <c r="C18" s="775">
        <f>+'1° Diseño Mezcla'!N15</f>
        <v>0</v>
      </c>
      <c r="D18" s="883">
        <f>+'1° Diseño Mezcla'!Q15</f>
        <v>0</v>
      </c>
      <c r="E18" s="885" t="str">
        <f>+'1° Diseño Mezcla'!O74</f>
        <v/>
      </c>
      <c r="F18" s="767"/>
      <c r="G18" s="767"/>
      <c r="AC18" s="785"/>
    </row>
    <row r="19" spans="2:29" ht="13" thickBot="1" x14ac:dyDescent="0.3">
      <c r="B19" s="784"/>
      <c r="C19" s="768" t="s">
        <v>105</v>
      </c>
      <c r="D19" s="993">
        <f>SUM(D5:D13)+D15+D16+D17+D18</f>
        <v>2384.9743888995235</v>
      </c>
      <c r="E19" s="994">
        <f>SUM(E5:E18)</f>
        <v>1000</v>
      </c>
      <c r="F19" s="776"/>
      <c r="G19" s="767"/>
      <c r="AC19" s="785"/>
    </row>
    <row r="20" spans="2:29" ht="13" thickTop="1" x14ac:dyDescent="0.25">
      <c r="B20" s="784"/>
      <c r="AC20" s="785"/>
    </row>
    <row r="21" spans="2:29" x14ac:dyDescent="0.25">
      <c r="B21" s="784"/>
      <c r="AC21" s="785"/>
    </row>
    <row r="22" spans="2:29" x14ac:dyDescent="0.25">
      <c r="B22" s="784"/>
      <c r="AC22" s="785"/>
    </row>
    <row r="23" spans="2:29" ht="13" x14ac:dyDescent="0.3">
      <c r="B23" s="784"/>
      <c r="W23" s="1244" t="s">
        <v>339</v>
      </c>
      <c r="X23" s="1244"/>
      <c r="Y23" s="1244"/>
      <c r="Z23" s="871">
        <v>1.04</v>
      </c>
      <c r="AA23" s="777"/>
      <c r="AC23" s="785"/>
    </row>
    <row r="24" spans="2:29" ht="13" x14ac:dyDescent="0.3">
      <c r="B24" s="784"/>
      <c r="W24" s="1244" t="s">
        <v>5412</v>
      </c>
      <c r="X24" s="1244"/>
      <c r="Y24" s="1244"/>
      <c r="Z24" s="872">
        <v>335</v>
      </c>
      <c r="AA24" s="777"/>
      <c r="AC24" s="785"/>
    </row>
    <row r="25" spans="2:29" ht="13" x14ac:dyDescent="0.3">
      <c r="B25" s="784"/>
      <c r="W25" s="1244" t="s">
        <v>5413</v>
      </c>
      <c r="X25" s="1244"/>
      <c r="Y25" s="1244"/>
      <c r="Z25" s="872">
        <v>175</v>
      </c>
      <c r="AA25" s="777"/>
      <c r="AC25" s="785"/>
    </row>
    <row r="26" spans="2:29" ht="13" x14ac:dyDescent="0.3">
      <c r="B26" s="784"/>
      <c r="W26" s="1244" t="s">
        <v>5414</v>
      </c>
      <c r="X26" s="1244"/>
      <c r="Y26" s="1244"/>
      <c r="Z26" s="873">
        <v>0.02</v>
      </c>
      <c r="AA26" s="777"/>
      <c r="AC26" s="785"/>
    </row>
    <row r="27" spans="2:29" x14ac:dyDescent="0.25">
      <c r="B27" s="784"/>
      <c r="W27" s="778"/>
      <c r="X27" s="778"/>
      <c r="Y27" s="921"/>
      <c r="Z27" s="779"/>
      <c r="AA27" s="777"/>
      <c r="AC27" s="785"/>
    </row>
    <row r="28" spans="2:29" ht="13" x14ac:dyDescent="0.3">
      <c r="B28" s="784"/>
      <c r="W28" s="1246" t="str">
        <f>+'Formato Pisocret'!C39</f>
        <v>20 Basalto 20 mm (3/4")</v>
      </c>
      <c r="X28" s="1246"/>
      <c r="Y28" s="1247"/>
      <c r="Z28" s="874">
        <v>1</v>
      </c>
      <c r="AA28" s="777" t="str">
        <f>IF('Formato Pisocret'!B56="","",('Formato Pisocret'!B56))</f>
        <v>Garcia A.</v>
      </c>
      <c r="AC28" s="785"/>
    </row>
    <row r="29" spans="2:29" ht="13" x14ac:dyDescent="0.3">
      <c r="B29" s="784"/>
      <c r="W29" s="1246" t="str">
        <f>+'Formato Pisocret'!F39</f>
        <v>40 Basalto 40 mm (1 1/2")</v>
      </c>
      <c r="X29" s="1246"/>
      <c r="Y29" s="1247"/>
      <c r="Z29" s="808" t="str">
        <f>IF((Z28+Z30)&gt;=1,"",('1° Diseño Mezcla'!H20))</f>
        <v/>
      </c>
      <c r="AA29" s="777" t="str">
        <f>IF('Formato Pisocret'!E56="","",('Formato Pisocret'!E56))</f>
        <v>Garcia A.</v>
      </c>
      <c r="AC29" s="785"/>
    </row>
    <row r="30" spans="2:29" ht="13" x14ac:dyDescent="0.3">
      <c r="B30" s="784"/>
      <c r="W30" s="1246" t="str">
        <f>+'Formato Pisocret'!I39</f>
        <v>10 Basalto 10 mm (3/8")</v>
      </c>
      <c r="X30" s="1246"/>
      <c r="Y30" s="1247"/>
      <c r="Z30" s="874">
        <v>0</v>
      </c>
      <c r="AA30" s="777">
        <f>IF('Formato Pisocret'!H56="","",('Formato Pisocret'!H56))</f>
        <v>0</v>
      </c>
      <c r="AC30" s="785"/>
    </row>
    <row r="31" spans="2:29" ht="13" x14ac:dyDescent="0.3">
      <c r="B31" s="784"/>
      <c r="W31" s="1248" t="str">
        <f>+'Formato Pisocret'!C61</f>
        <v>Caliza No. 5</v>
      </c>
      <c r="X31" s="1248"/>
      <c r="Y31" s="1249"/>
      <c r="Z31" s="874">
        <v>1</v>
      </c>
      <c r="AA31" s="777" t="str">
        <f>IF('Formato Pisocret'!B79="","",('Formato Pisocret'!B79))</f>
        <v xml:space="preserve">GRAMOL </v>
      </c>
      <c r="AC31" s="785"/>
    </row>
    <row r="32" spans="2:29" ht="13" x14ac:dyDescent="0.3">
      <c r="B32" s="784"/>
      <c r="W32" s="1248" t="str">
        <f>+'Formato Pisocret'!F61</f>
        <v>Rio</v>
      </c>
      <c r="X32" s="1248"/>
      <c r="Y32" s="1249"/>
      <c r="Z32" s="808">
        <f>1-Z31</f>
        <v>0</v>
      </c>
      <c r="AA32" s="777" t="str">
        <f>IF('Formato Pisocret'!E79="","",('Formato Pisocret'!E79))</f>
        <v>Ramon A.</v>
      </c>
      <c r="AC32" s="785"/>
    </row>
    <row r="33" spans="2:29" x14ac:dyDescent="0.25">
      <c r="B33" s="784"/>
      <c r="AA33" s="777"/>
      <c r="AC33" s="785"/>
    </row>
    <row r="34" spans="2:29" ht="13" x14ac:dyDescent="0.3">
      <c r="B34" s="784"/>
      <c r="W34" s="1245" t="s">
        <v>341</v>
      </c>
      <c r="X34" s="1245"/>
      <c r="Z34" s="780">
        <f>SUM(D8:D10)</f>
        <v>954.28125708603159</v>
      </c>
      <c r="AC34" s="785"/>
    </row>
    <row r="35" spans="2:29" ht="13" x14ac:dyDescent="0.3">
      <c r="B35" s="784"/>
      <c r="W35" s="1245"/>
      <c r="X35" s="1245"/>
      <c r="AC35" s="785"/>
    </row>
    <row r="36" spans="2:29" x14ac:dyDescent="0.25">
      <c r="B36" s="784"/>
      <c r="AC36" s="785"/>
    </row>
    <row r="37" spans="2:29" x14ac:dyDescent="0.25">
      <c r="B37" s="784"/>
      <c r="AC37" s="785"/>
    </row>
    <row r="38" spans="2:29" x14ac:dyDescent="0.25">
      <c r="B38" s="784"/>
      <c r="AC38" s="785"/>
    </row>
    <row r="39" spans="2:29" ht="13" x14ac:dyDescent="0.3">
      <c r="B39" s="784"/>
      <c r="C39" s="464" t="s">
        <v>315</v>
      </c>
      <c r="AC39" s="785"/>
    </row>
    <row r="40" spans="2:29" x14ac:dyDescent="0.25">
      <c r="B40" s="784"/>
      <c r="C40" s="464" t="s">
        <v>1608</v>
      </c>
      <c r="AC40" s="785"/>
    </row>
    <row r="41" spans="2:29" x14ac:dyDescent="0.25">
      <c r="B41" s="784"/>
      <c r="C41" s="464" t="s">
        <v>316</v>
      </c>
      <c r="AC41" s="785"/>
    </row>
    <row r="42" spans="2:29" ht="13" thickBot="1" x14ac:dyDescent="0.3">
      <c r="B42" s="786"/>
      <c r="C42" s="787"/>
      <c r="D42" s="787"/>
      <c r="E42" s="787"/>
      <c r="F42" s="787"/>
      <c r="G42" s="787"/>
      <c r="H42" s="787"/>
      <c r="I42" s="787"/>
      <c r="J42" s="787"/>
      <c r="K42" s="787"/>
      <c r="L42" s="787"/>
      <c r="M42" s="787"/>
      <c r="N42" s="787"/>
      <c r="O42" s="787"/>
      <c r="P42" s="787"/>
      <c r="Q42" s="787"/>
      <c r="R42" s="787"/>
      <c r="S42" s="787"/>
      <c r="T42" s="787"/>
      <c r="U42" s="787"/>
      <c r="V42" s="787"/>
      <c r="W42" s="787"/>
      <c r="X42" s="787"/>
      <c r="Y42" s="787"/>
      <c r="Z42" s="787"/>
      <c r="AA42" s="787"/>
      <c r="AB42" s="787"/>
      <c r="AC42" s="788"/>
    </row>
    <row r="58" spans="3:5" x14ac:dyDescent="0.25">
      <c r="C58" s="475">
        <f>'1° Diseño Mezcla'!N15</f>
        <v>0</v>
      </c>
      <c r="D58" s="475" t="str">
        <f>'1° Diseño Mezcla'!M74</f>
        <v/>
      </c>
      <c r="E58" s="475" t="str">
        <f>'1° Diseño Mezcla'!O74</f>
        <v/>
      </c>
    </row>
    <row r="59" spans="3:5" x14ac:dyDescent="0.25">
      <c r="C59" s="475">
        <f>'1° Diseño Mezcla'!N16</f>
        <v>0</v>
      </c>
      <c r="D59" s="475" t="str">
        <f>'1° Diseño Mezcla'!M75</f>
        <v/>
      </c>
      <c r="E59" s="475" t="str">
        <f>'1° Diseño Mezcla'!O75</f>
        <v/>
      </c>
    </row>
    <row r="60" spans="3:5" x14ac:dyDescent="0.25">
      <c r="C60" s="475">
        <f>'1° Diseño Mezcla'!N17</f>
        <v>0</v>
      </c>
      <c r="D60" s="475" t="str">
        <f>'1° Diseño Mezcla'!M76</f>
        <v/>
      </c>
      <c r="E60" s="475" t="str">
        <f>'1° Diseño Mezcla'!O76</f>
        <v/>
      </c>
    </row>
    <row r="61" spans="3:5" x14ac:dyDescent="0.25">
      <c r="C61" s="475">
        <f>'1° Diseño Mezcla'!N18</f>
        <v>0</v>
      </c>
      <c r="D61" s="475" t="str">
        <f>'1° Diseño Mezcla'!M77</f>
        <v/>
      </c>
      <c r="E61" s="475" t="str">
        <f>'1° Diseño Mezcla'!O77</f>
        <v/>
      </c>
    </row>
    <row r="62" spans="3:5" x14ac:dyDescent="0.25">
      <c r="C62" s="475">
        <f>'1° Diseño Mezcla'!N19</f>
        <v>0</v>
      </c>
      <c r="D62" s="475" t="str">
        <f>'1° Diseño Mezcla'!M78</f>
        <v/>
      </c>
      <c r="E62" s="475" t="str">
        <f>'1° Diseño Mezcla'!O78</f>
        <v/>
      </c>
    </row>
    <row r="63" spans="3:5" x14ac:dyDescent="0.25">
      <c r="C63" s="475">
        <f>'1° Diseño Mezcla'!N20</f>
        <v>0</v>
      </c>
      <c r="D63" s="475" t="str">
        <f>'1° Diseño Mezcla'!M79</f>
        <v/>
      </c>
      <c r="E63" s="475" t="str">
        <f>'1° Diseño Mezcla'!O79</f>
        <v/>
      </c>
    </row>
  </sheetData>
  <sheetProtection formatCells="0"/>
  <mergeCells count="14">
    <mergeCell ref="W35:X35"/>
    <mergeCell ref="W34:X34"/>
    <mergeCell ref="W25:Y25"/>
    <mergeCell ref="W26:Y26"/>
    <mergeCell ref="W28:Y28"/>
    <mergeCell ref="W29:Y29"/>
    <mergeCell ref="W30:Y30"/>
    <mergeCell ref="W31:Y31"/>
    <mergeCell ref="W32:Y32"/>
    <mergeCell ref="K4:L4"/>
    <mergeCell ref="I11:I13"/>
    <mergeCell ref="I8:I10"/>
    <mergeCell ref="W23:Y23"/>
    <mergeCell ref="W24:Y24"/>
  </mergeCells>
  <phoneticPr fontId="3" type="noConversion"/>
  <dataValidations disablePrompts="1" count="1">
    <dataValidation type="list" allowBlank="1" showInputMessage="1" showErrorMessage="1" sqref="C6" xr:uid="{00000000-0002-0000-0300-000000000000}">
      <formula1>$C$58:$C$63</formula1>
    </dataValidation>
  </dataValidations>
  <printOptions horizontalCentered="1"/>
  <pageMargins left="0.47244094488188981" right="0.75" top="0.98425196850393704" bottom="1" header="0.27559055118110237" footer="0.39370078740157483"/>
  <pageSetup scale="59" orientation="landscape" horizontalDpi="4294967293" r:id="rId1"/>
  <headerFooter alignWithMargins="0"/>
  <ignoredErrors>
    <ignoredError sqref="D5:L7 D21:L25 D8:L17 C8:C17 C19:C20 D20:L20 F18:L18 F19:L19 D18:E19" unlockedFormula="1"/>
  </ignoredError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01059-D904-43EF-A2A1-4FE70F4A938F}">
  <dimension ref="E2:I6"/>
  <sheetViews>
    <sheetView workbookViewId="0">
      <selection activeCell="I2" sqref="I2"/>
    </sheetView>
  </sheetViews>
  <sheetFormatPr baseColWidth="10" defaultColWidth="8.7265625" defaultRowHeight="12.5" x14ac:dyDescent="0.25"/>
  <cols>
    <col min="5" max="9" width="8.7265625" style="557"/>
  </cols>
  <sheetData>
    <row r="2" spans="5:9" x14ac:dyDescent="0.25">
      <c r="H2" s="991" t="s">
        <v>11</v>
      </c>
      <c r="I2" s="991" t="s">
        <v>139</v>
      </c>
    </row>
    <row r="3" spans="5:9" x14ac:dyDescent="0.25">
      <c r="E3" s="557">
        <v>250</v>
      </c>
      <c r="F3" s="557">
        <v>38</v>
      </c>
      <c r="G3" s="557">
        <v>0.55000000000000004</v>
      </c>
      <c r="H3" s="557">
        <v>170</v>
      </c>
      <c r="I3" s="557">
        <v>310</v>
      </c>
    </row>
    <row r="4" spans="5:9" x14ac:dyDescent="0.25">
      <c r="E4" s="557">
        <v>280</v>
      </c>
      <c r="F4" s="557">
        <v>42</v>
      </c>
      <c r="G4" s="557">
        <v>0.53</v>
      </c>
      <c r="H4" s="557">
        <v>170</v>
      </c>
      <c r="I4" s="557">
        <v>325</v>
      </c>
    </row>
    <row r="5" spans="5:9" x14ac:dyDescent="0.25">
      <c r="E5" s="557">
        <v>300</v>
      </c>
      <c r="F5" s="557">
        <v>45</v>
      </c>
      <c r="G5" s="557">
        <v>0.49</v>
      </c>
      <c r="H5" s="557">
        <v>170</v>
      </c>
      <c r="I5" s="557">
        <v>345</v>
      </c>
    </row>
    <row r="6" spans="5:9" x14ac:dyDescent="0.25">
      <c r="E6" s="557">
        <v>350</v>
      </c>
      <c r="F6" s="557">
        <v>52</v>
      </c>
      <c r="G6" s="557">
        <v>0.45</v>
      </c>
      <c r="H6" s="557">
        <v>165</v>
      </c>
      <c r="I6" s="557">
        <v>365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Q77"/>
  <sheetViews>
    <sheetView showGridLines="0" topLeftCell="B1" zoomScale="120" workbookViewId="0">
      <selection activeCell="N9" sqref="N9"/>
    </sheetView>
  </sheetViews>
  <sheetFormatPr baseColWidth="10" defaultColWidth="9.26953125" defaultRowHeight="12.5" x14ac:dyDescent="0.25"/>
  <cols>
    <col min="1" max="1" width="14.7265625" customWidth="1"/>
    <col min="2" max="3" width="9.453125" customWidth="1"/>
    <col min="4" max="4" width="8.26953125" customWidth="1"/>
    <col min="5" max="5" width="13.7265625" customWidth="1"/>
    <col min="6" max="6" width="11.7265625" customWidth="1"/>
    <col min="7" max="7" width="9.26953125" customWidth="1"/>
    <col min="8" max="8" width="8.7265625" customWidth="1"/>
    <col min="9" max="9" width="11" customWidth="1"/>
    <col min="10" max="10" width="9.7265625" customWidth="1"/>
    <col min="11" max="11" width="2.7265625" customWidth="1"/>
    <col min="12" max="12" width="20.453125" customWidth="1"/>
    <col min="13" max="13" width="11" bestFit="1" customWidth="1"/>
    <col min="14" max="14" width="5.7265625" style="422" customWidth="1"/>
    <col min="15" max="17" width="9.26953125" style="422"/>
  </cols>
  <sheetData>
    <row r="1" spans="1:17" x14ac:dyDescent="0.25">
      <c r="A1" s="267"/>
      <c r="B1" s="267"/>
      <c r="C1" s="267"/>
      <c r="D1" s="267"/>
      <c r="E1" s="267"/>
      <c r="F1" s="267"/>
      <c r="G1" s="267"/>
      <c r="H1" s="267"/>
      <c r="I1" s="267"/>
      <c r="J1" s="267"/>
      <c r="K1" s="267"/>
      <c r="L1" s="267"/>
      <c r="M1" s="267"/>
      <c r="N1" s="425"/>
    </row>
    <row r="2" spans="1:17" s="273" customFormat="1" ht="26.25" customHeight="1" x14ac:dyDescent="0.25">
      <c r="A2" s="268" t="s">
        <v>152</v>
      </c>
      <c r="B2" s="269" t="s">
        <v>153</v>
      </c>
      <c r="C2" s="270" t="s">
        <v>154</v>
      </c>
      <c r="D2" s="271" t="s">
        <v>22</v>
      </c>
      <c r="E2" s="270" t="s">
        <v>155</v>
      </c>
      <c r="F2" s="270" t="s">
        <v>156</v>
      </c>
      <c r="G2" s="270" t="s">
        <v>157</v>
      </c>
      <c r="H2" s="271" t="s">
        <v>24</v>
      </c>
      <c r="I2" s="269" t="s">
        <v>23</v>
      </c>
      <c r="J2" s="271" t="s">
        <v>158</v>
      </c>
      <c r="K2" s="1263" t="s">
        <v>159</v>
      </c>
      <c r="L2" s="1264"/>
      <c r="M2" s="272"/>
      <c r="N2" s="426"/>
      <c r="O2" s="432" t="s">
        <v>160</v>
      </c>
      <c r="P2" s="426"/>
      <c r="Q2" s="426"/>
    </row>
    <row r="3" spans="1:17" x14ac:dyDescent="0.25">
      <c r="A3" s="274" t="s">
        <v>139</v>
      </c>
      <c r="B3" s="275" t="s">
        <v>279</v>
      </c>
      <c r="C3" s="276"/>
      <c r="D3" s="277">
        <f>'1° Diseño Mezcla'!C15</f>
        <v>3.12</v>
      </c>
      <c r="E3" s="278"/>
      <c r="F3" s="278"/>
      <c r="G3" s="279"/>
      <c r="H3" s="279"/>
      <c r="I3" s="279"/>
      <c r="J3" s="279"/>
      <c r="K3" s="1265"/>
      <c r="L3" s="1266"/>
      <c r="M3" s="267"/>
      <c r="O3" s="432">
        <v>40</v>
      </c>
    </row>
    <row r="4" spans="1:17" x14ac:dyDescent="0.25">
      <c r="A4" s="280" t="s">
        <v>140</v>
      </c>
      <c r="B4" s="281"/>
      <c r="C4" s="282"/>
      <c r="D4" s="283">
        <v>2</v>
      </c>
      <c r="E4" s="284"/>
      <c r="F4" s="284"/>
      <c r="G4" s="285"/>
      <c r="H4" s="285"/>
      <c r="I4" s="285"/>
      <c r="J4" s="285"/>
      <c r="K4" s="1267"/>
      <c r="L4" s="1268"/>
      <c r="M4" s="267"/>
      <c r="O4" s="432">
        <v>20</v>
      </c>
    </row>
    <row r="5" spans="1:17" x14ac:dyDescent="0.25">
      <c r="A5" s="280" t="s">
        <v>143</v>
      </c>
      <c r="B5" s="281" t="str">
        <f>'1° Diseño Mezcla'!A19</f>
        <v>GB2</v>
      </c>
      <c r="C5" s="282"/>
      <c r="D5" s="283">
        <f>'1° Diseño Mezcla'!C19</f>
        <v>2.71</v>
      </c>
      <c r="E5" s="286">
        <v>40</v>
      </c>
      <c r="F5" s="287"/>
      <c r="G5" s="288"/>
      <c r="H5" s="651">
        <v>1.21E-2</v>
      </c>
      <c r="I5" s="652">
        <v>1.21E-2</v>
      </c>
      <c r="J5" s="289">
        <f>+'4° Resumen'!G8</f>
        <v>1</v>
      </c>
      <c r="K5" s="1259">
        <f>+'4° Resumen'!I8</f>
        <v>0.50980392156862753</v>
      </c>
      <c r="L5" s="1260"/>
      <c r="M5" s="267"/>
      <c r="N5" s="422">
        <f>J5*D5</f>
        <v>2.71</v>
      </c>
      <c r="O5" s="432">
        <v>13</v>
      </c>
    </row>
    <row r="6" spans="1:17" x14ac:dyDescent="0.25">
      <c r="A6" s="280" t="s">
        <v>145</v>
      </c>
      <c r="B6" s="281">
        <f>'1° Diseño Mezcla'!A20</f>
        <v>0</v>
      </c>
      <c r="C6" s="282"/>
      <c r="D6" s="283">
        <f>'1° Diseño Mezcla'!C20</f>
        <v>0</v>
      </c>
      <c r="E6" s="286">
        <v>20</v>
      </c>
      <c r="F6" s="287"/>
      <c r="G6" s="288"/>
      <c r="H6" s="651">
        <v>8.0999999999999996E-3</v>
      </c>
      <c r="I6" s="652">
        <v>8.0999999999999996E-3</v>
      </c>
      <c r="J6" s="289">
        <f>+'4° Resumen'!G9</f>
        <v>0</v>
      </c>
      <c r="K6" s="1259"/>
      <c r="L6" s="1260"/>
      <c r="M6" s="267"/>
      <c r="N6" s="422">
        <f>J6*D6</f>
        <v>0</v>
      </c>
      <c r="O6" s="428">
        <v>10</v>
      </c>
    </row>
    <row r="7" spans="1:17" x14ac:dyDescent="0.25">
      <c r="A7" s="280" t="s">
        <v>147</v>
      </c>
      <c r="B7" s="281">
        <f>+'1° Diseño Mezcla'!A21</f>
        <v>0</v>
      </c>
      <c r="C7" s="282"/>
      <c r="D7" s="650">
        <f>+'1° Diseño Mezcla'!C21</f>
        <v>0</v>
      </c>
      <c r="E7" s="286">
        <v>10</v>
      </c>
      <c r="F7" s="287"/>
      <c r="G7" s="288"/>
      <c r="H7" s="651">
        <v>8.0000000000000002E-3</v>
      </c>
      <c r="I7" s="652">
        <v>8.0000000000000002E-3</v>
      </c>
      <c r="J7" s="289">
        <f>+'4° Resumen'!G10</f>
        <v>0</v>
      </c>
      <c r="K7" s="1259"/>
      <c r="L7" s="1260"/>
      <c r="M7" s="267"/>
      <c r="N7" s="422">
        <f>J7*D7</f>
        <v>0</v>
      </c>
      <c r="O7" s="427"/>
    </row>
    <row r="8" spans="1:17" x14ac:dyDescent="0.25">
      <c r="A8" s="280" t="s">
        <v>148</v>
      </c>
      <c r="B8" s="281" t="str">
        <f>'1° Diseño Mezcla'!A17</f>
        <v>AC2</v>
      </c>
      <c r="C8" s="282"/>
      <c r="D8" s="283">
        <f>'1° Diseño Mezcla'!C17</f>
        <v>2.68</v>
      </c>
      <c r="E8" s="284"/>
      <c r="F8" s="288"/>
      <c r="G8" s="287"/>
      <c r="H8" s="651">
        <v>3.09E-2</v>
      </c>
      <c r="I8" s="652">
        <v>3.09E-2</v>
      </c>
      <c r="J8" s="289">
        <f>+'4° Resumen'!G11</f>
        <v>1</v>
      </c>
      <c r="K8" s="1259">
        <f>+'4° Resumen'!I11</f>
        <v>0.49019607843137258</v>
      </c>
      <c r="L8" s="1260"/>
      <c r="M8" s="267"/>
      <c r="N8" s="422">
        <f>J8*D8</f>
        <v>2.68</v>
      </c>
    </row>
    <row r="9" spans="1:17" x14ac:dyDescent="0.25">
      <c r="A9" s="280" t="s">
        <v>149</v>
      </c>
      <c r="B9" s="281">
        <f>'1° Diseño Mezcla'!A18</f>
        <v>0</v>
      </c>
      <c r="C9" s="282"/>
      <c r="D9" s="283">
        <f>'1° Diseño Mezcla'!C18</f>
        <v>0</v>
      </c>
      <c r="E9" s="284"/>
      <c r="F9" s="288"/>
      <c r="G9" s="287"/>
      <c r="H9" s="651">
        <v>2.5000000000000001E-2</v>
      </c>
      <c r="I9" s="652">
        <v>2.5000000000000001E-2</v>
      </c>
      <c r="J9" s="289">
        <f>+'4° Resumen'!G12</f>
        <v>0</v>
      </c>
      <c r="K9" s="1259"/>
      <c r="L9" s="1260"/>
      <c r="M9" s="267"/>
      <c r="N9" s="422">
        <f>J9*D9</f>
        <v>0</v>
      </c>
    </row>
    <row r="10" spans="1:17" x14ac:dyDescent="0.25">
      <c r="A10" s="290" t="s">
        <v>150</v>
      </c>
      <c r="B10" s="291"/>
      <c r="C10" s="292"/>
      <c r="D10" s="293"/>
      <c r="E10" s="294"/>
      <c r="F10" s="295"/>
      <c r="G10" s="296"/>
      <c r="H10" s="297"/>
      <c r="I10" s="298"/>
      <c r="J10" s="299">
        <f>+'4° Resumen'!G13</f>
        <v>0</v>
      </c>
      <c r="K10" s="1261"/>
      <c r="L10" s="1262"/>
      <c r="O10" s="425"/>
      <c r="P10" s="422">
        <f>J10*D10</f>
        <v>0</v>
      </c>
    </row>
    <row r="11" spans="1:17" x14ac:dyDescent="0.25">
      <c r="A11" s="267"/>
      <c r="B11" s="267"/>
      <c r="C11" s="267"/>
      <c r="D11" s="267"/>
      <c r="E11" s="267"/>
      <c r="F11" s="267"/>
      <c r="G11" s="267"/>
      <c r="H11" s="267"/>
      <c r="I11" s="267"/>
      <c r="J11" s="267"/>
      <c r="K11" s="267"/>
      <c r="L11" s="267"/>
      <c r="M11" s="267"/>
      <c r="N11" s="425"/>
    </row>
    <row r="12" spans="1:17" x14ac:dyDescent="0.25">
      <c r="A12" s="267" t="s">
        <v>161</v>
      </c>
      <c r="B12" s="267"/>
      <c r="E12" s="300" t="s">
        <v>162</v>
      </c>
      <c r="F12" s="301">
        <v>0.05</v>
      </c>
      <c r="G12" s="267" t="s">
        <v>163</v>
      </c>
      <c r="H12" s="300" t="s">
        <v>164</v>
      </c>
      <c r="I12" s="301">
        <v>211</v>
      </c>
      <c r="J12" s="300" t="s">
        <v>165</v>
      </c>
      <c r="K12" s="267"/>
      <c r="L12" s="267"/>
      <c r="M12" s="267"/>
      <c r="N12" s="425"/>
    </row>
    <row r="13" spans="1:17" x14ac:dyDescent="0.25">
      <c r="A13" s="267"/>
      <c r="B13" s="267"/>
      <c r="E13" s="300"/>
      <c r="F13" s="267"/>
      <c r="G13" s="267"/>
      <c r="H13" s="267"/>
      <c r="I13" s="267"/>
      <c r="J13" s="267"/>
      <c r="K13" s="267"/>
      <c r="L13" s="267"/>
      <c r="M13" s="267"/>
      <c r="N13" s="425"/>
    </row>
    <row r="14" spans="1:17" x14ac:dyDescent="0.25">
      <c r="A14" s="302" t="s">
        <v>166</v>
      </c>
      <c r="B14" s="303" t="s">
        <v>167</v>
      </c>
      <c r="C14" s="304" t="s">
        <v>43</v>
      </c>
      <c r="D14" s="267"/>
      <c r="E14" s="302" t="s">
        <v>168</v>
      </c>
      <c r="F14" s="305" t="s">
        <v>167</v>
      </c>
      <c r="G14" s="306"/>
      <c r="H14" s="307" t="s">
        <v>169</v>
      </c>
      <c r="I14" s="308"/>
      <c r="J14" s="305"/>
      <c r="K14" s="267"/>
      <c r="L14" s="302" t="s">
        <v>170</v>
      </c>
      <c r="M14" s="305" t="s">
        <v>167</v>
      </c>
    </row>
    <row r="15" spans="1:17" x14ac:dyDescent="0.25">
      <c r="A15" s="309" t="str">
        <f>B3</f>
        <v>CPO-40</v>
      </c>
      <c r="B15" s="310">
        <f>+'4° Resumen'!D5</f>
        <v>335</v>
      </c>
      <c r="C15" s="311">
        <f>+B15/D3</f>
        <v>107.37179487179486</v>
      </c>
      <c r="D15" s="267"/>
      <c r="E15" s="280" t="str">
        <f>+B3</f>
        <v>CPO-40</v>
      </c>
      <c r="F15" s="312">
        <f>+B15*F12</f>
        <v>16.75</v>
      </c>
      <c r="G15" s="313"/>
      <c r="H15" s="314" t="s">
        <v>171</v>
      </c>
      <c r="I15" s="315"/>
      <c r="J15" s="316"/>
      <c r="K15" s="267"/>
      <c r="L15" s="280" t="str">
        <f t="shared" ref="L15:L23" si="0">+E15</f>
        <v>CPO-40</v>
      </c>
      <c r="M15" s="317">
        <f>+B15*$F$12/($J$28/1000)</f>
        <v>334.36850364714519</v>
      </c>
    </row>
    <row r="16" spans="1:17" x14ac:dyDescent="0.25">
      <c r="A16" s="309">
        <f>B4</f>
        <v>0</v>
      </c>
      <c r="B16" s="310">
        <f>+'4° Resumen'!D6</f>
        <v>0</v>
      </c>
      <c r="C16" s="311">
        <f>+B16/D4</f>
        <v>0</v>
      </c>
      <c r="D16" s="267"/>
      <c r="E16" s="280">
        <f>+B4</f>
        <v>0</v>
      </c>
      <c r="F16" s="312">
        <f>+B16*F12</f>
        <v>0</v>
      </c>
      <c r="G16" s="313"/>
      <c r="H16" s="314" t="s">
        <v>172</v>
      </c>
      <c r="I16" s="315"/>
      <c r="J16" s="316"/>
      <c r="K16" s="267"/>
      <c r="L16" s="280">
        <f t="shared" si="0"/>
        <v>0</v>
      </c>
      <c r="M16" s="317">
        <f>+B16*$F$12/($J$28/1000)</f>
        <v>0</v>
      </c>
    </row>
    <row r="17" spans="1:16" x14ac:dyDescent="0.25">
      <c r="A17" s="309" t="s">
        <v>11</v>
      </c>
      <c r="B17" s="310">
        <f>+'4° Resumen'!D7</f>
        <v>175</v>
      </c>
      <c r="C17" s="311">
        <f>+B17/1</f>
        <v>175</v>
      </c>
      <c r="D17" s="267"/>
      <c r="E17" s="280" t="s">
        <v>11</v>
      </c>
      <c r="F17" s="312">
        <f>B17*F12+(B18*F12-F18+B19*F12-F19+B20*F12-F20+B21*F12-F21+B22*F12-F22+B23*F12-F23)</f>
        <v>8.7500000000000071</v>
      </c>
      <c r="G17" s="313"/>
      <c r="H17" s="314" t="s">
        <v>173</v>
      </c>
      <c r="I17" s="315"/>
      <c r="J17" s="316"/>
      <c r="K17" s="267"/>
      <c r="L17" s="280" t="str">
        <f t="shared" si="0"/>
        <v>Agua</v>
      </c>
      <c r="M17" s="317">
        <f>(B17*F12+J20)/J28*1000</f>
        <v>174.67011384552362</v>
      </c>
      <c r="N17" s="429"/>
      <c r="O17" s="430"/>
      <c r="P17" s="431"/>
    </row>
    <row r="18" spans="1:16" x14ac:dyDescent="0.25">
      <c r="A18" s="309" t="str">
        <f t="shared" ref="A18:A23" si="1">B5</f>
        <v>GB2</v>
      </c>
      <c r="B18" s="310">
        <f>(1000-$C$15-$C$16-$C$17-$C$24-$C$25-$C$26-$C$27-$C$28)*K5*J5*D5</f>
        <v>962.37954042810475</v>
      </c>
      <c r="C18" s="311">
        <f t="shared" ref="C18:C23" si="2">IF(D5=0,0,+B18/D5)</f>
        <v>355.12160163398698</v>
      </c>
      <c r="D18" s="267"/>
      <c r="E18" s="280" t="str">
        <f t="shared" ref="E18:E23" si="3">+B5</f>
        <v>GB2</v>
      </c>
      <c r="F18" s="312">
        <f t="shared" ref="F18:F23" si="4">+B18*$F$12*(1+H5-I5)</f>
        <v>48.118977021405243</v>
      </c>
      <c r="G18" s="313"/>
      <c r="H18" s="314" t="s">
        <v>174</v>
      </c>
      <c r="I18" s="315"/>
      <c r="J18" s="316"/>
      <c r="K18" s="267"/>
      <c r="L18" s="280" t="str">
        <f t="shared" si="0"/>
        <v>GB2</v>
      </c>
      <c r="M18" s="317">
        <f t="shared" ref="M18:M23" si="5">+B18*$F$12/($J$28/1000)</f>
        <v>960.56539365245578</v>
      </c>
    </row>
    <row r="19" spans="1:16" x14ac:dyDescent="0.25">
      <c r="A19" s="309">
        <f t="shared" si="1"/>
        <v>0</v>
      </c>
      <c r="B19" s="310">
        <f>(1000-$C$15-$C$16-$C$17-$C$24-$C$25-$C$26-$C$27-$C$28)*K5*J6*D6</f>
        <v>0</v>
      </c>
      <c r="C19" s="311">
        <f t="shared" si="2"/>
        <v>0</v>
      </c>
      <c r="D19" s="267"/>
      <c r="E19" s="280">
        <f t="shared" si="3"/>
        <v>0</v>
      </c>
      <c r="F19" s="312">
        <f t="shared" si="4"/>
        <v>0</v>
      </c>
      <c r="G19" s="313"/>
      <c r="H19" s="314" t="s">
        <v>175</v>
      </c>
      <c r="I19" s="315"/>
      <c r="J19" s="318">
        <v>2383</v>
      </c>
      <c r="K19" s="267"/>
      <c r="L19" s="280">
        <f t="shared" si="0"/>
        <v>0</v>
      </c>
      <c r="M19" s="317">
        <f t="shared" si="5"/>
        <v>0</v>
      </c>
    </row>
    <row r="20" spans="1:16" x14ac:dyDescent="0.25">
      <c r="A20" s="309">
        <f t="shared" si="1"/>
        <v>0</v>
      </c>
      <c r="B20" s="310">
        <f>(1000-$C$15-$C$16-$C$17-$C$24-$C$25-$C$26-$C$27-$C$28)*K5*J7*D7</f>
        <v>0</v>
      </c>
      <c r="C20" s="311">
        <f t="shared" si="2"/>
        <v>0</v>
      </c>
      <c r="D20" s="267"/>
      <c r="E20" s="280">
        <f t="shared" si="3"/>
        <v>0</v>
      </c>
      <c r="F20" s="312">
        <f t="shared" si="4"/>
        <v>0</v>
      </c>
      <c r="G20" s="313"/>
      <c r="H20" s="314" t="s">
        <v>176</v>
      </c>
      <c r="I20" s="315"/>
      <c r="J20" s="319">
        <v>0</v>
      </c>
      <c r="K20" s="267"/>
      <c r="L20" s="280">
        <f t="shared" si="0"/>
        <v>0</v>
      </c>
      <c r="M20" s="317">
        <f t="shared" si="5"/>
        <v>0</v>
      </c>
    </row>
    <row r="21" spans="1:16" x14ac:dyDescent="0.25">
      <c r="A21" s="309" t="str">
        <f t="shared" si="1"/>
        <v>AC2</v>
      </c>
      <c r="B21" s="310">
        <f>(1000-$C$15-$C$16-$C$17-$C$24-$C$25-$C$26-$C$27-$C$28)*K8*J8*D8</f>
        <v>915.12105036450487</v>
      </c>
      <c r="C21" s="311">
        <f t="shared" si="2"/>
        <v>341.46307849421822</v>
      </c>
      <c r="D21" s="267"/>
      <c r="E21" s="280" t="str">
        <f t="shared" si="3"/>
        <v>AC2</v>
      </c>
      <c r="F21" s="312">
        <f t="shared" si="4"/>
        <v>45.756052518225239</v>
      </c>
      <c r="G21" s="313"/>
      <c r="H21" s="314" t="s">
        <v>177</v>
      </c>
      <c r="I21" s="315"/>
      <c r="J21" s="319"/>
      <c r="K21" s="267"/>
      <c r="L21" s="280" t="str">
        <f t="shared" si="0"/>
        <v>AC2</v>
      </c>
      <c r="M21" s="317">
        <f t="shared" si="5"/>
        <v>913.39598885487555</v>
      </c>
    </row>
    <row r="22" spans="1:16" x14ac:dyDescent="0.25">
      <c r="A22" s="309">
        <f t="shared" si="1"/>
        <v>0</v>
      </c>
      <c r="B22" s="310">
        <f>(1000-$C$15-$C$16-$C$17-$C$24-$C$25-$C$26-$C$27-$C$28)*K8*J9*D9</f>
        <v>0</v>
      </c>
      <c r="C22" s="311">
        <f t="shared" si="2"/>
        <v>0</v>
      </c>
      <c r="D22" s="267"/>
      <c r="E22" s="280">
        <f t="shared" si="3"/>
        <v>0</v>
      </c>
      <c r="F22" s="312">
        <f t="shared" si="4"/>
        <v>0</v>
      </c>
      <c r="G22" s="313"/>
      <c r="H22" s="314" t="s">
        <v>178</v>
      </c>
      <c r="I22" s="315"/>
      <c r="J22" s="316"/>
      <c r="K22" s="267"/>
      <c r="L22" s="280">
        <f t="shared" si="0"/>
        <v>0</v>
      </c>
      <c r="M22" s="317">
        <f t="shared" si="5"/>
        <v>0</v>
      </c>
    </row>
    <row r="23" spans="1:16" x14ac:dyDescent="0.25">
      <c r="A23" s="309">
        <f t="shared" si="1"/>
        <v>0</v>
      </c>
      <c r="B23" s="310">
        <f>(1000-$C$15-$C$16-$C$17-$C$24-$C$25-$C$26-$C$27-$C$28)*K8*J10*D10</f>
        <v>0</v>
      </c>
      <c r="C23" s="311">
        <f t="shared" si="2"/>
        <v>0</v>
      </c>
      <c r="D23" s="267"/>
      <c r="E23" s="280">
        <f t="shared" si="3"/>
        <v>0</v>
      </c>
      <c r="F23" s="312">
        <f t="shared" si="4"/>
        <v>0</v>
      </c>
      <c r="G23" s="313"/>
      <c r="H23" s="314" t="s">
        <v>179</v>
      </c>
      <c r="I23" s="315"/>
      <c r="J23" s="320"/>
      <c r="K23" s="267"/>
      <c r="L23" s="280">
        <f t="shared" si="0"/>
        <v>0</v>
      </c>
      <c r="M23" s="317">
        <f t="shared" si="5"/>
        <v>0</v>
      </c>
    </row>
    <row r="24" spans="1:16" x14ac:dyDescent="0.25">
      <c r="A24" s="321" t="str">
        <f>+'4° Resumen'!C15</f>
        <v>EDV</v>
      </c>
      <c r="B24" s="322">
        <f>+'4° Resumen'!D15</f>
        <v>1.675</v>
      </c>
      <c r="C24" s="311">
        <f>B24*($B$16+$B$15)/1000</f>
        <v>0.56112499999999998</v>
      </c>
      <c r="D24" s="267"/>
      <c r="E24" s="323" t="str">
        <f>+A24</f>
        <v>EDV</v>
      </c>
      <c r="F24" s="311">
        <f>F15*B24</f>
        <v>28.056250000000002</v>
      </c>
      <c r="G24" s="267"/>
      <c r="H24" s="324" t="str">
        <f>+E24</f>
        <v>EDV</v>
      </c>
      <c r="I24" s="325"/>
      <c r="J24" s="316"/>
      <c r="K24" s="267"/>
      <c r="L24" s="326" t="str">
        <f>+A24</f>
        <v>EDV</v>
      </c>
      <c r="M24" s="327">
        <f>(J24+F24)/($F$15+$F$16)</f>
        <v>1.675</v>
      </c>
      <c r="O24" s="430"/>
    </row>
    <row r="25" spans="1:16" x14ac:dyDescent="0.25">
      <c r="A25" s="321" t="str">
        <f>+'4° Resumen'!C16</f>
        <v>ECG</v>
      </c>
      <c r="B25" s="322">
        <f>+'4° Resumen'!D16</f>
        <v>1.34</v>
      </c>
      <c r="C25" s="311">
        <f>B25*($B$16+$B$15)/1000</f>
        <v>0.44890000000000002</v>
      </c>
      <c r="D25" s="267"/>
      <c r="E25" s="323" t="str">
        <f>+A25</f>
        <v>ECG</v>
      </c>
      <c r="F25" s="311">
        <f>+C25*$F$12*1000</f>
        <v>22.445000000000004</v>
      </c>
      <c r="G25" s="267"/>
      <c r="H25" s="324" t="str">
        <f>+E25</f>
        <v>ECG</v>
      </c>
      <c r="I25" s="325"/>
      <c r="J25" s="316"/>
      <c r="K25" s="267"/>
      <c r="L25" s="326" t="str">
        <f>+A25</f>
        <v>ECG</v>
      </c>
      <c r="M25" s="327">
        <f>(J25+F25)/($F$15+$F$16)</f>
        <v>1.3400000000000003</v>
      </c>
    </row>
    <row r="26" spans="1:16" x14ac:dyDescent="0.25">
      <c r="A26" s="321" t="str">
        <f>+'4° Resumen'!C17</f>
        <v>EDF</v>
      </c>
      <c r="B26" s="322">
        <f>+'4° Resumen'!D17</f>
        <v>0.1</v>
      </c>
      <c r="C26" s="311">
        <f>B26*($B$16+$B$15)/1000</f>
        <v>3.3500000000000002E-2</v>
      </c>
      <c r="D26" s="267"/>
      <c r="E26" s="328" t="str">
        <f>+A26</f>
        <v>EDF</v>
      </c>
      <c r="F26" s="311">
        <f>+B26*$F$12*1000</f>
        <v>5.0000000000000009</v>
      </c>
      <c r="G26" s="267"/>
      <c r="H26" s="329" t="str">
        <f>+E26</f>
        <v>EDF</v>
      </c>
      <c r="I26" s="325"/>
      <c r="J26" s="316"/>
      <c r="K26" s="267"/>
      <c r="L26" s="330" t="str">
        <f>+A26</f>
        <v>EDF</v>
      </c>
      <c r="M26" s="327">
        <f>(J26+F26)/(F12*1000)</f>
        <v>0.10000000000000002</v>
      </c>
    </row>
    <row r="27" spans="1:16" x14ac:dyDescent="0.25">
      <c r="A27" s="321">
        <f>+'4° Resumen'!C18</f>
        <v>0</v>
      </c>
      <c r="B27" s="322">
        <f>+'4° Resumen'!D18</f>
        <v>0</v>
      </c>
      <c r="C27" s="311">
        <f>B27*($B$16+$B$15)/1000</f>
        <v>0</v>
      </c>
      <c r="D27" s="267"/>
      <c r="E27" s="323">
        <f>+A27</f>
        <v>0</v>
      </c>
      <c r="F27" s="311">
        <f>+C27*$F$12*1000</f>
        <v>0</v>
      </c>
      <c r="G27" s="267"/>
      <c r="H27" s="324">
        <f>+E27</f>
        <v>0</v>
      </c>
      <c r="I27" s="325"/>
      <c r="J27" s="316"/>
      <c r="K27" s="267"/>
      <c r="L27" s="326">
        <f>+A27</f>
        <v>0</v>
      </c>
      <c r="M27" s="327">
        <f>(J27+F27)/($F$15+$F$16)</f>
        <v>0</v>
      </c>
    </row>
    <row r="28" spans="1:16" x14ac:dyDescent="0.25">
      <c r="A28" s="309" t="s">
        <v>30</v>
      </c>
      <c r="B28" s="331">
        <f>+'4° Resumen'!D14</f>
        <v>0.02</v>
      </c>
      <c r="C28" s="311">
        <f>+B28*1000</f>
        <v>20</v>
      </c>
      <c r="D28" s="267"/>
      <c r="E28" s="280"/>
      <c r="F28" s="332"/>
      <c r="G28" s="333"/>
      <c r="H28" s="314" t="s">
        <v>180</v>
      </c>
      <c r="I28" s="334"/>
      <c r="J28" s="335">
        <f>+(F29+J20)/J19*1000</f>
        <v>50.094431195816398</v>
      </c>
      <c r="K28" s="267"/>
      <c r="L28" s="280" t="s">
        <v>181</v>
      </c>
      <c r="M28" s="336" t="e">
        <f>1-(M15/D3+M16/D4+M17+M18/D5+M19/D6+M20/D7+M21/D8+M22/D9+M23/D10)/1000</f>
        <v>#DIV/0!</v>
      </c>
    </row>
    <row r="29" spans="1:16" x14ac:dyDescent="0.25">
      <c r="A29" s="337" t="s">
        <v>182</v>
      </c>
      <c r="B29" s="338">
        <f>SUM(B15:B23)</f>
        <v>2387.5005907926097</v>
      </c>
      <c r="C29" s="339">
        <f>SUM(C15:C28)</f>
        <v>1000.0000000000001</v>
      </c>
      <c r="D29" s="267"/>
      <c r="E29" s="337" t="s">
        <v>182</v>
      </c>
      <c r="F29" s="340">
        <f>SUM(F15:F23)</f>
        <v>119.37502953963048</v>
      </c>
      <c r="G29" s="341"/>
      <c r="H29" s="342" t="s">
        <v>183</v>
      </c>
      <c r="I29" s="343"/>
      <c r="J29" s="340">
        <f>+M17/(M16+M15)</f>
        <v>0.5223880597014926</v>
      </c>
      <c r="K29" s="267"/>
      <c r="L29" s="337" t="s">
        <v>182</v>
      </c>
      <c r="M29" s="344">
        <f>SUM(M15:M23)</f>
        <v>2383</v>
      </c>
    </row>
    <row r="31" spans="1:16" x14ac:dyDescent="0.25">
      <c r="A31" s="1250" t="s">
        <v>184</v>
      </c>
      <c r="B31" s="1251"/>
      <c r="C31" s="1252"/>
      <c r="D31" s="267"/>
      <c r="E31" s="1250" t="s">
        <v>185</v>
      </c>
      <c r="F31" s="1252"/>
      <c r="G31" s="267"/>
      <c r="H31" s="1250" t="s">
        <v>186</v>
      </c>
      <c r="I31" s="1251"/>
      <c r="J31" s="1252"/>
      <c r="K31" s="345"/>
      <c r="L31" s="1250" t="s">
        <v>187</v>
      </c>
      <c r="M31" s="1252"/>
    </row>
    <row r="32" spans="1:16" x14ac:dyDescent="0.25">
      <c r="A32" s="280" t="s">
        <v>188</v>
      </c>
      <c r="B32" s="346" t="s">
        <v>189</v>
      </c>
      <c r="C32" s="347" t="s">
        <v>190</v>
      </c>
      <c r="D32" s="267"/>
      <c r="E32" s="280" t="s">
        <v>84</v>
      </c>
      <c r="F32" s="348"/>
      <c r="G32" s="267"/>
      <c r="H32" s="314" t="s">
        <v>191</v>
      </c>
      <c r="I32" s="315"/>
      <c r="J32" s="349"/>
      <c r="L32" s="1253"/>
      <c r="M32" s="1254"/>
    </row>
    <row r="33" spans="1:14" x14ac:dyDescent="0.25">
      <c r="A33" s="350"/>
      <c r="B33" s="283"/>
      <c r="C33" s="351">
        <f>+B33/$I$12</f>
        <v>0</v>
      </c>
      <c r="D33" s="267"/>
      <c r="E33" s="280" t="s">
        <v>89</v>
      </c>
      <c r="F33" s="352"/>
      <c r="G33" s="267"/>
      <c r="H33" s="314" t="s">
        <v>192</v>
      </c>
      <c r="I33" s="315"/>
      <c r="J33" s="349"/>
      <c r="L33" s="1255"/>
      <c r="M33" s="1256"/>
    </row>
    <row r="34" spans="1:14" x14ac:dyDescent="0.25">
      <c r="A34" s="350"/>
      <c r="B34" s="283"/>
      <c r="C34" s="351">
        <f>+B34/$I$12</f>
        <v>0</v>
      </c>
      <c r="D34" s="267"/>
      <c r="E34" s="280" t="s">
        <v>193</v>
      </c>
      <c r="F34" s="352"/>
      <c r="G34" s="267"/>
      <c r="H34" s="314" t="s">
        <v>194</v>
      </c>
      <c r="I34" s="315"/>
      <c r="J34" s="353">
        <f>+J33-J32</f>
        <v>0</v>
      </c>
      <c r="L34" s="1255"/>
      <c r="M34" s="1256"/>
    </row>
    <row r="35" spans="1:14" x14ac:dyDescent="0.25">
      <c r="A35" s="350"/>
      <c r="B35" s="283"/>
      <c r="C35" s="351">
        <f>+B35/$I$12</f>
        <v>0</v>
      </c>
      <c r="D35" s="267"/>
      <c r="E35" s="280" t="s">
        <v>195</v>
      </c>
      <c r="F35" s="352"/>
      <c r="G35" s="267"/>
      <c r="H35" s="314" t="s">
        <v>196</v>
      </c>
      <c r="I35" s="315"/>
      <c r="J35" s="349"/>
      <c r="K35" s="267"/>
      <c r="L35" s="1255"/>
      <c r="M35" s="1256"/>
    </row>
    <row r="36" spans="1:14" x14ac:dyDescent="0.25">
      <c r="A36" s="350"/>
      <c r="B36" s="283"/>
      <c r="C36" s="351">
        <f>+B36/$I$12</f>
        <v>0</v>
      </c>
      <c r="D36" s="267"/>
      <c r="E36" s="280" t="s">
        <v>197</v>
      </c>
      <c r="F36" s="352"/>
      <c r="G36" s="267"/>
      <c r="H36" s="314" t="s">
        <v>198</v>
      </c>
      <c r="I36" s="315"/>
      <c r="J36" s="349"/>
      <c r="K36" s="267"/>
      <c r="L36" s="1255"/>
      <c r="M36" s="1256"/>
      <c r="N36" s="425"/>
    </row>
    <row r="37" spans="1:14" x14ac:dyDescent="0.25">
      <c r="A37" s="354"/>
      <c r="B37" s="293"/>
      <c r="C37" s="355">
        <f>+B37/$I$12</f>
        <v>0</v>
      </c>
      <c r="D37" s="267"/>
      <c r="E37" s="290" t="s">
        <v>199</v>
      </c>
      <c r="F37" s="356"/>
      <c r="G37" s="267"/>
      <c r="H37" s="314" t="s">
        <v>200</v>
      </c>
      <c r="I37" s="315"/>
      <c r="J37" s="353">
        <f>+J36-J35</f>
        <v>0</v>
      </c>
      <c r="K37" s="267"/>
      <c r="L37" s="1257"/>
      <c r="M37" s="1258"/>
      <c r="N37" s="425"/>
    </row>
    <row r="38" spans="1:14" x14ac:dyDescent="0.25">
      <c r="A38" s="267"/>
      <c r="B38" s="267"/>
      <c r="C38" s="267"/>
      <c r="D38" s="267"/>
      <c r="E38" s="267"/>
      <c r="F38" s="267"/>
      <c r="G38" s="267"/>
      <c r="H38" s="267"/>
      <c r="I38" s="267"/>
      <c r="J38" s="267"/>
      <c r="K38" s="267"/>
      <c r="L38" s="267"/>
      <c r="M38" s="267"/>
      <c r="N38" s="425"/>
    </row>
    <row r="39" spans="1:14" x14ac:dyDescent="0.25">
      <c r="A39" s="267"/>
      <c r="B39" s="267"/>
      <c r="C39" s="267"/>
      <c r="D39" s="267"/>
      <c r="E39" s="267"/>
      <c r="F39" s="267"/>
      <c r="G39" s="267"/>
      <c r="H39" s="267"/>
      <c r="I39" s="267"/>
      <c r="J39" s="267"/>
      <c r="K39" s="267"/>
      <c r="L39" s="267"/>
      <c r="M39" s="267"/>
      <c r="N39" s="425"/>
    </row>
    <row r="40" spans="1:14" x14ac:dyDescent="0.25">
      <c r="A40" s="267"/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425"/>
    </row>
    <row r="41" spans="1:14" x14ac:dyDescent="0.25">
      <c r="A41" s="267"/>
      <c r="B41" s="267"/>
      <c r="C41" s="267"/>
      <c r="D41" s="267"/>
      <c r="E41" s="267"/>
      <c r="F41" s="267"/>
      <c r="G41" s="267"/>
      <c r="H41" s="267"/>
      <c r="I41" s="267"/>
      <c r="J41" s="267"/>
      <c r="K41" s="267"/>
      <c r="L41" s="267"/>
      <c r="M41" s="267"/>
      <c r="N41" s="425"/>
    </row>
    <row r="42" spans="1:14" x14ac:dyDescent="0.25">
      <c r="A42" s="267"/>
      <c r="B42" s="267"/>
      <c r="C42" s="267"/>
      <c r="D42" s="267"/>
      <c r="E42" s="267"/>
      <c r="F42" s="267"/>
      <c r="G42" s="267"/>
      <c r="H42" s="267"/>
      <c r="I42" s="267"/>
      <c r="J42" s="267"/>
      <c r="K42" s="267"/>
      <c r="L42" s="267"/>
      <c r="M42" s="267"/>
      <c r="N42" s="425"/>
    </row>
    <row r="43" spans="1:14" x14ac:dyDescent="0.25">
      <c r="A43" s="267"/>
      <c r="B43" s="267"/>
      <c r="C43" s="267"/>
      <c r="D43" s="267"/>
      <c r="E43" s="267"/>
      <c r="F43" s="267"/>
      <c r="G43" s="267"/>
      <c r="H43" s="267"/>
      <c r="I43" s="267"/>
      <c r="J43" s="267"/>
      <c r="K43" s="267"/>
      <c r="L43" s="267"/>
      <c r="M43" s="267"/>
      <c r="N43" s="425"/>
    </row>
    <row r="44" spans="1:14" x14ac:dyDescent="0.25">
      <c r="A44" s="267"/>
      <c r="B44" s="267"/>
      <c r="C44" s="267"/>
      <c r="D44" s="267"/>
      <c r="E44" s="267"/>
      <c r="F44" s="267"/>
      <c r="G44" s="267"/>
      <c r="H44" s="267"/>
      <c r="I44" s="267"/>
      <c r="J44" s="267"/>
      <c r="K44" s="267"/>
      <c r="L44" s="267"/>
      <c r="M44" s="267"/>
      <c r="N44" s="425"/>
    </row>
    <row r="45" spans="1:14" x14ac:dyDescent="0.25">
      <c r="A45" s="267"/>
      <c r="B45" s="267"/>
      <c r="C45" s="267"/>
      <c r="D45" s="267"/>
      <c r="E45" s="267"/>
      <c r="F45" s="267"/>
      <c r="G45" s="267"/>
      <c r="H45" s="267"/>
      <c r="I45" s="267"/>
      <c r="J45" s="267"/>
      <c r="K45" s="267"/>
      <c r="L45" s="267"/>
      <c r="M45" s="267"/>
      <c r="N45" s="425"/>
    </row>
    <row r="46" spans="1:14" x14ac:dyDescent="0.25">
      <c r="A46" s="267"/>
      <c r="B46" s="267"/>
      <c r="C46" s="267"/>
      <c r="D46" s="267"/>
      <c r="E46" s="267"/>
      <c r="F46" s="267"/>
      <c r="G46" s="267"/>
      <c r="H46" s="267"/>
      <c r="I46" s="267"/>
      <c r="J46" s="267"/>
      <c r="K46" s="267"/>
      <c r="L46" s="267"/>
      <c r="M46" s="267"/>
      <c r="N46" s="425"/>
    </row>
    <row r="47" spans="1:14" x14ac:dyDescent="0.25">
      <c r="A47" s="267"/>
      <c r="B47" s="267"/>
      <c r="C47" s="267"/>
      <c r="D47" s="267"/>
      <c r="E47" s="267"/>
      <c r="F47" s="267"/>
      <c r="G47" s="267"/>
      <c r="H47" s="267"/>
      <c r="I47" s="267"/>
      <c r="J47" s="267"/>
      <c r="K47" s="267"/>
      <c r="L47" s="267"/>
      <c r="M47" s="267"/>
      <c r="N47" s="425"/>
    </row>
    <row r="48" spans="1:14" x14ac:dyDescent="0.25">
      <c r="A48" s="267"/>
      <c r="B48" s="267"/>
      <c r="C48" s="267"/>
      <c r="D48" s="267"/>
      <c r="E48" s="267"/>
      <c r="F48" s="267"/>
      <c r="G48" s="267"/>
      <c r="H48" s="267"/>
      <c r="I48" s="267"/>
      <c r="J48" s="267"/>
      <c r="K48" s="267"/>
      <c r="L48" s="267"/>
      <c r="M48" s="267"/>
      <c r="N48" s="425"/>
    </row>
    <row r="49" spans="1:14" x14ac:dyDescent="0.25">
      <c r="A49" s="267"/>
      <c r="B49" s="267"/>
      <c r="C49" s="267"/>
      <c r="D49" s="267"/>
      <c r="E49" s="267"/>
      <c r="F49" s="267"/>
      <c r="G49" s="267"/>
      <c r="H49" s="267"/>
      <c r="I49" s="267"/>
      <c r="J49" s="267"/>
      <c r="K49" s="267"/>
      <c r="L49" s="267"/>
      <c r="M49" s="267"/>
      <c r="N49" s="425"/>
    </row>
    <row r="50" spans="1:14" x14ac:dyDescent="0.25">
      <c r="A50" s="267"/>
      <c r="B50" s="267"/>
      <c r="C50" s="267"/>
      <c r="D50" s="267"/>
      <c r="E50" s="267"/>
      <c r="F50" s="267"/>
      <c r="G50" s="267"/>
      <c r="H50" s="267"/>
      <c r="I50" s="267"/>
      <c r="J50" s="267"/>
      <c r="K50" s="267"/>
      <c r="L50" s="267"/>
      <c r="M50" s="267"/>
      <c r="N50" s="425"/>
    </row>
    <row r="51" spans="1:14" x14ac:dyDescent="0.25">
      <c r="A51" s="267"/>
      <c r="B51" s="267"/>
      <c r="C51" s="267"/>
      <c r="D51" s="267"/>
      <c r="E51" s="267"/>
      <c r="F51" s="267"/>
      <c r="G51" s="267"/>
      <c r="H51" s="267"/>
      <c r="I51" s="267"/>
      <c r="J51" s="267"/>
      <c r="K51" s="267"/>
      <c r="L51" s="267"/>
      <c r="M51" s="267"/>
      <c r="N51" s="425"/>
    </row>
    <row r="52" spans="1:14" x14ac:dyDescent="0.25">
      <c r="A52" s="267"/>
      <c r="B52" s="267"/>
      <c r="C52" s="267"/>
      <c r="D52" s="267"/>
      <c r="E52" s="267"/>
      <c r="F52" s="267"/>
      <c r="G52" s="267"/>
      <c r="H52" s="267"/>
      <c r="I52" s="267"/>
      <c r="J52" s="267"/>
      <c r="K52" s="267"/>
      <c r="L52" s="267"/>
      <c r="M52" s="267"/>
      <c r="N52" s="425"/>
    </row>
    <row r="53" spans="1:14" x14ac:dyDescent="0.25">
      <c r="A53" s="267"/>
      <c r="B53" s="267"/>
      <c r="C53" s="267"/>
      <c r="D53" s="267"/>
      <c r="E53" s="267"/>
      <c r="F53" s="267"/>
      <c r="G53" s="267"/>
      <c r="H53" s="267"/>
      <c r="I53" s="267"/>
      <c r="J53" s="267"/>
      <c r="K53" s="267"/>
      <c r="L53" s="267"/>
      <c r="M53" s="267"/>
      <c r="N53" s="425"/>
    </row>
    <row r="54" spans="1:14" x14ac:dyDescent="0.25">
      <c r="A54" s="267"/>
      <c r="B54" s="267"/>
      <c r="C54" s="267"/>
      <c r="D54" s="267"/>
      <c r="E54" s="267"/>
      <c r="F54" s="267"/>
      <c r="G54" s="267"/>
      <c r="H54" s="267"/>
      <c r="I54" s="267"/>
      <c r="J54" s="267"/>
      <c r="K54" s="267"/>
      <c r="L54" s="267"/>
      <c r="M54" s="267"/>
      <c r="N54" s="425"/>
    </row>
    <row r="55" spans="1:14" x14ac:dyDescent="0.25">
      <c r="A55" s="267"/>
      <c r="B55" s="267"/>
      <c r="C55" s="267"/>
      <c r="D55" s="267"/>
      <c r="E55" s="267"/>
      <c r="F55" s="267"/>
      <c r="G55" s="267"/>
      <c r="H55" s="267"/>
      <c r="I55" s="267"/>
      <c r="J55" s="267"/>
      <c r="K55" s="267"/>
      <c r="L55" s="267"/>
      <c r="M55" s="267"/>
      <c r="N55" s="425"/>
    </row>
    <row r="56" spans="1:14" x14ac:dyDescent="0.25">
      <c r="A56" s="267"/>
      <c r="B56" s="267"/>
      <c r="C56" s="267"/>
      <c r="D56" s="267"/>
      <c r="E56" s="267"/>
      <c r="F56" s="267"/>
      <c r="G56" s="267"/>
      <c r="H56" s="267"/>
      <c r="I56" s="267"/>
      <c r="J56" s="267"/>
      <c r="K56" s="267"/>
      <c r="L56" s="267"/>
      <c r="M56" s="267"/>
      <c r="N56" s="425"/>
    </row>
    <row r="57" spans="1:14" x14ac:dyDescent="0.25">
      <c r="A57" s="267"/>
      <c r="B57" s="267"/>
      <c r="C57" s="267"/>
      <c r="D57" s="267"/>
      <c r="E57" s="267"/>
      <c r="F57" s="267"/>
      <c r="G57" s="267"/>
      <c r="H57" s="267"/>
      <c r="I57" s="267"/>
      <c r="J57" s="267"/>
      <c r="K57" s="267"/>
      <c r="L57" s="267"/>
      <c r="M57" s="267"/>
      <c r="N57" s="425"/>
    </row>
    <row r="58" spans="1:14" x14ac:dyDescent="0.25">
      <c r="A58" s="267"/>
      <c r="B58" s="267"/>
      <c r="C58" s="267"/>
      <c r="D58" s="267"/>
      <c r="E58" s="267"/>
      <c r="F58" s="267"/>
      <c r="G58" s="267"/>
      <c r="H58" s="267"/>
      <c r="I58" s="267"/>
      <c r="J58" s="267"/>
      <c r="K58" s="267"/>
      <c r="L58" s="267"/>
      <c r="M58" s="267"/>
      <c r="N58" s="425"/>
    </row>
    <row r="59" spans="1:14" x14ac:dyDescent="0.25">
      <c r="A59" s="267"/>
      <c r="B59" s="267"/>
      <c r="C59" s="267"/>
      <c r="D59" s="267"/>
      <c r="E59" s="267"/>
      <c r="F59" s="267"/>
      <c r="G59" s="267"/>
      <c r="H59" s="267"/>
      <c r="I59" s="267"/>
      <c r="J59" s="267"/>
      <c r="K59" s="267"/>
      <c r="L59" s="267"/>
      <c r="M59" s="267"/>
      <c r="N59" s="425"/>
    </row>
    <row r="60" spans="1:14" x14ac:dyDescent="0.25">
      <c r="A60" s="267"/>
      <c r="B60" s="267"/>
      <c r="C60" s="267"/>
      <c r="D60" s="267"/>
      <c r="E60" s="267"/>
      <c r="F60" s="267"/>
      <c r="G60" s="267"/>
      <c r="H60" s="267"/>
      <c r="I60" s="267"/>
      <c r="J60" s="267"/>
      <c r="K60" s="267"/>
      <c r="L60" s="267"/>
      <c r="M60" s="267"/>
      <c r="N60" s="425"/>
    </row>
    <row r="61" spans="1:14" x14ac:dyDescent="0.25">
      <c r="A61" s="267"/>
      <c r="B61" s="267"/>
      <c r="C61" s="267"/>
      <c r="D61" s="267"/>
      <c r="E61" s="267"/>
      <c r="F61" s="267"/>
      <c r="G61" s="267"/>
      <c r="H61" s="267"/>
      <c r="I61" s="267"/>
      <c r="J61" s="267"/>
      <c r="K61" s="267"/>
      <c r="L61" s="267"/>
      <c r="M61" s="267"/>
      <c r="N61" s="425"/>
    </row>
    <row r="62" spans="1:14" x14ac:dyDescent="0.25">
      <c r="A62" s="267"/>
      <c r="B62" s="267"/>
      <c r="C62" s="267"/>
      <c r="D62" s="267"/>
      <c r="E62" s="267"/>
      <c r="F62" s="267"/>
      <c r="G62" s="267"/>
      <c r="H62" s="267"/>
      <c r="I62" s="267"/>
      <c r="J62" s="267"/>
      <c r="K62" s="267"/>
      <c r="L62" s="267"/>
      <c r="M62" s="267"/>
      <c r="N62" s="425"/>
    </row>
    <row r="63" spans="1:14" x14ac:dyDescent="0.25">
      <c r="A63" s="267"/>
      <c r="B63" s="267"/>
      <c r="C63" s="267"/>
      <c r="D63" s="267"/>
      <c r="E63" s="267"/>
      <c r="F63" s="267"/>
      <c r="G63" s="267"/>
      <c r="H63" s="267"/>
      <c r="I63" s="267"/>
      <c r="J63" s="267"/>
      <c r="K63" s="267"/>
      <c r="L63" s="267"/>
      <c r="M63" s="267"/>
      <c r="N63" s="425"/>
    </row>
    <row r="64" spans="1:14" x14ac:dyDescent="0.25">
      <c r="A64" s="267"/>
      <c r="B64" s="267"/>
      <c r="C64" s="267"/>
      <c r="D64" s="267"/>
      <c r="E64" s="267"/>
      <c r="F64" s="267"/>
      <c r="G64" s="267"/>
      <c r="H64" s="267"/>
      <c r="I64" s="267"/>
      <c r="J64" s="267"/>
      <c r="K64" s="267"/>
      <c r="L64" s="267"/>
      <c r="M64" s="267"/>
      <c r="N64" s="425"/>
    </row>
    <row r="65" spans="1:14" x14ac:dyDescent="0.25">
      <c r="A65" s="267"/>
      <c r="B65" s="267"/>
      <c r="C65" s="267"/>
      <c r="D65" s="267"/>
      <c r="E65" s="267"/>
      <c r="F65" s="267"/>
      <c r="G65" s="267"/>
      <c r="H65" s="267"/>
      <c r="I65" s="267"/>
      <c r="J65" s="267"/>
      <c r="K65" s="267"/>
      <c r="L65" s="267"/>
      <c r="M65" s="267"/>
      <c r="N65" s="425"/>
    </row>
    <row r="66" spans="1:14" x14ac:dyDescent="0.25">
      <c r="A66" s="267"/>
      <c r="B66" s="267"/>
      <c r="C66" s="267"/>
      <c r="D66" s="267"/>
      <c r="E66" s="267"/>
      <c r="F66" s="267"/>
      <c r="G66" s="267"/>
      <c r="H66" s="267"/>
      <c r="I66" s="267"/>
      <c r="J66" s="267"/>
      <c r="K66" s="267"/>
      <c r="L66" s="267"/>
      <c r="M66" s="267"/>
      <c r="N66" s="425"/>
    </row>
    <row r="67" spans="1:14" x14ac:dyDescent="0.25">
      <c r="A67" s="267"/>
      <c r="B67" s="267"/>
      <c r="C67" s="267"/>
      <c r="D67" s="267"/>
      <c r="E67" s="267"/>
      <c r="F67" s="267"/>
      <c r="G67" s="267"/>
      <c r="H67" s="267"/>
      <c r="I67" s="267"/>
      <c r="J67" s="267"/>
      <c r="K67" s="267"/>
      <c r="L67" s="267"/>
      <c r="M67" s="267"/>
      <c r="N67" s="425"/>
    </row>
    <row r="68" spans="1:14" x14ac:dyDescent="0.25">
      <c r="A68" s="267"/>
      <c r="B68" s="267"/>
      <c r="C68" s="267"/>
      <c r="D68" s="267"/>
      <c r="E68" s="267"/>
      <c r="F68" s="267"/>
      <c r="G68" s="267"/>
      <c r="H68" s="267"/>
      <c r="I68" s="267"/>
      <c r="J68" s="267"/>
      <c r="K68" s="267"/>
      <c r="L68" s="267"/>
      <c r="M68" s="267"/>
      <c r="N68" s="425"/>
    </row>
    <row r="69" spans="1:14" x14ac:dyDescent="0.25">
      <c r="A69" s="267"/>
      <c r="B69" s="267"/>
      <c r="C69" s="267"/>
      <c r="D69" s="267"/>
      <c r="E69" s="267"/>
      <c r="F69" s="267"/>
      <c r="G69" s="267"/>
      <c r="H69" s="267"/>
      <c r="I69" s="267"/>
      <c r="J69" s="267"/>
      <c r="K69" s="267"/>
      <c r="L69" s="267"/>
      <c r="M69" s="267"/>
      <c r="N69" s="425"/>
    </row>
    <row r="70" spans="1:14" x14ac:dyDescent="0.25">
      <c r="A70" s="267"/>
      <c r="B70" s="267"/>
      <c r="C70" s="267"/>
      <c r="D70" s="267"/>
      <c r="E70" s="267"/>
      <c r="F70" s="267"/>
      <c r="G70" s="267"/>
      <c r="H70" s="267"/>
      <c r="I70" s="267"/>
      <c r="J70" s="267"/>
      <c r="K70" s="267"/>
      <c r="L70" s="267"/>
      <c r="M70" s="267"/>
      <c r="N70" s="425"/>
    </row>
    <row r="71" spans="1:14" x14ac:dyDescent="0.25">
      <c r="A71" s="267"/>
      <c r="B71" s="267"/>
      <c r="C71" s="267"/>
      <c r="D71" s="267"/>
      <c r="E71" s="267"/>
      <c r="F71" s="267"/>
      <c r="G71" s="267"/>
      <c r="H71" s="267"/>
      <c r="I71" s="267"/>
      <c r="J71" s="267"/>
      <c r="K71" s="267"/>
      <c r="L71" s="267"/>
      <c r="M71" s="267"/>
      <c r="N71" s="425"/>
    </row>
    <row r="72" spans="1:14" x14ac:dyDescent="0.25">
      <c r="A72" s="267"/>
      <c r="B72" s="267"/>
      <c r="C72" s="267"/>
      <c r="D72" s="267"/>
      <c r="E72" s="267"/>
      <c r="F72" s="267"/>
      <c r="G72" s="267"/>
      <c r="H72" s="267"/>
      <c r="I72" s="267"/>
      <c r="J72" s="267"/>
      <c r="K72" s="267"/>
      <c r="L72" s="267"/>
      <c r="M72" s="267"/>
      <c r="N72" s="425"/>
    </row>
    <row r="73" spans="1:14" x14ac:dyDescent="0.25">
      <c r="A73" s="267"/>
      <c r="B73" s="267"/>
      <c r="C73" s="267"/>
      <c r="D73" s="267"/>
      <c r="E73" s="267"/>
      <c r="F73" s="267"/>
      <c r="G73" s="267"/>
      <c r="H73" s="267"/>
      <c r="I73" s="267"/>
      <c r="J73" s="267"/>
      <c r="K73" s="267"/>
      <c r="L73" s="267"/>
      <c r="M73" s="267"/>
      <c r="N73" s="425"/>
    </row>
    <row r="74" spans="1:14" x14ac:dyDescent="0.25">
      <c r="A74" s="267"/>
      <c r="B74" s="267"/>
      <c r="C74" s="267"/>
      <c r="D74" s="267"/>
      <c r="E74" s="267"/>
      <c r="F74" s="267"/>
      <c r="G74" s="267"/>
      <c r="H74" s="267"/>
      <c r="I74" s="267"/>
      <c r="J74" s="267"/>
      <c r="K74" s="267"/>
      <c r="L74" s="267"/>
      <c r="M74" s="267"/>
      <c r="N74" s="425"/>
    </row>
    <row r="75" spans="1:14" x14ac:dyDescent="0.25">
      <c r="A75" s="267"/>
      <c r="B75" s="267"/>
      <c r="C75" s="267"/>
      <c r="D75" s="267"/>
      <c r="E75" s="267"/>
      <c r="F75" s="267"/>
      <c r="G75" s="267"/>
      <c r="H75" s="267"/>
      <c r="I75" s="267"/>
      <c r="J75" s="267"/>
      <c r="K75" s="267"/>
      <c r="L75" s="267"/>
      <c r="M75" s="267"/>
      <c r="N75" s="425"/>
    </row>
    <row r="76" spans="1:14" x14ac:dyDescent="0.25">
      <c r="A76" s="267"/>
      <c r="B76" s="267"/>
      <c r="C76" s="267"/>
      <c r="D76" s="267"/>
      <c r="E76" s="267"/>
      <c r="F76" s="267"/>
      <c r="G76" s="267"/>
      <c r="H76" s="267"/>
      <c r="I76" s="267"/>
      <c r="J76" s="267"/>
      <c r="K76" s="267"/>
      <c r="L76" s="267"/>
      <c r="M76" s="267"/>
      <c r="N76" s="425"/>
    </row>
    <row r="77" spans="1:14" x14ac:dyDescent="0.25">
      <c r="A77" s="267"/>
      <c r="B77" s="267"/>
      <c r="C77" s="267"/>
      <c r="D77" s="267"/>
      <c r="E77" s="267"/>
      <c r="F77" s="267"/>
      <c r="G77" s="267"/>
      <c r="H77" s="267"/>
      <c r="I77" s="267"/>
      <c r="J77" s="267"/>
      <c r="K77" s="267"/>
      <c r="L77" s="267"/>
      <c r="M77" s="267"/>
      <c r="N77" s="425"/>
    </row>
  </sheetData>
  <sheetProtection selectLockedCells="1"/>
  <mergeCells count="9">
    <mergeCell ref="A31:C31"/>
    <mergeCell ref="L32:M37"/>
    <mergeCell ref="H31:J31"/>
    <mergeCell ref="K8:L10"/>
    <mergeCell ref="K2:L2"/>
    <mergeCell ref="K3:L4"/>
    <mergeCell ref="K5:L7"/>
    <mergeCell ref="E31:F31"/>
    <mergeCell ref="L31:M31"/>
  </mergeCells>
  <phoneticPr fontId="3" type="noConversion"/>
  <dataValidations disablePrompts="1" count="1">
    <dataValidation type="list" allowBlank="1" showInputMessage="1" showErrorMessage="1" sqref="E5:E7" xr:uid="{00000000-0002-0000-0400-000000000000}">
      <formula1>$O$3:$O$6</formula1>
    </dataValidation>
  </dataValidations>
  <printOptions horizontalCentered="1" verticalCentered="1"/>
  <pageMargins left="0.14000000000000001" right="0.74803149606299213" top="0.74803149606299213" bottom="0.70866141732283472" header="0.51181102362204722" footer="0.51181102362204722"/>
  <pageSetup orientation="landscape" horizontalDpi="360" verticalDpi="36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N32"/>
  <sheetViews>
    <sheetView zoomScale="90" zoomScaleNormal="90" workbookViewId="0">
      <selection activeCell="R20" sqref="R20"/>
    </sheetView>
  </sheetViews>
  <sheetFormatPr baseColWidth="10" defaultColWidth="9.26953125" defaultRowHeight="12.5" x14ac:dyDescent="0.25"/>
  <cols>
    <col min="1" max="1" width="1.54296875" customWidth="1"/>
    <col min="5" max="5" width="9.26953125" customWidth="1"/>
  </cols>
  <sheetData>
    <row r="1" spans="2:13" x14ac:dyDescent="0.25">
      <c r="F1" s="1270" t="s">
        <v>337</v>
      </c>
      <c r="G1" s="1270"/>
      <c r="H1" s="1270"/>
      <c r="I1" s="1270"/>
      <c r="J1" s="1270"/>
      <c r="K1" s="1270"/>
      <c r="L1" s="1270"/>
      <c r="M1" s="1270"/>
    </row>
    <row r="2" spans="2:13" ht="12.75" customHeight="1" x14ac:dyDescent="0.25">
      <c r="B2" s="1269" t="s">
        <v>202</v>
      </c>
      <c r="C2" s="520"/>
      <c r="D2" s="524" t="s">
        <v>273</v>
      </c>
      <c r="F2" s="1270"/>
      <c r="G2" s="1270"/>
      <c r="H2" s="1270"/>
      <c r="I2" s="1270"/>
      <c r="J2" s="1270"/>
      <c r="K2" s="1270"/>
      <c r="L2" s="1270"/>
      <c r="M2" s="1270"/>
    </row>
    <row r="3" spans="2:13" x14ac:dyDescent="0.25">
      <c r="B3" s="1269"/>
      <c r="C3" s="520"/>
      <c r="D3" s="521"/>
    </row>
    <row r="4" spans="2:13" x14ac:dyDescent="0.25">
      <c r="B4" s="525" t="s">
        <v>158</v>
      </c>
      <c r="C4" s="522"/>
      <c r="D4" s="523"/>
    </row>
    <row r="5" spans="2:13" x14ac:dyDescent="0.25">
      <c r="B5" s="440" t="s">
        <v>215</v>
      </c>
      <c r="C5" s="440">
        <f>38.1^0.45</f>
        <v>5.1453656047204506</v>
      </c>
      <c r="D5" s="441">
        <f>'2° Granulometrías'!S10</f>
        <v>100.00000000000001</v>
      </c>
    </row>
    <row r="6" spans="2:13" x14ac:dyDescent="0.25">
      <c r="B6" s="440" t="s">
        <v>216</v>
      </c>
      <c r="C6" s="440">
        <f>25.4^0.45</f>
        <v>4.2872141011063745</v>
      </c>
      <c r="D6" s="441">
        <f>'2° Granulometrías'!S11</f>
        <v>94.901960784313729</v>
      </c>
    </row>
    <row r="7" spans="2:13" x14ac:dyDescent="0.25">
      <c r="B7" s="440" t="s">
        <v>217</v>
      </c>
      <c r="C7" s="440">
        <f>19^0.45</f>
        <v>3.7621761023862978</v>
      </c>
      <c r="D7" s="441">
        <f>'2° Granulometrías'!S12</f>
        <v>81.850980392156885</v>
      </c>
    </row>
    <row r="8" spans="2:13" x14ac:dyDescent="0.25">
      <c r="B8" s="440" t="s">
        <v>218</v>
      </c>
      <c r="C8" s="440">
        <f>12.7^0.45</f>
        <v>3.1384244204431129</v>
      </c>
      <c r="D8" s="441">
        <f>'2° Granulometrías'!S13</f>
        <v>69.564705882352939</v>
      </c>
    </row>
    <row r="9" spans="2:13" x14ac:dyDescent="0.25">
      <c r="B9" s="440" t="s">
        <v>219</v>
      </c>
      <c r="C9" s="440">
        <f>9.51^0.45</f>
        <v>2.7553782925550121</v>
      </c>
      <c r="D9" s="441">
        <f>'2° Granulometrías'!S14</f>
        <v>54.357254901960786</v>
      </c>
    </row>
    <row r="10" spans="2:13" x14ac:dyDescent="0.25">
      <c r="B10" s="440" t="s">
        <v>220</v>
      </c>
      <c r="C10" s="440">
        <f>(4.76^0.45)</f>
        <v>2.0180091390948611</v>
      </c>
      <c r="D10" s="441">
        <f>'2° Granulometrías'!S15</f>
        <v>43.300392156862749</v>
      </c>
    </row>
    <row r="11" spans="2:13" x14ac:dyDescent="0.25">
      <c r="B11" s="440" t="s">
        <v>221</v>
      </c>
      <c r="C11" s="440">
        <f>2.38^0.45</f>
        <v>1.4772691574181662</v>
      </c>
      <c r="D11" s="441">
        <f>'2° Granulometrías'!S16</f>
        <v>32.919607843137257</v>
      </c>
    </row>
    <row r="12" spans="2:13" x14ac:dyDescent="0.25">
      <c r="B12" s="440" t="s">
        <v>222</v>
      </c>
      <c r="C12" s="440">
        <f>1.19^0.45</f>
        <v>1.0814243212187917</v>
      </c>
      <c r="D12" s="441">
        <f>'2° Granulometrías'!S17</f>
        <v>26.627450980392158</v>
      </c>
    </row>
    <row r="13" spans="2:13" x14ac:dyDescent="0.25">
      <c r="B13" s="440" t="s">
        <v>223</v>
      </c>
      <c r="C13" s="440">
        <f>0.59^0.45</f>
        <v>0.78864836127500526</v>
      </c>
      <c r="D13" s="441">
        <f>'2° Granulometrías'!S18</f>
        <v>19.102941176470591</v>
      </c>
    </row>
    <row r="14" spans="2:13" x14ac:dyDescent="0.25">
      <c r="B14" s="440" t="s">
        <v>224</v>
      </c>
      <c r="C14" s="440">
        <f>0.297^0.45</f>
        <v>0.57908244871186842</v>
      </c>
      <c r="D14" s="441">
        <f>'2° Granulometrías'!S19</f>
        <v>13.460784313725492</v>
      </c>
    </row>
    <row r="15" spans="2:13" x14ac:dyDescent="0.25">
      <c r="B15" s="440" t="s">
        <v>225</v>
      </c>
      <c r="C15" s="440">
        <f>0.149^0.45</f>
        <v>0.42455486395722097</v>
      </c>
      <c r="D15" s="441">
        <f>'2° Granulometrías'!S20</f>
        <v>5.4852941176470589</v>
      </c>
    </row>
    <row r="16" spans="2:13" x14ac:dyDescent="0.25">
      <c r="B16" s="440" t="s">
        <v>226</v>
      </c>
      <c r="C16" s="440">
        <f>0.074^0.45</f>
        <v>0.30985197870034176</v>
      </c>
      <c r="D16" s="441">
        <f>'2° Granulometrías'!S21</f>
        <v>0</v>
      </c>
    </row>
    <row r="31" spans="12:14" x14ac:dyDescent="0.25">
      <c r="L31" s="1270"/>
      <c r="M31" s="1270"/>
      <c r="N31" s="1270"/>
    </row>
    <row r="32" spans="12:14" x14ac:dyDescent="0.25">
      <c r="L32" s="1270"/>
      <c r="M32" s="1270"/>
      <c r="N32" s="1270"/>
    </row>
  </sheetData>
  <sheetProtection selectLockedCells="1" selectUnlockedCells="1"/>
  <mergeCells count="3">
    <mergeCell ref="B2:B3"/>
    <mergeCell ref="F1:M2"/>
    <mergeCell ref="L31:N32"/>
  </mergeCells>
  <phoneticPr fontId="3" type="noConversion"/>
  <pageMargins left="0.75" right="0.75" top="1" bottom="1" header="0.5" footer="0.5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4E24C-EFBA-41CE-9042-A3F6463306B9}">
  <sheetPr codeName="Sheet9">
    <tabColor rgb="FFFF0000"/>
  </sheetPr>
  <dimension ref="B1:N32"/>
  <sheetViews>
    <sheetView zoomScale="90" zoomScaleNormal="90" workbookViewId="0">
      <selection activeCell="P9" sqref="P9"/>
    </sheetView>
  </sheetViews>
  <sheetFormatPr baseColWidth="10" defaultColWidth="9.26953125" defaultRowHeight="12.5" x14ac:dyDescent="0.25"/>
  <cols>
    <col min="1" max="1" width="1.54296875" customWidth="1"/>
    <col min="5" max="5" width="9.26953125" customWidth="1"/>
  </cols>
  <sheetData>
    <row r="1" spans="2:13" x14ac:dyDescent="0.25">
      <c r="F1" s="1270" t="s">
        <v>338</v>
      </c>
      <c r="G1" s="1270"/>
      <c r="H1" s="1270"/>
      <c r="I1" s="1270"/>
      <c r="J1" s="1270"/>
      <c r="K1" s="1270"/>
      <c r="L1" s="1270"/>
      <c r="M1" s="1270"/>
    </row>
    <row r="2" spans="2:13" ht="12.75" customHeight="1" x14ac:dyDescent="0.25">
      <c r="B2" s="1269" t="s">
        <v>202</v>
      </c>
      <c r="C2" s="520"/>
      <c r="D2" s="524" t="s">
        <v>273</v>
      </c>
      <c r="F2" s="1270"/>
      <c r="G2" s="1270"/>
      <c r="H2" s="1270"/>
      <c r="I2" s="1270"/>
      <c r="J2" s="1270"/>
      <c r="K2" s="1270"/>
      <c r="L2" s="1270"/>
      <c r="M2" s="1270"/>
    </row>
    <row r="3" spans="2:13" x14ac:dyDescent="0.25">
      <c r="B3" s="1269"/>
      <c r="C3" s="520"/>
      <c r="D3" s="521"/>
    </row>
    <row r="4" spans="2:13" x14ac:dyDescent="0.25">
      <c r="B4" s="525" t="s">
        <v>158</v>
      </c>
      <c r="C4" s="522"/>
      <c r="D4" s="523"/>
    </row>
    <row r="5" spans="2:13" x14ac:dyDescent="0.25">
      <c r="B5" s="440" t="s">
        <v>216</v>
      </c>
      <c r="C5" s="440">
        <f>25.4^0.45</f>
        <v>4.2872141011063745</v>
      </c>
      <c r="D5" s="441">
        <f>'2° Granulometrías'!S11</f>
        <v>94.901960784313729</v>
      </c>
    </row>
    <row r="6" spans="2:13" x14ac:dyDescent="0.25">
      <c r="B6" s="440" t="s">
        <v>217</v>
      </c>
      <c r="C6" s="440">
        <f>19^0.45</f>
        <v>3.7621761023862978</v>
      </c>
      <c r="D6" s="441">
        <f>'2° Granulometrías'!S12</f>
        <v>81.850980392156885</v>
      </c>
    </row>
    <row r="7" spans="2:13" x14ac:dyDescent="0.25">
      <c r="B7" s="440" t="s">
        <v>218</v>
      </c>
      <c r="C7" s="440">
        <f>12.7^0.45</f>
        <v>3.1384244204431129</v>
      </c>
      <c r="D7" s="441">
        <f>'2° Granulometrías'!S13</f>
        <v>69.564705882352939</v>
      </c>
    </row>
    <row r="8" spans="2:13" x14ac:dyDescent="0.25">
      <c r="B8" s="440" t="s">
        <v>219</v>
      </c>
      <c r="C8" s="440">
        <f>9.51^0.45</f>
        <v>2.7553782925550121</v>
      </c>
      <c r="D8" s="441">
        <f>'2° Granulometrías'!S14</f>
        <v>54.357254901960786</v>
      </c>
    </row>
    <row r="9" spans="2:13" x14ac:dyDescent="0.25">
      <c r="B9" s="440" t="s">
        <v>220</v>
      </c>
      <c r="C9" s="440">
        <f>(4.76^0.45)</f>
        <v>2.0180091390948611</v>
      </c>
      <c r="D9" s="441">
        <f>'2° Granulometrías'!S15</f>
        <v>43.300392156862749</v>
      </c>
    </row>
    <row r="10" spans="2:13" x14ac:dyDescent="0.25">
      <c r="B10" s="440" t="s">
        <v>221</v>
      </c>
      <c r="C10" s="440">
        <f>2.38^0.45</f>
        <v>1.4772691574181662</v>
      </c>
      <c r="D10" s="441">
        <f>'2° Granulometrías'!S16</f>
        <v>32.919607843137257</v>
      </c>
    </row>
    <row r="11" spans="2:13" x14ac:dyDescent="0.25">
      <c r="B11" s="440" t="s">
        <v>222</v>
      </c>
      <c r="C11" s="440">
        <f>1.19^0.45</f>
        <v>1.0814243212187917</v>
      </c>
      <c r="D11" s="441">
        <f>'2° Granulometrías'!S17</f>
        <v>26.627450980392158</v>
      </c>
    </row>
    <row r="12" spans="2:13" x14ac:dyDescent="0.25">
      <c r="B12" s="440" t="s">
        <v>223</v>
      </c>
      <c r="C12" s="440">
        <f>0.59^0.45</f>
        <v>0.78864836127500526</v>
      </c>
      <c r="D12" s="441">
        <f>'2° Granulometrías'!S18</f>
        <v>19.102941176470591</v>
      </c>
    </row>
    <row r="13" spans="2:13" x14ac:dyDescent="0.25">
      <c r="B13" s="440" t="s">
        <v>224</v>
      </c>
      <c r="C13" s="440">
        <f>0.297^0.45</f>
        <v>0.57908244871186842</v>
      </c>
      <c r="D13" s="441">
        <f>'2° Granulometrías'!S19</f>
        <v>13.460784313725492</v>
      </c>
    </row>
    <row r="14" spans="2:13" x14ac:dyDescent="0.25">
      <c r="B14" s="440" t="s">
        <v>225</v>
      </c>
      <c r="C14" s="440">
        <f>0.149^0.45</f>
        <v>0.42455486395722097</v>
      </c>
      <c r="D14" s="441">
        <f>'2° Granulometrías'!S20</f>
        <v>5.4852941176470589</v>
      </c>
    </row>
    <row r="15" spans="2:13" x14ac:dyDescent="0.25">
      <c r="B15" s="440" t="s">
        <v>226</v>
      </c>
      <c r="C15" s="440">
        <f>0.074^0.45</f>
        <v>0.30985197870034176</v>
      </c>
      <c r="D15" s="441">
        <f>'2° Granulometrías'!S21</f>
        <v>0</v>
      </c>
    </row>
    <row r="31" spans="12:14" x14ac:dyDescent="0.25">
      <c r="L31" s="1270"/>
      <c r="M31" s="1270"/>
      <c r="N31" s="1270"/>
    </row>
    <row r="32" spans="12:14" x14ac:dyDescent="0.25">
      <c r="L32" s="1270"/>
      <c r="M32" s="1270"/>
      <c r="N32" s="1270"/>
    </row>
  </sheetData>
  <sheetProtection selectLockedCells="1" selectUnlockedCells="1"/>
  <mergeCells count="3">
    <mergeCell ref="F1:M2"/>
    <mergeCell ref="B2:B3"/>
    <mergeCell ref="L31:N32"/>
  </mergeCells>
  <pageMargins left="0.75" right="0.75" top="1" bottom="1" header="0.5" footer="0.5"/>
  <headerFooter alignWithMargin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:M40"/>
  <sheetViews>
    <sheetView showGridLines="0" zoomScaleNormal="100" workbookViewId="0">
      <selection activeCell="P11" sqref="P11"/>
    </sheetView>
  </sheetViews>
  <sheetFormatPr baseColWidth="10" defaultColWidth="9.26953125" defaultRowHeight="12.5" x14ac:dyDescent="0.25"/>
  <cols>
    <col min="1" max="1" width="9.26953125" customWidth="1"/>
    <col min="2" max="2" width="24.453125" customWidth="1"/>
    <col min="3" max="3" width="9.54296875" bestFit="1" customWidth="1"/>
  </cols>
  <sheetData>
    <row r="1" spans="2:13" ht="13" thickBot="1" x14ac:dyDescent="0.3"/>
    <row r="2" spans="2:13" ht="13" x14ac:dyDescent="0.3">
      <c r="B2" s="434" t="s">
        <v>275</v>
      </c>
      <c r="C2" s="435">
        <f>'2° Granulometrías'!S16</f>
        <v>32.919607843137257</v>
      </c>
      <c r="D2" s="443" t="s">
        <v>308</v>
      </c>
    </row>
    <row r="3" spans="2:13" ht="13" x14ac:dyDescent="0.3">
      <c r="B3" s="436" t="s">
        <v>276</v>
      </c>
      <c r="C3" s="437">
        <f>'2° Granulometrías'!S16+2.5*(((Diseño!B15+Diseño!B16)-335)/43)</f>
        <v>32.919607843137257</v>
      </c>
      <c r="D3" s="444" t="s">
        <v>309</v>
      </c>
    </row>
    <row r="4" spans="2:13" ht="13.5" thickBot="1" x14ac:dyDescent="0.35">
      <c r="B4" s="438" t="s">
        <v>274</v>
      </c>
      <c r="C4" s="439">
        <f>SUM('Curva Distribución'!$H$5:$H$9)/SUM('Curva Distribución'!$H$5:$H$11)*100</f>
        <v>68.041857881967786</v>
      </c>
    </row>
    <row r="7" spans="2:13" x14ac:dyDescent="0.25">
      <c r="K7" s="730"/>
      <c r="L7" s="730"/>
    </row>
    <row r="8" spans="2:13" x14ac:dyDescent="0.25">
      <c r="K8" s="730"/>
      <c r="L8" s="730"/>
      <c r="M8" s="421"/>
    </row>
    <row r="9" spans="2:13" x14ac:dyDescent="0.25">
      <c r="K9" s="730"/>
      <c r="L9" s="730"/>
    </row>
    <row r="10" spans="2:13" x14ac:dyDescent="0.25">
      <c r="K10" s="730"/>
      <c r="L10" s="730"/>
    </row>
    <row r="11" spans="2:13" x14ac:dyDescent="0.25">
      <c r="K11" s="557"/>
      <c r="L11" s="557"/>
    </row>
    <row r="16" spans="2:13" x14ac:dyDescent="0.25">
      <c r="K16" s="422"/>
    </row>
    <row r="30" spans="3:5" x14ac:dyDescent="0.25">
      <c r="C30">
        <v>100</v>
      </c>
      <c r="D30">
        <v>25</v>
      </c>
      <c r="E30">
        <v>27</v>
      </c>
    </row>
    <row r="31" spans="3:5" x14ac:dyDescent="0.25">
      <c r="C31">
        <v>90</v>
      </c>
      <c r="D31">
        <v>25</v>
      </c>
      <c r="E31">
        <v>27</v>
      </c>
    </row>
    <row r="32" spans="3:5" x14ac:dyDescent="0.25">
      <c r="C32">
        <v>80</v>
      </c>
      <c r="D32">
        <v>26</v>
      </c>
      <c r="E32">
        <v>28</v>
      </c>
    </row>
    <row r="33" spans="3:5" x14ac:dyDescent="0.25">
      <c r="C33">
        <v>70</v>
      </c>
      <c r="D33">
        <v>27</v>
      </c>
      <c r="E33">
        <v>29</v>
      </c>
    </row>
    <row r="34" spans="3:5" x14ac:dyDescent="0.25">
      <c r="C34">
        <v>60</v>
      </c>
      <c r="D34">
        <f>(D33+D35)/2</f>
        <v>28.5</v>
      </c>
      <c r="E34">
        <f>(E33+E35)/2</f>
        <v>30.5</v>
      </c>
    </row>
    <row r="35" spans="3:5" x14ac:dyDescent="0.25">
      <c r="C35">
        <v>50</v>
      </c>
      <c r="D35">
        <v>30</v>
      </c>
      <c r="E35">
        <v>32</v>
      </c>
    </row>
    <row r="36" spans="3:5" x14ac:dyDescent="0.25">
      <c r="C36">
        <v>40</v>
      </c>
      <c r="D36">
        <v>31.3</v>
      </c>
      <c r="E36">
        <v>33.299999999999997</v>
      </c>
    </row>
    <row r="37" spans="3:5" x14ac:dyDescent="0.25">
      <c r="C37">
        <v>30</v>
      </c>
      <c r="D37">
        <v>32.6</v>
      </c>
      <c r="E37">
        <v>34.6</v>
      </c>
    </row>
    <row r="38" spans="3:5" x14ac:dyDescent="0.25">
      <c r="C38">
        <v>20</v>
      </c>
      <c r="D38">
        <v>34</v>
      </c>
      <c r="E38">
        <v>36</v>
      </c>
    </row>
    <row r="39" spans="3:5" x14ac:dyDescent="0.25">
      <c r="C39">
        <v>10</v>
      </c>
      <c r="D39">
        <v>35</v>
      </c>
      <c r="E39">
        <v>37</v>
      </c>
    </row>
    <row r="40" spans="3:5" x14ac:dyDescent="0.25">
      <c r="C40">
        <v>0</v>
      </c>
      <c r="D40">
        <v>35</v>
      </c>
      <c r="E40">
        <v>37</v>
      </c>
    </row>
  </sheetData>
  <sheetProtection selectLockedCells="1" selectUnlockedCells="1"/>
  <phoneticPr fontId="3" type="noConversion"/>
  <pageMargins left="0.75" right="0.75" top="1" bottom="1" header="0.5" footer="0.5"/>
  <pageSetup paperSize="9" orientation="portrait" horizontalDpi="4294967294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2:O16"/>
  <sheetViews>
    <sheetView showGridLines="0" topLeftCell="A13" workbookViewId="0">
      <selection activeCell="L10" sqref="L10"/>
    </sheetView>
  </sheetViews>
  <sheetFormatPr baseColWidth="10" defaultColWidth="9.26953125" defaultRowHeight="12.5" x14ac:dyDescent="0.25"/>
  <sheetData>
    <row r="2" spans="2:15" x14ac:dyDescent="0.25">
      <c r="B2" s="1271" t="s">
        <v>202</v>
      </c>
      <c r="C2" s="1273" t="s">
        <v>203</v>
      </c>
      <c r="D2" s="1274"/>
      <c r="E2" s="1275"/>
      <c r="F2" s="648" t="s">
        <v>204</v>
      </c>
      <c r="G2" s="649"/>
      <c r="H2" s="526" t="s">
        <v>105</v>
      </c>
      <c r="I2" s="556"/>
      <c r="J2" s="557"/>
    </row>
    <row r="3" spans="2:15" x14ac:dyDescent="0.25">
      <c r="B3" s="1272"/>
      <c r="C3" s="423" t="str">
        <f>Diseño!B5</f>
        <v>GB2</v>
      </c>
      <c r="D3" s="423">
        <f>Diseño!B6</f>
        <v>0</v>
      </c>
      <c r="E3" s="423">
        <f>Diseño!B7</f>
        <v>0</v>
      </c>
      <c r="F3" s="423" t="str">
        <f>Diseño!B8</f>
        <v>AC2</v>
      </c>
      <c r="G3" s="423">
        <f>[3]Diseño!B12</f>
        <v>0</v>
      </c>
      <c r="H3" s="419"/>
      <c r="I3" s="556"/>
      <c r="J3" s="557"/>
    </row>
    <row r="4" spans="2:15" x14ac:dyDescent="0.25">
      <c r="B4" s="527" t="s">
        <v>158</v>
      </c>
      <c r="C4" s="424">
        <f>Diseño!J5*Diseño!K5</f>
        <v>0.50980392156862753</v>
      </c>
      <c r="D4" s="424">
        <f>Diseño!J6*Diseño!K5</f>
        <v>0</v>
      </c>
      <c r="E4" s="424">
        <f>Diseño!J7*Diseño!K5</f>
        <v>0</v>
      </c>
      <c r="F4" s="424">
        <f>Diseño!J8*Diseño!K8</f>
        <v>0.49019607843137258</v>
      </c>
      <c r="G4" s="424">
        <f>Diseño!J9*Diseño!K8</f>
        <v>0</v>
      </c>
      <c r="H4" s="420">
        <f>SUM(C4:G4)</f>
        <v>1</v>
      </c>
      <c r="I4" s="556"/>
      <c r="J4" s="557"/>
    </row>
    <row r="5" spans="2:15" x14ac:dyDescent="0.25">
      <c r="B5" s="440" t="s">
        <v>215</v>
      </c>
      <c r="C5" s="659">
        <f>100-'2° Granulometrías'!F10</f>
        <v>0</v>
      </c>
      <c r="D5" s="659">
        <f>100-'2° Granulometrías'!J10</f>
        <v>3.1500000000000057</v>
      </c>
      <c r="E5" s="659">
        <f>100-'2° Granulometrías'!N10</f>
        <v>0</v>
      </c>
      <c r="F5" s="659">
        <f>100-'2° Granulometrías'!P10</f>
        <v>0</v>
      </c>
      <c r="G5" s="659">
        <f>100-'2° Granulometrías'!Q10</f>
        <v>0</v>
      </c>
      <c r="H5" s="660">
        <f>C5*$C$4+D5*$D$4+F5*$F$4+G5*$G$4+E5*$E$4</f>
        <v>0</v>
      </c>
      <c r="I5">
        <v>0</v>
      </c>
      <c r="J5">
        <v>0</v>
      </c>
    </row>
    <row r="6" spans="2:15" x14ac:dyDescent="0.25">
      <c r="B6" s="440" t="s">
        <v>216</v>
      </c>
      <c r="C6" s="659">
        <f>'2° Granulometrías'!F10-'2° Granulometrías'!F11</f>
        <v>10</v>
      </c>
      <c r="D6" s="659">
        <f>'2° Granulometrías'!J10-'2° Granulometrías'!J11</f>
        <v>35.699999999999996</v>
      </c>
      <c r="E6" s="659">
        <f>'2° Granulometrías'!N10-'2° Granulometrías'!N11</f>
        <v>0</v>
      </c>
      <c r="F6" s="659">
        <f>'2° Granulometrías'!P10-'2° Granulometrías'!P11</f>
        <v>0</v>
      </c>
      <c r="G6" s="659">
        <f>'2° Granulometrías'!Q10-'2° Granulometrías'!Q11</f>
        <v>0</v>
      </c>
      <c r="H6" s="660">
        <f t="shared" ref="H6:H16" si="0">C6*$C$4+D6*$D$4+F6*$F$4+G6*$G$4+E6*$E$4</f>
        <v>5.098039215686275</v>
      </c>
      <c r="I6">
        <v>6</v>
      </c>
      <c r="J6">
        <v>24</v>
      </c>
      <c r="O6" s="421"/>
    </row>
    <row r="7" spans="2:15" x14ac:dyDescent="0.25">
      <c r="B7" s="440" t="s">
        <v>217</v>
      </c>
      <c r="C7" s="659">
        <f>'2° Granulometrías'!F11-'2° Granulometrías'!F12</f>
        <v>25.599999999999994</v>
      </c>
      <c r="D7" s="659">
        <f>'2° Granulometrías'!J11-'2° Granulometrías'!J12</f>
        <v>25.08</v>
      </c>
      <c r="E7" s="659">
        <f>'2° Granulometrías'!N11-'2° Granulometrías'!N12</f>
        <v>0</v>
      </c>
      <c r="F7" s="659">
        <f>'2° Granulometrías'!P11-'2° Granulometrías'!P12</f>
        <v>0</v>
      </c>
      <c r="G7" s="659">
        <f>'2° Granulometrías'!Q11-'2° Granulometrías'!Q12</f>
        <v>0</v>
      </c>
      <c r="H7" s="660">
        <f t="shared" si="0"/>
        <v>13.050980392156863</v>
      </c>
      <c r="I7">
        <v>6</v>
      </c>
      <c r="J7">
        <v>24</v>
      </c>
      <c r="O7" s="421"/>
    </row>
    <row r="8" spans="2:15" x14ac:dyDescent="0.25">
      <c r="B8" s="440" t="s">
        <v>218</v>
      </c>
      <c r="C8" s="659">
        <f>'2° Granulometrías'!F12-'2° Granulometrías'!F13</f>
        <v>24.100000000000009</v>
      </c>
      <c r="D8" s="659">
        <f>'2° Granulometrías'!J12-'2° Granulometrías'!J13</f>
        <v>28.26</v>
      </c>
      <c r="E8" s="659">
        <f>'2° Granulometrías'!N12-'2° Granulometrías'!N13</f>
        <v>1</v>
      </c>
      <c r="F8" s="659">
        <f>'2° Granulometrías'!P12-'2° Granulometrías'!P13</f>
        <v>0</v>
      </c>
      <c r="G8" s="659">
        <f>'2° Granulometrías'!Q12-'2° Granulometrías'!Q13</f>
        <v>0</v>
      </c>
      <c r="H8" s="660">
        <f t="shared" si="0"/>
        <v>12.286274509803928</v>
      </c>
      <c r="I8">
        <v>6</v>
      </c>
      <c r="J8">
        <v>24</v>
      </c>
      <c r="O8" s="421"/>
    </row>
    <row r="9" spans="2:15" x14ac:dyDescent="0.25">
      <c r="B9" s="440" t="s">
        <v>219</v>
      </c>
      <c r="C9" s="659">
        <f>'2° Granulometrías'!F13-'2° Granulometrías'!F14</f>
        <v>29.83</v>
      </c>
      <c r="D9" s="659">
        <f>'2° Granulometrías'!J13-'2° Granulometrías'!J14</f>
        <v>3.26</v>
      </c>
      <c r="E9" s="659">
        <f>'2° Granulometrías'!N13-'2° Granulometrías'!N14</f>
        <v>1</v>
      </c>
      <c r="F9" s="659">
        <f>'2° Granulometrías'!P13-'2° Granulometrías'!P14</f>
        <v>0</v>
      </c>
      <c r="G9" s="659">
        <f>'2° Granulometrías'!Q13-'2° Granulometrías'!Q14</f>
        <v>100</v>
      </c>
      <c r="H9" s="660">
        <f t="shared" si="0"/>
        <v>15.207450980392158</v>
      </c>
      <c r="I9">
        <v>6</v>
      </c>
      <c r="J9">
        <v>24</v>
      </c>
      <c r="K9" s="421"/>
      <c r="O9" s="421"/>
    </row>
    <row r="10" spans="2:15" x14ac:dyDescent="0.25">
      <c r="B10" s="440" t="s">
        <v>220</v>
      </c>
      <c r="C10" s="659">
        <f>'2° Granulometrías'!F14-'2° Granulometrías'!F15</f>
        <v>10.15</v>
      </c>
      <c r="D10" s="659">
        <f>'2° Granulometrías'!J14-'2° Granulometrías'!J15</f>
        <v>4.55</v>
      </c>
      <c r="E10" s="659">
        <f>'2° Granulometrías'!N14-'2° Granulometrías'!N15</f>
        <v>93</v>
      </c>
      <c r="F10" s="659">
        <f>'2° Granulometrías'!P14-'2° Granulometrías'!P15</f>
        <v>12</v>
      </c>
      <c r="G10" s="659">
        <f>'2° Granulometrías'!Q14-'2° Granulometrías'!Q15</f>
        <v>0</v>
      </c>
      <c r="H10" s="659">
        <f t="shared" si="0"/>
        <v>11.056862745098041</v>
      </c>
      <c r="I10">
        <v>6</v>
      </c>
      <c r="J10">
        <v>24</v>
      </c>
      <c r="K10" s="421"/>
    </row>
    <row r="11" spans="2:15" x14ac:dyDescent="0.25">
      <c r="B11" s="440" t="s">
        <v>221</v>
      </c>
      <c r="C11" s="659">
        <f>'2° Granulometrías'!F15-'2° Granulometrías'!F16</f>
        <v>0.17</v>
      </c>
      <c r="D11" s="659">
        <f>'2° Granulometrías'!J15-'2° Granulometrías'!J16</f>
        <v>0</v>
      </c>
      <c r="E11" s="659">
        <f>'2° Granulometrías'!N15-'2° Granulometrías'!N16</f>
        <v>4</v>
      </c>
      <c r="F11" s="659">
        <f>'2° Granulometrías'!P15-'2° Granulometrías'!P16</f>
        <v>21</v>
      </c>
      <c r="G11" s="659">
        <f>'2° Granulometrías'!Q15-'2° Granulometrías'!Q16</f>
        <v>0</v>
      </c>
      <c r="H11" s="659">
        <f t="shared" si="0"/>
        <v>10.38078431372549</v>
      </c>
      <c r="I11">
        <v>6</v>
      </c>
      <c r="J11">
        <v>24</v>
      </c>
    </row>
    <row r="12" spans="2:15" x14ac:dyDescent="0.25">
      <c r="B12" s="440" t="s">
        <v>222</v>
      </c>
      <c r="C12" s="659">
        <f>'2° Granulometrías'!F16-'2° Granulometrías'!F17</f>
        <v>0.15</v>
      </c>
      <c r="D12" s="659">
        <f>'2° Granulometrías'!J16-'2° Granulometrías'!J17</f>
        <v>0</v>
      </c>
      <c r="E12" s="659">
        <f>'2° Granulometrías'!N16-'2° Granulometrías'!N17</f>
        <v>0.5</v>
      </c>
      <c r="F12" s="659">
        <f>'2° Granulometrías'!P16-'2° Granulometrías'!P17</f>
        <v>12.68</v>
      </c>
      <c r="G12" s="659">
        <f>'2° Granulometrías'!Q16-'2° Granulometrías'!Q17</f>
        <v>0</v>
      </c>
      <c r="H12" s="659">
        <f t="shared" si="0"/>
        <v>6.2921568627450979</v>
      </c>
      <c r="I12">
        <v>6</v>
      </c>
      <c r="J12">
        <v>24</v>
      </c>
    </row>
    <row r="13" spans="2:15" x14ac:dyDescent="0.25">
      <c r="B13" s="440" t="s">
        <v>223</v>
      </c>
      <c r="C13" s="659">
        <f>'2° Granulometrías'!F17-'2° Granulometrías'!F18</f>
        <v>0</v>
      </c>
      <c r="D13" s="659">
        <f>'2° Granulometrías'!J17-'2° Granulometrías'!J18</f>
        <v>0</v>
      </c>
      <c r="E13" s="659">
        <f>'2° Granulometrías'!N17-'2° Granulometrías'!N18</f>
        <v>0.5</v>
      </c>
      <c r="F13" s="659">
        <f>'2° Granulometrías'!P17-'2° Granulometrías'!P18</f>
        <v>15.350000000000001</v>
      </c>
      <c r="G13" s="659">
        <f>'2° Granulometrías'!Q17-'2° Granulometrías'!Q18</f>
        <v>0</v>
      </c>
      <c r="H13" s="659">
        <f t="shared" si="0"/>
        <v>7.5245098039215694</v>
      </c>
      <c r="I13">
        <v>6</v>
      </c>
      <c r="J13">
        <v>15</v>
      </c>
    </row>
    <row r="14" spans="2:15" x14ac:dyDescent="0.25">
      <c r="B14" s="440" t="s">
        <v>224</v>
      </c>
      <c r="C14" s="659">
        <f>'2° Granulometrías'!F18-'2° Granulometrías'!F19</f>
        <v>0</v>
      </c>
      <c r="D14" s="659">
        <f>'2° Granulometrías'!J18-'2° Granulometrías'!J19</f>
        <v>0</v>
      </c>
      <c r="E14" s="659">
        <f>'2° Granulometrías'!N18-'2° Granulometrías'!N19</f>
        <v>0</v>
      </c>
      <c r="F14" s="659">
        <f>'2° Granulometrías'!P18-'2° Granulometrías'!P19</f>
        <v>11.509999999999998</v>
      </c>
      <c r="G14" s="659">
        <f>'2° Granulometrías'!Q18-'2° Granulometrías'!Q19</f>
        <v>0</v>
      </c>
      <c r="H14" s="659">
        <f t="shared" si="0"/>
        <v>5.6421568627450975</v>
      </c>
      <c r="I14">
        <v>6</v>
      </c>
      <c r="J14">
        <v>15</v>
      </c>
    </row>
    <row r="15" spans="2:15" x14ac:dyDescent="0.25">
      <c r="B15" s="440" t="s">
        <v>225</v>
      </c>
      <c r="C15" s="659">
        <f>'2° Granulometrías'!F19-'2° Granulometrías'!F20</f>
        <v>0</v>
      </c>
      <c r="D15" s="659">
        <f>'2° Granulometrías'!J19-'2° Granulometrías'!J20</f>
        <v>0</v>
      </c>
      <c r="E15" s="659">
        <f>'2° Granulometrías'!N19-'2° Granulometrías'!N20</f>
        <v>0</v>
      </c>
      <c r="F15" s="659">
        <f>'2° Granulometrías'!P19-'2° Granulometrías'!P20</f>
        <v>16.270000000000003</v>
      </c>
      <c r="G15" s="659">
        <f>'2° Granulometrías'!Q19-'2° Granulometrías'!Q20</f>
        <v>0</v>
      </c>
      <c r="H15" s="659">
        <f t="shared" si="0"/>
        <v>7.9754901960784332</v>
      </c>
      <c r="I15">
        <v>1.8</v>
      </c>
      <c r="J15">
        <v>5</v>
      </c>
    </row>
    <row r="16" spans="2:15" x14ac:dyDescent="0.25">
      <c r="B16" s="440" t="s">
        <v>226</v>
      </c>
      <c r="C16" s="659">
        <f>'2° Granulometrías'!F20-'2° Granulometrías'!F21</f>
        <v>0</v>
      </c>
      <c r="D16" s="659">
        <f>'2° Granulometrías'!J20-'2° Granulometrías'!J21</f>
        <v>0</v>
      </c>
      <c r="E16" s="659">
        <f>'2° Granulometrías'!N20-'2° Granulometrías'!N21</f>
        <v>0</v>
      </c>
      <c r="F16" s="659">
        <f>'2° Granulometrías'!P20-'2° Granulometrías'!P21</f>
        <v>11.19</v>
      </c>
      <c r="G16" s="659">
        <f>'2° Granulometrías'!Q20-'2° Granulometrías'!Q21</f>
        <v>0</v>
      </c>
      <c r="H16" s="659">
        <f t="shared" si="0"/>
        <v>5.4852941176470589</v>
      </c>
      <c r="I16">
        <v>0</v>
      </c>
      <c r="J16">
        <v>3</v>
      </c>
    </row>
  </sheetData>
  <sheetProtection selectLockedCells="1" selectUnlockedCells="1"/>
  <mergeCells count="2">
    <mergeCell ref="B2:B3"/>
    <mergeCell ref="C2:E2"/>
  </mergeCells>
  <phoneticPr fontId="3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5</vt:i4>
      </vt:variant>
    </vt:vector>
  </HeadingPairs>
  <TitlesOfParts>
    <vt:vector size="16" baseType="lpstr">
      <vt:lpstr>Formato Pisocret</vt:lpstr>
      <vt:lpstr>1° Diseño Mezcla</vt:lpstr>
      <vt:lpstr>2° Granulometrías</vt:lpstr>
      <vt:lpstr>3° Curva Integral</vt:lpstr>
      <vt:lpstr>4° Resumen</vt:lpstr>
      <vt:lpstr>Sheet1</vt:lpstr>
      <vt:lpstr>Diseño</vt:lpstr>
      <vt:lpstr>Curva 045</vt:lpstr>
      <vt:lpstr>Curva 045 Grava 20mm</vt:lpstr>
      <vt:lpstr>WF vrs CF</vt:lpstr>
      <vt:lpstr>Curva Distribución</vt:lpstr>
      <vt:lpstr>'1° Diseño Mezcla'!Área_de_impresión</vt:lpstr>
      <vt:lpstr>'3° Curva Integral'!Área_de_impresión</vt:lpstr>
      <vt:lpstr>'4° Resumen'!Área_de_impresión</vt:lpstr>
      <vt:lpstr>Diseño!Área_de_impresión</vt:lpstr>
      <vt:lpstr>'Formato Pisocret'!Área_de_impresión</vt:lpstr>
    </vt:vector>
  </TitlesOfParts>
  <Company>CEMEX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Alexis Martinez Juarez</dc:creator>
  <cp:lastModifiedBy>Carlos Alberto Magallon Guerrero</cp:lastModifiedBy>
  <cp:lastPrinted>2024-02-10T00:58:45Z</cp:lastPrinted>
  <dcterms:created xsi:type="dcterms:W3CDTF">2009-05-21T21:19:58Z</dcterms:created>
  <dcterms:modified xsi:type="dcterms:W3CDTF">2024-09-28T14:57:24Z</dcterms:modified>
</cp:coreProperties>
</file>